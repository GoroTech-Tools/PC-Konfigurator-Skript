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530"/>
  <workbookPr filterPrivacy="1" defaultThemeVersion="124226"/>
  <xr:revisionPtr revIDLastSave="0" documentId="8_{5FDB3D61-D9C3-4834-A437-F7F4557EC05C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Duisdorfer BüroKonzept KG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5" i="1" l="1"/>
  <c r="F25" i="1" l="1"/>
  <c r="G25" i="1"/>
  <c r="H25" i="1"/>
  <c r="J25" i="1"/>
  <c r="E25" i="1"/>
  <c r="E26" i="1" l="1"/>
  <c r="H26" i="1"/>
  <c r="G26" i="1"/>
  <c r="F31" i="1" s="1"/>
  <c r="F26" i="1"/>
  <c r="C25" i="1"/>
  <c r="F30" i="1" l="1"/>
  <c r="G33" i="1"/>
  <c r="I25" i="1"/>
  <c r="B40" i="1" s="1"/>
  <c r="C26" i="1" l="1"/>
  <c r="D26" i="1"/>
  <c r="G29" i="1" s="1"/>
  <c r="I26" i="1"/>
  <c r="J26" i="1"/>
  <c r="G34" i="1" l="1"/>
  <c r="G36" i="1"/>
</calcChain>
</file>

<file path=xl/sharedStrings.xml><?xml version="1.0" encoding="utf-8"?>
<sst xmlns="http://schemas.openxmlformats.org/spreadsheetml/2006/main" count="29" uniqueCount="29">
  <si>
    <t>Rechnungskreis I</t>
  </si>
  <si>
    <t>Rechnungskreis II</t>
  </si>
  <si>
    <t>Erfolgsbereich</t>
  </si>
  <si>
    <t>Abgrenzungsbereich</t>
  </si>
  <si>
    <t>Unternehmensbezo-
gene Abgrenzungen</t>
  </si>
  <si>
    <t>Kostenrechnerische
Korrekturen</t>
  </si>
  <si>
    <t>Betriebsergebnis</t>
  </si>
  <si>
    <t>Konto</t>
  </si>
  <si>
    <t>Aufwen-
dungen</t>
  </si>
  <si>
    <t>Erträge</t>
  </si>
  <si>
    <t>neutrale
Aufwen-
dungen</t>
  </si>
  <si>
    <t>neutrale
Erträge</t>
  </si>
  <si>
    <t>Aufwand
laut FB</t>
  </si>
  <si>
    <t>Verrech-
nete
Kosten</t>
  </si>
  <si>
    <t>Kosten</t>
  </si>
  <si>
    <t>Leistun-
gen</t>
  </si>
  <si>
    <t>Summe</t>
  </si>
  <si>
    <t>Saldo</t>
  </si>
  <si>
    <t>Ergebnistabelle</t>
  </si>
  <si>
    <t>Gesamtergebnis der
Finanzbuchhaltung (FB)</t>
  </si>
  <si>
    <t>KLR-Bereich</t>
  </si>
  <si>
    <t>U-lohn</t>
  </si>
  <si>
    <t xml:space="preserve">Gesamtergebnis Rechnungskreis I </t>
  </si>
  <si>
    <t>Ergebnis aus unternehmensbezogenen Abgrenzungen</t>
  </si>
  <si>
    <t>Ergebnis aus kostenrechnerischen Korrekturen</t>
  </si>
  <si>
    <t xml:space="preserve"> = Neutrales Ergebnis</t>
  </si>
  <si>
    <t xml:space="preserve"> + Betriebsergebnis</t>
  </si>
  <si>
    <t>Gesamtergebnis Rechnungskreis II</t>
  </si>
  <si>
    <t>Wirtschaftlichkeit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</si>
</sst>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/>
    <xf numFmtId="44" fontId="6" fillId="0" borderId="0" applyFont="0" applyFill="0" applyBorder="0" applyAlignment="0" applyProtection="0"/>
  </cellStyleXfs>
  <cellXfs count="79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 vertical="center" wrapText="1"/>
    </xf>
    <xf numFmtId="4" fontId="0" fillId="0" borderId="1" xfId="0" applyNumberFormat="1" applyBorder="1"/>
    <xf numFmtId="4" fontId="0" fillId="0" borderId="5" xfId="0" applyNumberFormat="1" applyBorder="1"/>
    <xf numFmtId="4" fontId="0" fillId="0" borderId="7" xfId="0" applyNumberFormat="1" applyBorder="1"/>
    <xf numFmtId="4" fontId="0" fillId="0" borderId="0" xfId="0" applyNumberFormat="1"/>
    <xf numFmtId="4" fontId="0" fillId="0" borderId="2" xfId="0" applyNumberFormat="1" applyBorder="1"/>
    <xf numFmtId="0" fontId="1" fillId="0" borderId="1" xfId="0" applyFont="1" applyBorder="1" applyAlignment="1">
      <alignment horizontal="left" vertical="center"/>
    </xf>
    <xf numFmtId="1" fontId="1" fillId="0" borderId="1" xfId="0" applyNumberFormat="1" applyFont="1" applyBorder="1" applyAlignment="1">
      <alignment horizontal="left"/>
    </xf>
    <xf numFmtId="1" fontId="1" fillId="0" borderId="7" xfId="0" applyNumberFormat="1" applyFont="1" applyBorder="1" applyAlignment="1">
      <alignment horizontal="left"/>
    </xf>
    <xf numFmtId="0" fontId="0" fillId="0" borderId="25" xfId="0" applyBorder="1"/>
    <xf numFmtId="0" fontId="1" fillId="2" borderId="17" xfId="0" applyFont="1" applyFill="1" applyBorder="1"/>
    <xf numFmtId="0" fontId="0" fillId="4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4" borderId="5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 wrapText="1"/>
    </xf>
    <xf numFmtId="0" fontId="0" fillId="4" borderId="13" xfId="0" applyFill="1" applyBorder="1" applyAlignment="1">
      <alignment horizontal="center" vertical="center" wrapText="1"/>
    </xf>
    <xf numFmtId="0" fontId="0" fillId="4" borderId="13" xfId="0" applyFill="1" applyBorder="1" applyAlignment="1">
      <alignment horizontal="center" vertical="center"/>
    </xf>
    <xf numFmtId="0" fontId="4" fillId="3" borderId="1" xfId="0" applyFont="1" applyFill="1" applyBorder="1"/>
    <xf numFmtId="4" fontId="2" fillId="3" borderId="1" xfId="0" applyNumberFormat="1" applyFont="1" applyFill="1" applyBorder="1"/>
    <xf numFmtId="0" fontId="1" fillId="2" borderId="1" xfId="0" applyFont="1" applyFill="1" applyBorder="1"/>
    <xf numFmtId="4" fontId="1" fillId="2" borderId="1" xfId="0" applyNumberFormat="1" applyFont="1" applyFill="1" applyBorder="1"/>
    <xf numFmtId="4" fontId="0" fillId="5" borderId="3" xfId="0" applyNumberFormat="1" applyFill="1" applyBorder="1" applyAlignment="1">
      <alignment horizontal="center" vertical="center" wrapText="1"/>
    </xf>
    <xf numFmtId="4" fontId="0" fillId="5" borderId="1" xfId="0" applyNumberFormat="1" applyFill="1" applyBorder="1" applyAlignment="1">
      <alignment horizontal="right" vertical="center"/>
    </xf>
    <xf numFmtId="4" fontId="0" fillId="5" borderId="1" xfId="0" applyNumberFormat="1" applyFill="1" applyBorder="1"/>
    <xf numFmtId="4" fontId="0" fillId="5" borderId="13" xfId="0" applyNumberFormat="1" applyFill="1" applyBorder="1"/>
    <xf numFmtId="4" fontId="0" fillId="5" borderId="4" xfId="0" applyNumberFormat="1" applyFill="1" applyBorder="1"/>
    <xf numFmtId="4" fontId="0" fillId="5" borderId="8" xfId="0" applyNumberFormat="1" applyFill="1" applyBorder="1"/>
    <xf numFmtId="4" fontId="0" fillId="5" borderId="7" xfId="0" applyNumberFormat="1" applyFill="1" applyBorder="1"/>
    <xf numFmtId="0" fontId="1" fillId="4" borderId="26" xfId="0" applyFont="1" applyFill="1" applyBorder="1"/>
    <xf numFmtId="4" fontId="1" fillId="4" borderId="27" xfId="0" applyNumberFormat="1" applyFont="1" applyFill="1" applyBorder="1"/>
    <xf numFmtId="4" fontId="1" fillId="4" borderId="28" xfId="0" applyNumberFormat="1" applyFont="1" applyFill="1" applyBorder="1"/>
    <xf numFmtId="4" fontId="1" fillId="4" borderId="29" xfId="0" applyNumberFormat="1" applyFont="1" applyFill="1" applyBorder="1"/>
    <xf numFmtId="4" fontId="1" fillId="4" borderId="30" xfId="0" applyNumberFormat="1" applyFont="1" applyFill="1" applyBorder="1"/>
    <xf numFmtId="4" fontId="5" fillId="2" borderId="24" xfId="0" applyNumberFormat="1" applyFont="1" applyFill="1" applyBorder="1"/>
    <xf numFmtId="4" fontId="5" fillId="2" borderId="16" xfId="0" applyNumberFormat="1" applyFont="1" applyFill="1" applyBorder="1"/>
    <xf numFmtId="4" fontId="0" fillId="5" borderId="4" xfId="0" applyNumberFormat="1" applyFill="1" applyBorder="1" applyAlignment="1">
      <alignment horizontal="center" vertical="center" wrapText="1"/>
    </xf>
    <xf numFmtId="4" fontId="0" fillId="0" borderId="15" xfId="0" applyNumberFormat="1" applyBorder="1"/>
    <xf numFmtId="4" fontId="0" fillId="0" borderId="19" xfId="0" applyNumberFormat="1" applyBorder="1"/>
    <xf numFmtId="4" fontId="0" fillId="0" borderId="9" xfId="0" applyNumberFormat="1" applyBorder="1"/>
    <xf numFmtId="4" fontId="0" fillId="0" borderId="5" xfId="0" applyNumberFormat="1" applyBorder="1" applyAlignment="1"/>
    <xf numFmtId="4" fontId="0" fillId="0" borderId="11" xfId="0" applyNumberFormat="1" applyBorder="1"/>
    <xf numFmtId="4" fontId="0" fillId="0" borderId="2" xfId="0" applyNumberFormat="1" applyBorder="1" applyAlignment="1">
      <alignment horizontal="center" vertical="center"/>
    </xf>
    <xf numFmtId="4" fontId="0" fillId="5" borderId="14" xfId="0" applyNumberFormat="1" applyFill="1" applyBorder="1" applyAlignment="1">
      <alignment horizontal="center" vertical="center" wrapText="1"/>
    </xf>
    <xf numFmtId="4" fontId="0" fillId="5" borderId="2" xfId="0" applyNumberFormat="1" applyFill="1" applyBorder="1" applyAlignment="1">
      <alignment horizontal="center" vertical="center" wrapText="1"/>
    </xf>
    <xf numFmtId="4" fontId="0" fillId="5" borderId="1" xfId="0" applyNumberFormat="1" applyFill="1" applyBorder="1" applyAlignment="1">
      <alignment horizontal="center" vertical="center" wrapText="1"/>
    </xf>
    <xf numFmtId="4" fontId="0" fillId="5" borderId="12" xfId="0" applyNumberFormat="1" applyFill="1" applyBorder="1"/>
    <xf numFmtId="4" fontId="0" fillId="5" borderId="18" xfId="0" applyNumberFormat="1" applyFill="1" applyBorder="1"/>
    <xf numFmtId="4" fontId="0" fillId="5" borderId="14" xfId="0" applyNumberFormat="1" applyFill="1" applyBorder="1"/>
    <xf numFmtId="4" fontId="0" fillId="5" borderId="20" xfId="0" applyNumberFormat="1" applyFill="1" applyBorder="1"/>
    <xf numFmtId="4" fontId="0" fillId="5" borderId="22" xfId="0" applyNumberFormat="1" applyFill="1" applyBorder="1"/>
    <xf numFmtId="4" fontId="0" fillId="5" borderId="23" xfId="0" applyNumberFormat="1" applyFill="1" applyBorder="1"/>
    <xf numFmtId="4" fontId="0" fillId="5" borderId="21" xfId="0" applyNumberFormat="1" applyFill="1" applyBorder="1"/>
    <xf numFmtId="4" fontId="0" fillId="5" borderId="10" xfId="0" applyNumberFormat="1" applyFill="1" applyBorder="1"/>
    <xf numFmtId="4" fontId="0" fillId="5" borderId="4" xfId="0" applyNumberFormat="1" applyFill="1" applyBorder="1" applyAlignment="1"/>
    <xf numFmtId="4" fontId="0" fillId="5" borderId="1" xfId="0" applyNumberFormat="1" applyFill="1" applyBorder="1" applyAlignment="1"/>
    <xf numFmtId="44" fontId="0" fillId="3" borderId="1" xfId="1" applyFont="1" applyFill="1" applyBorder="1" applyAlignment="1">
      <alignment horizontal="left"/>
    </xf>
    <xf numFmtId="2" fontId="0" fillId="0" borderId="1" xfId="0" applyNumberFormat="1" applyBorder="1" applyAlignment="1">
      <alignment horizontal="left"/>
    </xf>
    <xf numFmtId="0" fontId="0" fillId="0" borderId="1" xfId="0" applyBorder="1"/>
    <xf numFmtId="0" fontId="1" fillId="2" borderId="1" xfId="0" applyFont="1" applyFill="1" applyBorder="1"/>
    <xf numFmtId="0" fontId="2" fillId="3" borderId="1" xfId="0" applyFont="1" applyFill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2" borderId="2" xfId="0" applyFill="1" applyBorder="1" applyAlignment="1">
      <alignment horizontal="center" wrapText="1"/>
    </xf>
    <xf numFmtId="0" fontId="0" fillId="2" borderId="3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3" xfId="0" applyFill="1" applyBorder="1" applyAlignment="1">
      <alignment horizontal="center" wrapText="1"/>
    </xf>
    <xf numFmtId="0" fontId="0" fillId="2" borderId="4" xfId="0" applyFill="1" applyBorder="1" applyAlignment="1">
      <alignment horizontal="center"/>
    </xf>
    <xf numFmtId="0" fontId="0" fillId="2" borderId="2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0" fontId="3" fillId="3" borderId="4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</cellXfs>
  <cellStyles count="2">
    <cellStyle name="Standard" xfId="0" builtinId="0"/>
    <cellStyle name="Währung" xfId="1" builtinId="4"/>
  </cellStyles>
  <dxfs count="0"/>
  <tableStyles count="0" defaultTableStyle="TableStyleMedium2" defaultPivotStyle="PivotStyleMedium9"/>
  <colors>
    <mruColors>
      <color rgb="FF66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2:K40"/>
  <sheetViews>
    <sheetView tabSelected="1" zoomScale="110" zoomScaleNormal="110" workbookViewId="0">
      <selection activeCell="B2" sqref="B2:J4"/>
    </sheetView>
  </sheetViews>
  <sheetFormatPr baseColWidth="10" defaultColWidth="8.85546875" defaultRowHeight="15" x14ac:dyDescent="0.25"/>
  <cols>
    <col min="1" max="1" width="2.7109375" customWidth="1"/>
    <col min="2" max="10" width="12.7109375" customWidth="1"/>
  </cols>
  <sheetData>
    <row r="2" spans="2:10" ht="15.75" x14ac:dyDescent="0.25">
      <c r="B2" s="72" t="s">
        <v>18</v>
      </c>
      <c r="C2" s="73"/>
      <c r="D2" s="73"/>
      <c r="E2" s="73"/>
      <c r="F2" s="73"/>
      <c r="G2" s="73"/>
      <c r="H2" s="73"/>
      <c r="I2" s="73"/>
      <c r="J2" s="74"/>
    </row>
    <row r="3" spans="2:10" x14ac:dyDescent="0.25">
      <c r="B3" s="75" t="s">
        <v>0</v>
      </c>
      <c r="C3" s="76"/>
      <c r="D3" s="77"/>
      <c r="E3" s="76" t="s">
        <v>1</v>
      </c>
      <c r="F3" s="76"/>
      <c r="G3" s="76"/>
      <c r="H3" s="76"/>
      <c r="I3" s="76"/>
      <c r="J3" s="78"/>
    </row>
    <row r="4" spans="2:10" x14ac:dyDescent="0.25">
      <c r="B4" s="75" t="s">
        <v>2</v>
      </c>
      <c r="C4" s="76"/>
      <c r="D4" s="77"/>
      <c r="E4" s="76" t="s">
        <v>3</v>
      </c>
      <c r="F4" s="76"/>
      <c r="G4" s="76"/>
      <c r="H4" s="78"/>
      <c r="I4" s="75" t="s">
        <v>20</v>
      </c>
      <c r="J4" s="78"/>
    </row>
    <row r="5" spans="2:10" ht="28.9" customHeight="1" x14ac:dyDescent="0.25">
      <c r="B5" s="65" t="s">
        <v>19</v>
      </c>
      <c r="C5" s="66"/>
      <c r="D5" s="67"/>
      <c r="E5" s="68" t="s">
        <v>4</v>
      </c>
      <c r="F5" s="69"/>
      <c r="G5" s="65" t="s">
        <v>5</v>
      </c>
      <c r="H5" s="69"/>
      <c r="I5" s="70" t="s">
        <v>6</v>
      </c>
      <c r="J5" s="71"/>
    </row>
    <row r="6" spans="2:10" ht="45" x14ac:dyDescent="0.25">
      <c r="B6" s="13" t="s">
        <v>7</v>
      </c>
      <c r="C6" s="14" t="s">
        <v>8</v>
      </c>
      <c r="D6" s="15" t="s">
        <v>9</v>
      </c>
      <c r="E6" s="16" t="s">
        <v>10</v>
      </c>
      <c r="F6" s="17" t="s">
        <v>11</v>
      </c>
      <c r="G6" s="17" t="s">
        <v>12</v>
      </c>
      <c r="H6" s="17" t="s">
        <v>13</v>
      </c>
      <c r="I6" s="18" t="s">
        <v>14</v>
      </c>
      <c r="J6" s="14" t="s">
        <v>15</v>
      </c>
    </row>
    <row r="7" spans="2:10" x14ac:dyDescent="0.25">
      <c r="B7" s="8" t="s">
        <v>21</v>
      </c>
      <c r="C7" s="2"/>
      <c r="D7" s="43"/>
      <c r="E7" s="44"/>
      <c r="F7" s="45"/>
      <c r="G7" s="46"/>
      <c r="H7" s="23"/>
      <c r="I7" s="24"/>
      <c r="J7" s="37"/>
    </row>
    <row r="8" spans="2:10" x14ac:dyDescent="0.25">
      <c r="B8" s="9">
        <v>5000</v>
      </c>
      <c r="C8" s="3"/>
      <c r="D8" s="4">
        <v>202000</v>
      </c>
      <c r="E8" s="27"/>
      <c r="F8" s="25"/>
      <c r="G8" s="25"/>
      <c r="H8" s="25"/>
      <c r="I8" s="25"/>
      <c r="J8" s="25"/>
    </row>
    <row r="9" spans="2:10" x14ac:dyDescent="0.25">
      <c r="B9" s="9">
        <v>5100</v>
      </c>
      <c r="C9" s="3"/>
      <c r="D9" s="4">
        <v>503000</v>
      </c>
      <c r="E9" s="27"/>
      <c r="F9" s="25"/>
      <c r="G9" s="25"/>
      <c r="H9" s="25"/>
      <c r="I9" s="25"/>
      <c r="J9" s="25"/>
    </row>
    <row r="10" spans="2:10" x14ac:dyDescent="0.25">
      <c r="B10" s="9">
        <v>5200</v>
      </c>
      <c r="C10" s="3"/>
      <c r="D10" s="4">
        <v>160000</v>
      </c>
      <c r="E10" s="27"/>
      <c r="F10" s="26"/>
      <c r="G10" s="25"/>
      <c r="H10" s="25"/>
      <c r="I10" s="25"/>
      <c r="J10" s="25"/>
    </row>
    <row r="11" spans="2:10" x14ac:dyDescent="0.25">
      <c r="B11" s="9">
        <v>5460</v>
      </c>
      <c r="C11" s="3"/>
      <c r="D11" s="4">
        <v>18000</v>
      </c>
      <c r="E11" s="47"/>
      <c r="F11" s="26"/>
      <c r="G11" s="26"/>
      <c r="H11" s="26"/>
      <c r="I11" s="25"/>
      <c r="J11" s="25"/>
    </row>
    <row r="12" spans="2:10" x14ac:dyDescent="0.25">
      <c r="B12" s="9">
        <v>5710</v>
      </c>
      <c r="C12" s="7"/>
      <c r="D12" s="38">
        <v>9000</v>
      </c>
      <c r="E12" s="48"/>
      <c r="F12" s="26"/>
      <c r="G12" s="26"/>
      <c r="H12" s="47"/>
      <c r="I12" s="27"/>
      <c r="J12" s="25"/>
    </row>
    <row r="13" spans="2:10" x14ac:dyDescent="0.25">
      <c r="B13" s="9">
        <v>6000</v>
      </c>
      <c r="C13" s="7">
        <v>360000</v>
      </c>
      <c r="D13" s="4"/>
      <c r="E13" s="49"/>
      <c r="F13" s="25"/>
      <c r="G13" s="25"/>
      <c r="H13" s="27"/>
      <c r="I13" s="27"/>
      <c r="J13" s="25"/>
    </row>
    <row r="14" spans="2:10" x14ac:dyDescent="0.25">
      <c r="B14" s="9">
        <v>6020</v>
      </c>
      <c r="C14" s="7">
        <v>72000</v>
      </c>
      <c r="D14" s="39"/>
      <c r="E14" s="50"/>
      <c r="F14" s="51"/>
      <c r="G14" s="51"/>
      <c r="H14" s="52"/>
      <c r="I14" s="27"/>
      <c r="J14" s="25"/>
    </row>
    <row r="15" spans="2:10" x14ac:dyDescent="0.25">
      <c r="B15" s="9">
        <v>6030</v>
      </c>
      <c r="C15" s="7">
        <v>38000</v>
      </c>
      <c r="D15" s="4"/>
      <c r="E15" s="49"/>
      <c r="F15" s="25"/>
      <c r="G15" s="25"/>
      <c r="H15" s="27"/>
      <c r="I15" s="27"/>
      <c r="J15" s="25"/>
    </row>
    <row r="16" spans="2:10" x14ac:dyDescent="0.25">
      <c r="B16" s="9">
        <v>6080</v>
      </c>
      <c r="C16" s="7">
        <v>165000</v>
      </c>
      <c r="D16" s="40"/>
      <c r="E16" s="53"/>
      <c r="F16" s="28"/>
      <c r="G16" s="28"/>
      <c r="H16" s="54"/>
      <c r="I16" s="27"/>
      <c r="J16" s="25"/>
    </row>
    <row r="17" spans="2:11" x14ac:dyDescent="0.25">
      <c r="B17" s="9">
        <v>6200</v>
      </c>
      <c r="C17" s="7">
        <v>62000</v>
      </c>
      <c r="D17" s="40"/>
      <c r="E17" s="53"/>
      <c r="F17" s="28"/>
      <c r="G17" s="28"/>
      <c r="H17" s="54"/>
      <c r="I17" s="27"/>
      <c r="J17" s="25"/>
    </row>
    <row r="18" spans="2:11" x14ac:dyDescent="0.25">
      <c r="B18" s="9">
        <v>6300</v>
      </c>
      <c r="C18" s="3">
        <v>83000</v>
      </c>
      <c r="D18" s="4"/>
      <c r="E18" s="27"/>
      <c r="F18" s="25"/>
      <c r="G18" s="28"/>
      <c r="H18" s="28"/>
      <c r="I18" s="25"/>
      <c r="J18" s="25"/>
    </row>
    <row r="19" spans="2:11" x14ac:dyDescent="0.25">
      <c r="B19" s="9">
        <v>6520</v>
      </c>
      <c r="C19" s="3">
        <v>80000</v>
      </c>
      <c r="D19" s="41"/>
      <c r="E19" s="55"/>
      <c r="F19" s="56"/>
      <c r="G19" s="56"/>
      <c r="H19" s="56"/>
      <c r="I19" s="25"/>
      <c r="J19" s="25"/>
    </row>
    <row r="20" spans="2:11" x14ac:dyDescent="0.25">
      <c r="B20" s="9">
        <v>6800</v>
      </c>
      <c r="C20" s="3">
        <v>5000</v>
      </c>
      <c r="D20" s="4"/>
      <c r="E20" s="27"/>
      <c r="F20" s="25"/>
      <c r="G20" s="25"/>
      <c r="H20" s="25"/>
      <c r="I20" s="25"/>
      <c r="J20" s="25"/>
    </row>
    <row r="21" spans="2:11" x14ac:dyDescent="0.25">
      <c r="B21" s="9">
        <v>6930</v>
      </c>
      <c r="C21" s="3">
        <v>8000</v>
      </c>
      <c r="D21" s="4"/>
      <c r="E21" s="27"/>
      <c r="F21" s="25"/>
      <c r="G21" s="25"/>
      <c r="H21" s="25"/>
      <c r="I21" s="25"/>
      <c r="J21" s="25"/>
    </row>
    <row r="22" spans="2:11" x14ac:dyDescent="0.25">
      <c r="B22" s="9">
        <v>7510</v>
      </c>
      <c r="C22" s="3">
        <v>68000</v>
      </c>
      <c r="D22" s="4"/>
      <c r="E22" s="27"/>
      <c r="F22" s="25"/>
      <c r="G22" s="25"/>
      <c r="H22" s="25"/>
      <c r="I22" s="25"/>
      <c r="J22" s="25"/>
    </row>
    <row r="23" spans="2:11" x14ac:dyDescent="0.25">
      <c r="B23" s="9"/>
      <c r="C23" s="3"/>
      <c r="D23" s="4"/>
      <c r="E23" s="27"/>
      <c r="F23" s="25"/>
      <c r="G23" s="25"/>
      <c r="H23" s="25"/>
      <c r="I23" s="25"/>
      <c r="J23" s="25"/>
    </row>
    <row r="24" spans="2:11" ht="15.75" thickBot="1" x14ac:dyDescent="0.3">
      <c r="B24" s="10"/>
      <c r="C24" s="5"/>
      <c r="D24" s="42"/>
      <c r="E24" s="27"/>
      <c r="F24" s="29"/>
      <c r="G24" s="29"/>
      <c r="H24" s="29"/>
      <c r="I24" s="29"/>
      <c r="J24" s="29"/>
    </row>
    <row r="25" spans="2:11" ht="15.75" thickBot="1" x14ac:dyDescent="0.3">
      <c r="B25" s="30" t="s">
        <v>16</v>
      </c>
      <c r="C25" s="31">
        <f>SUM(C12:C24)</f>
        <v>941000</v>
      </c>
      <c r="D25" s="32">
        <f>SUM(D8:D12)</f>
        <v>892000</v>
      </c>
      <c r="E25" s="33">
        <f>SUM(E7:E24)</f>
        <v>0</v>
      </c>
      <c r="F25" s="33">
        <f t="shared" ref="F25:J25" si="0">SUM(F7:F24)</f>
        <v>0</v>
      </c>
      <c r="G25" s="33">
        <f t="shared" si="0"/>
        <v>0</v>
      </c>
      <c r="H25" s="33">
        <f t="shared" si="0"/>
        <v>0</v>
      </c>
      <c r="I25" s="33">
        <f t="shared" si="0"/>
        <v>0</v>
      </c>
      <c r="J25" s="34">
        <f t="shared" si="0"/>
        <v>0</v>
      </c>
      <c r="K25" s="11"/>
    </row>
    <row r="26" spans="2:11" ht="15.75" thickBot="1" x14ac:dyDescent="0.3">
      <c r="B26" s="12" t="s">
        <v>17</v>
      </c>
      <c r="C26" s="35" t="str">
        <f>IF(C25&lt;D25,(C25-D25)*-1,"")</f>
        <v/>
      </c>
      <c r="D26" s="35">
        <f>IF(D25&lt;C25,D25-C25,"")</f>
        <v>-49000</v>
      </c>
      <c r="E26" s="35" t="str">
        <f>IF(E25&lt;F25,(E25-F25)*-1,"")</f>
        <v/>
      </c>
      <c r="F26" s="35" t="str">
        <f>IF(F25&lt;E25,F25-E25,"")</f>
        <v/>
      </c>
      <c r="G26" s="35" t="str">
        <f>IF(G25&lt;H25,(G25-H25)*-1,"")</f>
        <v/>
      </c>
      <c r="H26" s="35" t="str">
        <f>IF(H25&lt;G25,H25-G25,"")</f>
        <v/>
      </c>
      <c r="I26" s="35" t="str">
        <f>IF(I25&lt;J25,(I25-J25)*-1,"")</f>
        <v/>
      </c>
      <c r="J26" s="36" t="str">
        <f>IF(J25&lt;I25,J25-I25,"")</f>
        <v/>
      </c>
    </row>
    <row r="28" spans="2:11" x14ac:dyDescent="0.25">
      <c r="C28" s="6"/>
    </row>
    <row r="29" spans="2:11" x14ac:dyDescent="0.25">
      <c r="B29" s="61" t="s">
        <v>22</v>
      </c>
      <c r="C29" s="61"/>
      <c r="D29" s="61"/>
      <c r="E29" s="61"/>
      <c r="F29" s="19"/>
      <c r="G29" s="20">
        <f>D26</f>
        <v>-49000</v>
      </c>
    </row>
    <row r="30" spans="2:11" x14ac:dyDescent="0.25">
      <c r="B30" s="59" t="s">
        <v>23</v>
      </c>
      <c r="C30" s="59"/>
      <c r="D30" s="59"/>
      <c r="E30" s="59"/>
      <c r="F30" s="3">
        <f>SUM(E26:F26)</f>
        <v>0</v>
      </c>
      <c r="G30" s="1"/>
    </row>
    <row r="31" spans="2:11" x14ac:dyDescent="0.25">
      <c r="B31" s="59" t="s">
        <v>24</v>
      </c>
      <c r="C31" s="59"/>
      <c r="D31" s="59"/>
      <c r="E31" s="59"/>
      <c r="F31" s="3">
        <f>SUM(G26:H26)</f>
        <v>0</v>
      </c>
      <c r="G31" s="1"/>
    </row>
    <row r="32" spans="2:11" x14ac:dyDescent="0.25">
      <c r="B32" s="62"/>
      <c r="C32" s="63"/>
      <c r="D32" s="63"/>
      <c r="E32" s="63"/>
      <c r="F32" s="63"/>
      <c r="G32" s="64"/>
      <c r="I32" s="6"/>
    </row>
    <row r="33" spans="2:7" x14ac:dyDescent="0.25">
      <c r="B33" s="60" t="s">
        <v>25</v>
      </c>
      <c r="C33" s="60"/>
      <c r="D33" s="60"/>
      <c r="E33" s="60"/>
      <c r="F33" s="21"/>
      <c r="G33" s="22">
        <f>IF(ISERROR(F30+F31),"",F30+F31)</f>
        <v>0</v>
      </c>
    </row>
    <row r="34" spans="2:7" x14ac:dyDescent="0.25">
      <c r="B34" s="59" t="s">
        <v>26</v>
      </c>
      <c r="C34" s="59"/>
      <c r="D34" s="59"/>
      <c r="E34" s="59"/>
      <c r="F34" s="1"/>
      <c r="G34" s="3">
        <f>SUM(I26:J26)</f>
        <v>0</v>
      </c>
    </row>
    <row r="35" spans="2:7" x14ac:dyDescent="0.25">
      <c r="B35" s="62"/>
      <c r="C35" s="63"/>
      <c r="D35" s="63"/>
      <c r="E35" s="63"/>
      <c r="F35" s="63"/>
      <c r="G35" s="64"/>
    </row>
    <row r="36" spans="2:7" x14ac:dyDescent="0.25">
      <c r="B36" s="61" t="s">
        <v>27</v>
      </c>
      <c r="C36" s="61"/>
      <c r="D36" s="61"/>
      <c r="E36" s="61"/>
      <c r="F36" s="20"/>
      <c r="G36" s="20">
        <f>IF(ISERROR(G33+G34),"",G33+G34)</f>
        <v>0</v>
      </c>
    </row>
    <row r="39" spans="2:7" x14ac:dyDescent="0.25">
      <c r="B39" s="57" t="s">
        <v>28</v>
      </c>
      <c r="C39" s="57"/>
    </row>
    <row r="40" spans="2:7" x14ac:dyDescent="0.25">
      <c r="B40" s="58" t="e">
        <f>J25/I25</f>
        <v>#DIV/0!</v>
      </c>
      <c r="C40" s="58"/>
    </row>
  </sheetData>
  <mergeCells count="20">
    <mergeCell ref="B2:J2"/>
    <mergeCell ref="B3:D3"/>
    <mergeCell ref="E3:J3"/>
    <mergeCell ref="B4:D4"/>
    <mergeCell ref="E4:H4"/>
    <mergeCell ref="I4:J4"/>
    <mergeCell ref="B5:D5"/>
    <mergeCell ref="E5:F5"/>
    <mergeCell ref="G5:H5"/>
    <mergeCell ref="I5:J5"/>
    <mergeCell ref="B29:E29"/>
    <mergeCell ref="B39:C39"/>
    <mergeCell ref="B40:C40"/>
    <mergeCell ref="B30:E30"/>
    <mergeCell ref="B31:E31"/>
    <mergeCell ref="B33:E33"/>
    <mergeCell ref="B34:E34"/>
    <mergeCell ref="B36:E36"/>
    <mergeCell ref="B32:G32"/>
    <mergeCell ref="B35:G35"/>
  </mergeCells>
  <pageMargins left="0.7" right="0.7" top="0.75" bottom="0.75" header="0.3" footer="0.3"/>
  <pageSetup paperSize="9" orientation="landscape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Duisdorfer BüroKonzept KG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2021-01-30T10:21:32Z</dcterms:modified>
</cp:coreProperties>
</file>