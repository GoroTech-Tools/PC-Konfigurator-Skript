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Duisdorfer BüroKonzept KG\Kalkulationen\"/>
    </mc:Choice>
  </mc:AlternateContent>
  <xr:revisionPtr revIDLastSave="0" documentId="13_ncr:1_{55B61EFA-591F-4BAC-9D96-B0144A1D26CF}" xr6:coauthVersionLast="47" xr6:coauthVersionMax="47" xr10:uidLastSave="{00000000-0000-0000-0000-000000000000}"/>
  <bookViews>
    <workbookView xWindow="-120" yWindow="-120" windowWidth="29040" windowHeight="15720" tabRatio="728" xr2:uid="{00000000-000D-0000-FFFF-FFFF00000000}"/>
  </bookViews>
  <sheets>
    <sheet name="Handels-, Vorwärtskalkulation" sheetId="1" r:id="rId1"/>
    <sheet name="Handels-, Rückwärtskalkulation" sheetId="4" r:id="rId2"/>
    <sheet name="Handels-, Differenzkalkulation" sheetId="5" r:id="rId3"/>
    <sheet name="Handelskalkulation im Vergleich" sheetId="6" r:id="rId4"/>
    <sheet name="Zuschlags-, Angebotskalkulation" sheetId="2" r:id="rId5"/>
    <sheet name="Angebotsvergleich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5" l="1"/>
  <c r="I23" i="2"/>
  <c r="H14" i="5"/>
  <c r="H13" i="7"/>
  <c r="H9" i="7"/>
  <c r="H7" i="7"/>
  <c r="F13" i="7"/>
  <c r="F9" i="7"/>
  <c r="F7" i="7"/>
  <c r="D13" i="7"/>
  <c r="D9" i="7"/>
  <c r="D7" i="7"/>
  <c r="E14" i="6" l="1"/>
  <c r="E17" i="6"/>
  <c r="E16" i="6"/>
  <c r="E22" i="6"/>
  <c r="E20" i="6"/>
  <c r="C20" i="6"/>
  <c r="C17" i="6"/>
  <c r="C16" i="6"/>
  <c r="C14" i="6"/>
  <c r="E12" i="6"/>
  <c r="C12" i="6"/>
  <c r="C22" i="6"/>
  <c r="H4" i="7"/>
  <c r="F4" i="7"/>
  <c r="D4" i="7"/>
  <c r="I11" i="7" l="1"/>
  <c r="G11" i="7"/>
  <c r="E11" i="7"/>
  <c r="I6" i="7"/>
  <c r="I7" i="7" s="1"/>
  <c r="G6" i="7"/>
  <c r="G7" i="7" s="1"/>
  <c r="E6" i="7"/>
  <c r="E7" i="7" s="1"/>
  <c r="E8" i="7" l="1"/>
  <c r="E9" i="7" s="1"/>
  <c r="I8" i="7"/>
  <c r="I9" i="7" s="1"/>
  <c r="I10" i="7" s="1"/>
  <c r="I12" i="7" s="1"/>
  <c r="I13" i="7" s="1"/>
  <c r="G8" i="7"/>
  <c r="G9" i="7" s="1"/>
  <c r="J21" i="6"/>
  <c r="H21" i="6"/>
  <c r="H20" i="6" l="1"/>
  <c r="H22" i="6"/>
  <c r="J20" i="6"/>
  <c r="J22" i="6"/>
  <c r="I14" i="7"/>
  <c r="G10" i="7"/>
  <c r="G12" i="7" s="1"/>
  <c r="G13" i="7" s="1"/>
  <c r="E10" i="7"/>
  <c r="E12" i="7" s="1"/>
  <c r="E21" i="4"/>
  <c r="H5" i="6"/>
  <c r="F5" i="6"/>
  <c r="C10" i="6"/>
  <c r="C8" i="6"/>
  <c r="C6" i="6"/>
  <c r="E18" i="6"/>
  <c r="J10" i="6"/>
  <c r="H10" i="6"/>
  <c r="F10" i="6"/>
  <c r="E8" i="6"/>
  <c r="E6" i="6"/>
  <c r="E13" i="7" l="1"/>
  <c r="O13" i="7"/>
  <c r="O14" i="7"/>
  <c r="F6" i="6"/>
  <c r="F7" i="6" s="1"/>
  <c r="H6" i="6"/>
  <c r="H7" i="6" s="1"/>
  <c r="H8" i="6" s="1"/>
  <c r="J19" i="6"/>
  <c r="G14" i="7"/>
  <c r="E14" i="7"/>
  <c r="H23" i="6"/>
  <c r="H19" i="6"/>
  <c r="E21" i="5"/>
  <c r="E5" i="5"/>
  <c r="D12" i="5"/>
  <c r="E10" i="5"/>
  <c r="D8" i="5"/>
  <c r="D6" i="5"/>
  <c r="D22" i="5"/>
  <c r="D20" i="5"/>
  <c r="D17" i="5"/>
  <c r="D16" i="5"/>
  <c r="J18" i="6" l="1"/>
  <c r="J15" i="6" s="1"/>
  <c r="F8" i="6"/>
  <c r="F9" i="6" s="1"/>
  <c r="F11" i="6" s="1"/>
  <c r="J17" i="6"/>
  <c r="J16" i="6"/>
  <c r="E20" i="5"/>
  <c r="E19" i="5" s="1"/>
  <c r="E22" i="5"/>
  <c r="E23" i="5" s="1"/>
  <c r="E6" i="5"/>
  <c r="E7" i="5" s="1"/>
  <c r="D18" i="5"/>
  <c r="H18" i="6"/>
  <c r="H15" i="6" s="1"/>
  <c r="H16" i="6"/>
  <c r="H17" i="6"/>
  <c r="H9" i="6"/>
  <c r="H11" i="6" s="1"/>
  <c r="H12" i="6" s="1"/>
  <c r="J14" i="6" l="1"/>
  <c r="J13" i="6" s="1"/>
  <c r="J12" i="6" s="1"/>
  <c r="F12" i="6"/>
  <c r="F13" i="6" s="1"/>
  <c r="E16" i="5"/>
  <c r="E17" i="5"/>
  <c r="E8" i="5"/>
  <c r="E9" i="5" s="1"/>
  <c r="E11" i="5" s="1"/>
  <c r="E12" i="5" s="1"/>
  <c r="E13" i="5" s="1"/>
  <c r="E18" i="5"/>
  <c r="E15" i="5" s="1"/>
  <c r="H13" i="6"/>
  <c r="H14" i="6" s="1"/>
  <c r="G14" i="6" s="1"/>
  <c r="F14" i="6" l="1"/>
  <c r="F15" i="6" s="1"/>
  <c r="E14" i="5"/>
  <c r="D14" i="5" s="1"/>
  <c r="J11" i="6"/>
  <c r="J9" i="6" s="1"/>
  <c r="J8" i="6" s="1"/>
  <c r="F17" i="6" l="1"/>
  <c r="F16" i="6"/>
  <c r="F18" i="6"/>
  <c r="F19" i="6" s="1"/>
  <c r="F20" i="6" s="1"/>
  <c r="J7" i="6"/>
  <c r="J6" i="6" s="1"/>
  <c r="E10" i="4"/>
  <c r="D22" i="4"/>
  <c r="D20" i="4"/>
  <c r="E20" i="4" s="1"/>
  <c r="D17" i="4"/>
  <c r="D16" i="4"/>
  <c r="D14" i="4"/>
  <c r="D12" i="4"/>
  <c r="D8" i="4"/>
  <c r="D6" i="4"/>
  <c r="F21" i="6" l="1"/>
  <c r="F22" i="6" s="1"/>
  <c r="F23" i="6" s="1"/>
  <c r="E22" i="4"/>
  <c r="E23" i="4" s="1"/>
  <c r="J5" i="6"/>
  <c r="D18" i="4"/>
  <c r="E19" i="4"/>
  <c r="E17" i="4" l="1"/>
  <c r="E16" i="4"/>
  <c r="E18" i="4"/>
  <c r="E15" i="4" s="1"/>
  <c r="E14" i="4" s="1"/>
  <c r="E13" i="4" l="1"/>
  <c r="E12" i="4" s="1"/>
  <c r="E11" i="4" l="1"/>
  <c r="E9" i="4" s="1"/>
  <c r="E8" i="4" s="1"/>
  <c r="E7" i="4" l="1"/>
  <c r="E6" i="4" s="1"/>
  <c r="E5" i="4" l="1"/>
  <c r="K23" i="4" s="1"/>
  <c r="D14" i="1" l="1"/>
  <c r="D23" i="2"/>
  <c r="D21" i="2"/>
  <c r="D18" i="2"/>
  <c r="D17" i="2"/>
  <c r="D15" i="2"/>
  <c r="D13" i="2"/>
  <c r="D12" i="2"/>
  <c r="D9" i="2"/>
  <c r="E8" i="2"/>
  <c r="D6" i="2"/>
  <c r="E5" i="2"/>
  <c r="D17" i="1"/>
  <c r="D16" i="1"/>
  <c r="D20" i="1"/>
  <c r="D22" i="1"/>
  <c r="D12" i="1"/>
  <c r="E10" i="1"/>
  <c r="D8" i="1"/>
  <c r="D6" i="1"/>
  <c r="E5" i="1"/>
  <c r="I20" i="2" l="1"/>
  <c r="E6" i="2"/>
  <c r="E7" i="2" s="1"/>
  <c r="E9" i="2"/>
  <c r="E10" i="2" s="1"/>
  <c r="E6" i="1"/>
  <c r="E7" i="1" s="1"/>
  <c r="E8" i="1" s="1"/>
  <c r="D19" i="2"/>
  <c r="D18" i="1"/>
  <c r="E11" i="2" l="1"/>
  <c r="E9" i="1"/>
  <c r="E11" i="1" s="1"/>
  <c r="E12" i="1" l="1"/>
  <c r="E13" i="1" s="1"/>
  <c r="E13" i="2"/>
  <c r="E12" i="2"/>
  <c r="E14" i="1" l="1"/>
  <c r="E15" i="1" s="1"/>
  <c r="E14" i="2"/>
  <c r="E15" i="2" l="1"/>
  <c r="E16" i="2" s="1"/>
  <c r="E19" i="2" s="1"/>
  <c r="I21" i="2"/>
  <c r="E18" i="1"/>
  <c r="E19" i="1" s="1"/>
  <c r="E20" i="1" s="1"/>
  <c r="E21" i="1" s="1"/>
  <c r="E17" i="1"/>
  <c r="E16" i="1"/>
  <c r="E22" i="1" l="1"/>
  <c r="K23" i="1"/>
  <c r="E17" i="2"/>
  <c r="E18" i="2"/>
  <c r="E23" i="1"/>
  <c r="E20" i="2" l="1"/>
  <c r="E21" i="2" s="1"/>
  <c r="E22" i="2" l="1"/>
  <c r="I19" i="2" s="1"/>
  <c r="J23" i="6"/>
  <c r="E23" i="2" l="1"/>
  <c r="E24" i="2" s="1"/>
</calcChain>
</file>

<file path=xl/sharedStrings.xml><?xml version="1.0" encoding="utf-8"?>
<sst xmlns="http://schemas.openxmlformats.org/spreadsheetml/2006/main" count="383" uniqueCount="78">
  <si>
    <t>-</t>
  </si>
  <si>
    <t>+</t>
  </si>
  <si>
    <t>=</t>
  </si>
  <si>
    <t>%</t>
  </si>
  <si>
    <t>Selbstkosten</t>
  </si>
  <si>
    <t>Gewinnzuschlag</t>
  </si>
  <si>
    <t>Barverkaufspreis</t>
  </si>
  <si>
    <t>Kundenskonto</t>
  </si>
  <si>
    <t>Zielverkaufspreis</t>
  </si>
  <si>
    <t>Kundenrabatt</t>
  </si>
  <si>
    <t>Umsatzsteuer</t>
  </si>
  <si>
    <t>Bruttoverkaufspreis</t>
  </si>
  <si>
    <t>Vertreterprovision</t>
  </si>
  <si>
    <t>Fertigungsmaterial</t>
  </si>
  <si>
    <t>Fertigungslöhne</t>
  </si>
  <si>
    <t>Materialgemeinkosten</t>
  </si>
  <si>
    <t>Fertigungsgemeinkosten</t>
  </si>
  <si>
    <t>Verwaltungsgemeinkosten</t>
  </si>
  <si>
    <t>Vertriebsgemeinkosten</t>
  </si>
  <si>
    <t>Angebotspreis</t>
  </si>
  <si>
    <t>Materialkosten (MK)</t>
  </si>
  <si>
    <t>Fertigungskosten (FK)</t>
  </si>
  <si>
    <t>Zuschlagssätze</t>
  </si>
  <si>
    <t>Eingaben</t>
  </si>
  <si>
    <t>Listeneinkaufspreis</t>
  </si>
  <si>
    <t>Zieleinkaufspreis</t>
  </si>
  <si>
    <t>Bareinkaufspreis</t>
  </si>
  <si>
    <t>Bezugskosten</t>
  </si>
  <si>
    <t>Bezugspreis</t>
  </si>
  <si>
    <t>Handlungskostenzuschlag</t>
  </si>
  <si>
    <t>Skonto + Provision</t>
  </si>
  <si>
    <t>Nettoverkaufspreis</t>
  </si>
  <si>
    <t>Liefererrabatt</t>
  </si>
  <si>
    <t>Liefererskonto</t>
  </si>
  <si>
    <t>Bezugskosten (je Stück)</t>
  </si>
  <si>
    <t>Handlungskostenzuschlagssatz</t>
  </si>
  <si>
    <t>Handelskalkulation/Vorwärtskalkulation</t>
  </si>
  <si>
    <t>Zuschlagskalkulation/Angebotskalkulation</t>
  </si>
  <si>
    <t>Handelskalkulation/Rückwärtskalkulation</t>
  </si>
  <si>
    <t>Handelskalkulation/Differenzkalkulation</t>
  </si>
  <si>
    <t>¡</t>
  </si>
  <si>
    <t>¢</t>
  </si>
  <si>
    <t>Differenzkalkulation</t>
  </si>
  <si>
    <t>Vorwärtskalkulation</t>
  </si>
  <si>
    <t>Rückwärtskalkulation</t>
  </si>
  <si>
    <t>Angebotsvergleich</t>
  </si>
  <si>
    <t>Nettobezugspreis</t>
  </si>
  <si>
    <t>Bruttobezugspreis</t>
  </si>
  <si>
    <t>EUR</t>
  </si>
  <si>
    <t>Herstellkosten (= MK + FK)</t>
  </si>
  <si>
    <t>v. H.</t>
  </si>
  <si>
    <t>i. H.</t>
  </si>
  <si>
    <t>a. H.</t>
  </si>
  <si>
    <t>von Hundert; reiner Grundwert</t>
  </si>
  <si>
    <t>in Hundert; verminderter Grundwert</t>
  </si>
  <si>
    <t>auf Hundert; vermehrter Grundwert</t>
  </si>
  <si>
    <t>Selbstkostenpreis</t>
  </si>
  <si>
    <t>Angebot 1</t>
  </si>
  <si>
    <t>Angebot 2</t>
  </si>
  <si>
    <t>Angebot 3</t>
  </si>
  <si>
    <t>Anbieter</t>
  </si>
  <si>
    <t>Listeneinkaufspreis in EUR</t>
  </si>
  <si>
    <t>Liefererrabatt in Prozent</t>
  </si>
  <si>
    <t>Liefererskonto in Prozent</t>
  </si>
  <si>
    <t>Bezugskosten (je Stück in EUR)</t>
  </si>
  <si>
    <t>Umsatzsteuer in Prozent</t>
  </si>
  <si>
    <t>Das günstigste Angebot stammt vom Anbieter:</t>
  </si>
  <si>
    <t>Der günstigste Stückpreis liegt netto bei:</t>
  </si>
  <si>
    <t>Der Angebotspreis liegt netto bei ... EUR</t>
  </si>
  <si>
    <t>Die kurzfristige PUG liegt bei … EUR</t>
  </si>
  <si>
    <t>Die langfristige PUG liegt bei … EUR</t>
  </si>
  <si>
    <t>Ein möglicher Einführungspreis ist … EUR</t>
  </si>
  <si>
    <t>werden, wenn es für … EUR netto eingekauft werden kann:</t>
  </si>
  <si>
    <t>Das Produkt kann zum Nettoverkaufspreis angeboten</t>
  </si>
  <si>
    <t>ein Gewinn in Höhe von:</t>
  </si>
  <si>
    <t>Aus Listeneinkaufspreis und Nettoverkaufspreis resultiert</t>
  </si>
  <si>
    <t>angeboten werden:</t>
  </si>
  <si>
    <t>Das Produkt kann zu folgendem Nettoverkaufspreis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</si>
</sst>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35" x14ac:knownFonts="1">
    <font>
      <sz val="11"/>
      <color theme="1"/>
      <name val="Aptos"/>
      <family val="2"/>
      <scheme val="minor"/>
    </font>
    <font>
      <sz val="11"/>
      <color theme="1"/>
      <name val="Aptos"/>
      <family val="2"/>
      <scheme val="minor"/>
    </font>
    <font>
      <b/>
      <sz val="10"/>
      <color rgb="FFFF0000"/>
      <name val="Aptos"/>
      <family val="2"/>
      <scheme val="minor"/>
    </font>
    <font>
      <sz val="8"/>
      <color theme="1"/>
      <name val="Aptos"/>
      <family val="2"/>
      <scheme val="minor"/>
    </font>
    <font>
      <b/>
      <sz val="10"/>
      <color theme="6" tint="-0.249977111117893"/>
      <name val="Aptos"/>
      <family val="2"/>
      <scheme val="minor"/>
    </font>
    <font>
      <b/>
      <sz val="10"/>
      <name val="Aptos"/>
      <family val="2"/>
      <scheme val="minor"/>
    </font>
    <font>
      <b/>
      <sz val="10"/>
      <color theme="1"/>
      <name val="Aptos"/>
      <family val="2"/>
      <scheme val="minor"/>
    </font>
    <font>
      <b/>
      <sz val="10"/>
      <color theme="4"/>
      <name val="Aptos"/>
      <family val="2"/>
      <scheme val="minor"/>
    </font>
    <font>
      <b/>
      <sz val="10"/>
      <color theme="0"/>
      <name val="Aptos"/>
      <family val="2"/>
      <scheme val="minor"/>
    </font>
    <font>
      <sz val="10"/>
      <color theme="1"/>
      <name val="Aptos"/>
      <family val="2"/>
      <scheme val="minor"/>
    </font>
    <font>
      <b/>
      <sz val="10"/>
      <color rgb="FF2B2B2B"/>
      <name val="Aptos"/>
      <family val="2"/>
      <scheme val="minor"/>
    </font>
    <font>
      <sz val="10"/>
      <color theme="9"/>
      <name val="Aptos"/>
      <family val="2"/>
      <scheme val="minor"/>
    </font>
    <font>
      <sz val="10"/>
      <name val="Aptos"/>
      <family val="2"/>
      <scheme val="minor"/>
    </font>
    <font>
      <sz val="10"/>
      <color rgb="FF2B2B2B"/>
      <name val="Aptos"/>
      <family val="2"/>
      <scheme val="minor"/>
    </font>
    <font>
      <sz val="10"/>
      <color theme="4"/>
      <name val="Aptos"/>
      <family val="2"/>
      <scheme val="minor"/>
    </font>
    <font>
      <b/>
      <sz val="10"/>
      <color theme="6"/>
      <name val="Aptos"/>
      <family val="2"/>
      <scheme val="minor"/>
    </font>
    <font>
      <b/>
      <sz val="10"/>
      <color theme="5"/>
      <name val="Aptos"/>
      <family val="2"/>
      <scheme val="minor"/>
    </font>
    <font>
      <sz val="14"/>
      <color theme="4"/>
      <name val="Wingdings 3"/>
      <family val="1"/>
      <charset val="2"/>
    </font>
    <font>
      <sz val="14"/>
      <color theme="4"/>
      <name val="Aptos"/>
      <family val="2"/>
      <scheme val="minor"/>
    </font>
    <font>
      <sz val="8"/>
      <color rgb="FF2B2B2B"/>
      <name val="Aptos"/>
      <family val="2"/>
      <scheme val="minor"/>
    </font>
    <font>
      <b/>
      <sz val="10"/>
      <color theme="9"/>
      <name val="Aptos"/>
      <family val="2"/>
      <scheme val="minor"/>
    </font>
    <font>
      <b/>
      <sz val="10"/>
      <color indexed="10"/>
      <name val="Aptos"/>
      <family val="2"/>
      <scheme val="minor"/>
    </font>
    <font>
      <sz val="14"/>
      <color theme="6"/>
      <name val="Wingdings 3"/>
      <family val="1"/>
      <charset val="2"/>
    </font>
    <font>
      <sz val="14"/>
      <color theme="6"/>
      <name val="Aptos"/>
      <family val="2"/>
      <scheme val="minor"/>
    </font>
    <font>
      <sz val="8"/>
      <name val="Aptos"/>
      <family val="2"/>
      <scheme val="minor"/>
    </font>
    <font>
      <b/>
      <sz val="10"/>
      <color indexed="8"/>
      <name val="Aptos"/>
      <family val="2"/>
      <scheme val="minor"/>
    </font>
    <font>
      <sz val="10"/>
      <color theme="0"/>
      <name val="Aptos"/>
      <family val="2"/>
      <scheme val="minor"/>
    </font>
    <font>
      <b/>
      <sz val="8"/>
      <color rgb="FFFF0000"/>
      <name val="Aptos"/>
      <family val="2"/>
      <scheme val="minor"/>
    </font>
    <font>
      <b/>
      <sz val="8"/>
      <name val="Aptos"/>
      <family val="2"/>
      <scheme val="minor"/>
    </font>
    <font>
      <b/>
      <sz val="8"/>
      <color theme="4"/>
      <name val="Aptos"/>
      <family val="2"/>
      <scheme val="minor"/>
    </font>
    <font>
      <b/>
      <sz val="8"/>
      <color theme="5"/>
      <name val="Aptos"/>
      <family val="2"/>
      <scheme val="minor"/>
    </font>
    <font>
      <b/>
      <sz val="8"/>
      <color theme="6"/>
      <name val="Aptos"/>
      <family val="2"/>
      <scheme val="minor"/>
    </font>
    <font>
      <sz val="8"/>
      <color theme="4"/>
      <name val="Aptos"/>
      <family val="2"/>
      <scheme val="minor"/>
    </font>
    <font>
      <b/>
      <sz val="8"/>
      <color rgb="FF2B2B2B"/>
      <name val="Aptos"/>
      <family val="2"/>
      <scheme val="minor"/>
    </font>
    <font>
      <b/>
      <sz val="8"/>
      <color theme="1"/>
      <name val="Apto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9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9" tint="0.79998168889431442"/>
      </patternFill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rgb="FF00A499"/>
      </top>
      <bottom style="thin">
        <color rgb="FF00A499"/>
      </bottom>
      <diagonal/>
    </border>
    <border>
      <left/>
      <right/>
      <top/>
      <bottom style="thin">
        <color rgb="FF00A499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thin">
        <color theme="6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6"/>
      </left>
      <right style="medium">
        <color theme="6"/>
      </right>
      <top/>
      <bottom style="medium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rgb="FF00A499"/>
      </bottom>
      <diagonal/>
    </border>
    <border>
      <left/>
      <right/>
      <top style="thin">
        <color rgb="FF00A499"/>
      </top>
      <bottom style="thin">
        <color theme="6"/>
      </bottom>
      <diagonal/>
    </border>
    <border>
      <left/>
      <right/>
      <top style="thin">
        <color rgb="FF00A499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6"/>
      </left>
      <right/>
      <top style="medium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medium">
        <color theme="6"/>
      </bottom>
      <diagonal/>
    </border>
    <border>
      <left style="thin">
        <color theme="6"/>
      </left>
      <right/>
      <top style="medium">
        <color theme="6"/>
      </top>
      <bottom style="medium">
        <color theme="6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6">
    <xf numFmtId="0" fontId="0" fillId="0" borderId="0" xfId="0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right"/>
      <protection hidden="1"/>
    </xf>
    <xf numFmtId="2" fontId="2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/>
    <xf numFmtId="0" fontId="5" fillId="0" borderId="0" xfId="0" applyFont="1"/>
    <xf numFmtId="0" fontId="7" fillId="0" borderId="0" xfId="0" applyFont="1" applyAlignment="1" applyProtection="1">
      <alignment horizontal="right"/>
      <protection hidden="1"/>
    </xf>
    <xf numFmtId="0" fontId="7" fillId="0" borderId="0" xfId="0" applyFont="1" applyAlignment="1">
      <alignment horizontal="right"/>
    </xf>
    <xf numFmtId="0" fontId="9" fillId="0" borderId="0" xfId="0" applyFont="1" applyProtection="1">
      <protection hidden="1"/>
    </xf>
    <xf numFmtId="0" fontId="9" fillId="0" borderId="0" xfId="0" applyFont="1"/>
    <xf numFmtId="0" fontId="9" fillId="0" borderId="2" xfId="0" applyFont="1" applyBorder="1"/>
    <xf numFmtId="4" fontId="9" fillId="0" borderId="0" xfId="0" applyNumberFormat="1" applyFont="1"/>
    <xf numFmtId="0" fontId="11" fillId="0" borderId="0" xfId="0" applyFont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right"/>
      <protection hidden="1"/>
    </xf>
    <xf numFmtId="0" fontId="12" fillId="0" borderId="0" xfId="0" applyFont="1" applyAlignment="1">
      <alignment horizontal="right"/>
    </xf>
    <xf numFmtId="0" fontId="11" fillId="0" borderId="0" xfId="0" applyFont="1" applyProtection="1">
      <protection hidden="1"/>
    </xf>
    <xf numFmtId="2" fontId="9" fillId="0" borderId="2" xfId="0" applyNumberFormat="1" applyFont="1" applyBorder="1"/>
    <xf numFmtId="0" fontId="13" fillId="0" borderId="1" xfId="0" applyFont="1" applyBorder="1" applyProtection="1">
      <protection hidden="1"/>
    </xf>
    <xf numFmtId="2" fontId="9" fillId="0" borderId="0" xfId="2" applyNumberFormat="1" applyFont="1" applyAlignment="1" applyProtection="1">
      <alignment horizontal="right"/>
      <protection hidden="1"/>
    </xf>
    <xf numFmtId="0" fontId="11" fillId="0" borderId="0" xfId="0" applyFont="1" applyAlignment="1" applyProtection="1">
      <alignment horizontal="right" vertical="center"/>
      <protection hidden="1"/>
    </xf>
    <xf numFmtId="0" fontId="8" fillId="5" borderId="0" xfId="0" applyFont="1" applyFill="1" applyAlignment="1">
      <alignment horizontal="center"/>
    </xf>
    <xf numFmtId="0" fontId="9" fillId="0" borderId="2" xfId="0" applyFont="1" applyFill="1" applyBorder="1"/>
    <xf numFmtId="0" fontId="9" fillId="6" borderId="2" xfId="0" applyFont="1" applyFill="1" applyBorder="1"/>
    <xf numFmtId="0" fontId="9" fillId="6" borderId="4" xfId="0" applyFont="1" applyFill="1" applyBorder="1"/>
    <xf numFmtId="4" fontId="9" fillId="6" borderId="4" xfId="1" applyNumberFormat="1" applyFont="1" applyFill="1" applyBorder="1"/>
    <xf numFmtId="0" fontId="9" fillId="6" borderId="5" xfId="0" applyFont="1" applyFill="1" applyBorder="1"/>
    <xf numFmtId="4" fontId="9" fillId="6" borderId="5" xfId="1" applyNumberFormat="1" applyFont="1" applyFill="1" applyBorder="1"/>
    <xf numFmtId="0" fontId="9" fillId="0" borderId="4" xfId="0" applyFont="1" applyBorder="1"/>
    <xf numFmtId="2" fontId="9" fillId="0" borderId="4" xfId="0" applyNumberFormat="1" applyFont="1" applyBorder="1"/>
    <xf numFmtId="0" fontId="9" fillId="7" borderId="4" xfId="0" applyFont="1" applyFill="1" applyBorder="1" applyProtection="1">
      <protection hidden="1"/>
    </xf>
    <xf numFmtId="0" fontId="6" fillId="7" borderId="4" xfId="0" applyFont="1" applyFill="1" applyBorder="1" applyAlignment="1" applyProtection="1">
      <alignment horizontal="center"/>
      <protection hidden="1"/>
    </xf>
    <xf numFmtId="0" fontId="6" fillId="7" borderId="4" xfId="0" applyFont="1" applyFill="1" applyBorder="1" applyAlignment="1" applyProtection="1">
      <alignment horizontal="right"/>
      <protection hidden="1"/>
    </xf>
    <xf numFmtId="0" fontId="10" fillId="7" borderId="4" xfId="0" applyFont="1" applyFill="1" applyBorder="1" applyProtection="1">
      <protection hidden="1"/>
    </xf>
    <xf numFmtId="0" fontId="9" fillId="0" borderId="4" xfId="0" applyFont="1" applyBorder="1" applyAlignment="1" applyProtection="1">
      <alignment horizontal="center"/>
      <protection hidden="1"/>
    </xf>
    <xf numFmtId="0" fontId="13" fillId="0" borderId="4" xfId="0" applyFont="1" applyBorder="1" applyProtection="1">
      <protection hidden="1"/>
    </xf>
    <xf numFmtId="4" fontId="9" fillId="0" borderId="4" xfId="1" applyNumberFormat="1" applyFont="1" applyBorder="1" applyProtection="1">
      <protection hidden="1"/>
    </xf>
    <xf numFmtId="4" fontId="6" fillId="7" borderId="4" xfId="1" applyNumberFormat="1" applyFont="1" applyFill="1" applyBorder="1" applyProtection="1">
      <protection hidden="1"/>
    </xf>
    <xf numFmtId="2" fontId="9" fillId="0" borderId="4" xfId="2" applyNumberFormat="1" applyFont="1" applyBorder="1" applyAlignment="1" applyProtection="1">
      <alignment horizontal="right"/>
      <protection hidden="1"/>
    </xf>
    <xf numFmtId="2" fontId="6" fillId="7" borderId="5" xfId="2" applyNumberFormat="1" applyFont="1" applyFill="1" applyBorder="1" applyAlignment="1" applyProtection="1">
      <alignment horizontal="right"/>
      <protection hidden="1"/>
    </xf>
    <xf numFmtId="2" fontId="6" fillId="7" borderId="7" xfId="2" applyNumberFormat="1" applyFont="1" applyFill="1" applyBorder="1" applyAlignment="1" applyProtection="1">
      <alignment horizontal="right"/>
      <protection hidden="1"/>
    </xf>
    <xf numFmtId="2" fontId="9" fillId="0" borderId="6" xfId="2" applyNumberFormat="1" applyFont="1" applyBorder="1" applyAlignment="1" applyProtection="1">
      <alignment horizontal="right"/>
      <protection hidden="1"/>
    </xf>
    <xf numFmtId="0" fontId="6" fillId="7" borderId="5" xfId="0" applyFont="1" applyFill="1" applyBorder="1" applyAlignment="1" applyProtection="1">
      <alignment horizontal="center"/>
      <protection hidden="1"/>
    </xf>
    <xf numFmtId="4" fontId="9" fillId="0" borderId="7" xfId="1" applyNumberFormat="1" applyFont="1" applyBorder="1" applyProtection="1">
      <protection hidden="1"/>
    </xf>
    <xf numFmtId="4" fontId="6" fillId="7" borderId="6" xfId="1" applyNumberFormat="1" applyFont="1" applyFill="1" applyBorder="1" applyProtection="1">
      <protection hidden="1"/>
    </xf>
    <xf numFmtId="4" fontId="6" fillId="7" borderId="5" xfId="1" applyNumberFormat="1" applyFont="1" applyFill="1" applyBorder="1" applyProtection="1">
      <protection hidden="1"/>
    </xf>
    <xf numFmtId="4" fontId="6" fillId="7" borderId="7" xfId="1" applyNumberFormat="1" applyFont="1" applyFill="1" applyBorder="1" applyProtection="1">
      <protection hidden="1"/>
    </xf>
    <xf numFmtId="2" fontId="6" fillId="7" borderId="0" xfId="2" applyNumberFormat="1" applyFont="1" applyFill="1" applyBorder="1" applyAlignment="1" applyProtection="1">
      <alignment horizontal="right"/>
      <protection hidden="1"/>
    </xf>
    <xf numFmtId="2" fontId="9" fillId="0" borderId="7" xfId="2" applyNumberFormat="1" applyFont="1" applyBorder="1" applyAlignment="1" applyProtection="1">
      <alignment horizontal="right"/>
      <protection hidden="1"/>
    </xf>
    <xf numFmtId="0" fontId="7" fillId="6" borderId="4" xfId="0" applyFont="1" applyFill="1" applyBorder="1" applyAlignment="1" applyProtection="1">
      <alignment horizontal="right"/>
      <protection hidden="1"/>
    </xf>
    <xf numFmtId="0" fontId="6" fillId="6" borderId="9" xfId="0" applyFont="1" applyFill="1" applyBorder="1"/>
    <xf numFmtId="0" fontId="6" fillId="6" borderId="10" xfId="0" applyFont="1" applyFill="1" applyBorder="1"/>
    <xf numFmtId="0" fontId="6" fillId="6" borderId="0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6" fillId="6" borderId="15" xfId="0" applyFont="1" applyFill="1" applyBorder="1"/>
    <xf numFmtId="0" fontId="9" fillId="0" borderId="0" xfId="0" applyFont="1" applyBorder="1"/>
    <xf numFmtId="0" fontId="15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right"/>
      <protection hidden="1"/>
    </xf>
    <xf numFmtId="0" fontId="7" fillId="6" borderId="8" xfId="0" applyFont="1" applyFill="1" applyBorder="1" applyAlignment="1">
      <alignment horizontal="center"/>
    </xf>
    <xf numFmtId="0" fontId="15" fillId="6" borderId="13" xfId="0" applyFont="1" applyFill="1" applyBorder="1" applyAlignment="1">
      <alignment horizontal="center"/>
    </xf>
    <xf numFmtId="0" fontId="16" fillId="6" borderId="11" xfId="0" applyFont="1" applyFill="1" applyBorder="1" applyAlignment="1">
      <alignment horizontal="center"/>
    </xf>
    <xf numFmtId="0" fontId="9" fillId="0" borderId="0" xfId="0" applyFont="1" applyBorder="1" applyProtection="1">
      <protection hidden="1"/>
    </xf>
    <xf numFmtId="0" fontId="8" fillId="4" borderId="0" xfId="0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Alignment="1">
      <alignment horizontal="center" vertical="center"/>
    </xf>
    <xf numFmtId="0" fontId="18" fillId="0" borderId="0" xfId="0" applyFont="1" applyProtection="1">
      <protection hidden="1"/>
    </xf>
    <xf numFmtId="0" fontId="11" fillId="0" borderId="0" xfId="0" applyFont="1" applyAlignment="1">
      <alignment horizontal="right" vertical="center"/>
    </xf>
    <xf numFmtId="4" fontId="9" fillId="0" borderId="0" xfId="0" applyNumberFormat="1" applyFont="1" applyAlignment="1" applyProtection="1">
      <alignment horizontal="right"/>
      <protection hidden="1"/>
    </xf>
    <xf numFmtId="0" fontId="11" fillId="0" borderId="0" xfId="0" applyFont="1"/>
    <xf numFmtId="2" fontId="9" fillId="0" borderId="0" xfId="0" applyNumberFormat="1" applyFont="1"/>
    <xf numFmtId="4" fontId="9" fillId="0" borderId="0" xfId="1" applyNumberFormat="1" applyFont="1" applyAlignment="1" applyProtection="1">
      <alignment horizontal="right"/>
      <protection hidden="1"/>
    </xf>
    <xf numFmtId="0" fontId="11" fillId="0" borderId="0" xfId="0" applyFont="1" applyAlignment="1">
      <alignment horizontal="left" vertical="center"/>
    </xf>
    <xf numFmtId="0" fontId="15" fillId="6" borderId="4" xfId="0" applyFont="1" applyFill="1" applyBorder="1" applyAlignment="1" applyProtection="1">
      <alignment horizontal="right"/>
      <protection hidden="1"/>
    </xf>
    <xf numFmtId="0" fontId="16" fillId="6" borderId="4" xfId="0" applyFont="1" applyFill="1" applyBorder="1" applyAlignment="1" applyProtection="1">
      <alignment horizontal="right"/>
      <protection hidden="1"/>
    </xf>
    <xf numFmtId="0" fontId="9" fillId="7" borderId="5" xfId="0" applyFont="1" applyFill="1" applyBorder="1" applyProtection="1">
      <protection hidden="1"/>
    </xf>
    <xf numFmtId="0" fontId="13" fillId="0" borderId="0" xfId="0" applyFont="1" applyBorder="1" applyProtection="1">
      <protection hidden="1"/>
    </xf>
    <xf numFmtId="2" fontId="9" fillId="0" borderId="0" xfId="2" applyNumberFormat="1" applyFont="1" applyBorder="1" applyAlignment="1" applyProtection="1">
      <alignment horizontal="right"/>
      <protection hidden="1"/>
    </xf>
    <xf numFmtId="4" fontId="6" fillId="7" borderId="4" xfId="2" applyNumberFormat="1" applyFont="1" applyFill="1" applyBorder="1" applyAlignment="1" applyProtection="1">
      <alignment horizontal="right"/>
      <protection hidden="1"/>
    </xf>
    <xf numFmtId="2" fontId="9" fillId="7" borderId="5" xfId="2" applyNumberFormat="1" applyFont="1" applyFill="1" applyBorder="1" applyAlignment="1" applyProtection="1">
      <alignment horizontal="right"/>
      <protection hidden="1"/>
    </xf>
    <xf numFmtId="2" fontId="9" fillId="7" borderId="7" xfId="2" applyNumberFormat="1" applyFont="1" applyFill="1" applyBorder="1" applyAlignment="1" applyProtection="1">
      <alignment horizontal="right"/>
      <protection hidden="1"/>
    </xf>
    <xf numFmtId="2" fontId="9" fillId="7" borderId="0" xfId="2" applyNumberFormat="1" applyFont="1" applyFill="1" applyBorder="1" applyAlignment="1" applyProtection="1">
      <alignment horizontal="right"/>
      <protection hidden="1"/>
    </xf>
    <xf numFmtId="4" fontId="6" fillId="7" borderId="5" xfId="2" applyNumberFormat="1" applyFont="1" applyFill="1" applyBorder="1" applyAlignment="1" applyProtection="1">
      <alignment horizontal="right"/>
      <protection hidden="1"/>
    </xf>
    <xf numFmtId="4" fontId="6" fillId="7" borderId="7" xfId="2" applyNumberFormat="1" applyFont="1" applyFill="1" applyBorder="1" applyAlignment="1" applyProtection="1">
      <alignment horizontal="right"/>
      <protection hidden="1"/>
    </xf>
    <xf numFmtId="4" fontId="6" fillId="7" borderId="6" xfId="2" applyNumberFormat="1" applyFont="1" applyFill="1" applyBorder="1" applyAlignment="1" applyProtection="1">
      <alignment horizontal="right"/>
      <protection hidden="1"/>
    </xf>
    <xf numFmtId="0" fontId="17" fillId="0" borderId="0" xfId="0" applyFont="1" applyProtection="1">
      <protection hidden="1"/>
    </xf>
    <xf numFmtId="0" fontId="19" fillId="0" borderId="18" xfId="0" applyFont="1" applyBorder="1" applyProtection="1">
      <protection hidden="1"/>
    </xf>
    <xf numFmtId="4" fontId="19" fillId="0" borderId="19" xfId="0" applyNumberFormat="1" applyFont="1" applyBorder="1" applyAlignment="1" applyProtection="1">
      <alignment horizontal="left" indent="2"/>
      <protection hidden="1"/>
    </xf>
    <xf numFmtId="0" fontId="3" fillId="0" borderId="4" xfId="0" applyFont="1" applyBorder="1" applyAlignment="1" applyProtection="1">
      <alignment horizontal="center"/>
      <protection hidden="1"/>
    </xf>
    <xf numFmtId="0" fontId="19" fillId="0" borderId="4" xfId="0" applyFont="1" applyBorder="1" applyProtection="1">
      <protection hidden="1"/>
    </xf>
    <xf numFmtId="4" fontId="3" fillId="0" borderId="4" xfId="1" applyNumberFormat="1" applyFont="1" applyBorder="1" applyAlignment="1" applyProtection="1">
      <alignment horizontal="left" indent="2"/>
      <protection hidden="1"/>
    </xf>
    <xf numFmtId="2" fontId="3" fillId="0" borderId="6" xfId="2" applyNumberFormat="1" applyFont="1" applyBorder="1" applyAlignment="1" applyProtection="1">
      <alignment horizontal="left" indent="2"/>
      <protection hidden="1"/>
    </xf>
    <xf numFmtId="2" fontId="3" fillId="0" borderId="16" xfId="2" applyNumberFormat="1" applyFont="1" applyBorder="1" applyAlignment="1" applyProtection="1">
      <alignment horizontal="left" indent="2"/>
      <protection hidden="1"/>
    </xf>
    <xf numFmtId="4" fontId="9" fillId="0" borderId="0" xfId="1" applyNumberFormat="1" applyFont="1"/>
    <xf numFmtId="0" fontId="10" fillId="0" borderId="0" xfId="0" applyFont="1"/>
    <xf numFmtId="0" fontId="13" fillId="0" borderId="0" xfId="0" applyFont="1"/>
    <xf numFmtId="0" fontId="5" fillId="0" borderId="0" xfId="0" applyFont="1" applyAlignment="1">
      <alignment horizontal="right"/>
    </xf>
    <xf numFmtId="0" fontId="20" fillId="0" borderId="0" xfId="0" applyFont="1" applyProtection="1">
      <protection hidden="1"/>
    </xf>
    <xf numFmtId="2" fontId="21" fillId="0" borderId="0" xfId="0" applyNumberFormat="1" applyFont="1" applyAlignment="1">
      <alignment horizontal="right"/>
    </xf>
    <xf numFmtId="2" fontId="9" fillId="0" borderId="0" xfId="0" applyNumberFormat="1" applyFont="1" applyAlignment="1" applyProtection="1">
      <alignment horizontal="right"/>
      <protection hidden="1"/>
    </xf>
    <xf numFmtId="4" fontId="9" fillId="0" borderId="2" xfId="2" applyNumberFormat="1" applyFont="1" applyFill="1" applyBorder="1"/>
    <xf numFmtId="4" fontId="9" fillId="6" borderId="2" xfId="0" applyNumberFormat="1" applyFont="1" applyFill="1" applyBorder="1"/>
    <xf numFmtId="2" fontId="9" fillId="6" borderId="2" xfId="2" applyNumberFormat="1" applyFont="1" applyFill="1" applyBorder="1"/>
    <xf numFmtId="0" fontId="9" fillId="6" borderId="0" xfId="0" applyFont="1" applyFill="1" applyBorder="1"/>
    <xf numFmtId="4" fontId="9" fillId="6" borderId="0" xfId="1" applyNumberFormat="1" applyFont="1" applyFill="1" applyBorder="1"/>
    <xf numFmtId="0" fontId="9" fillId="0" borderId="0" xfId="0" applyFont="1" applyFill="1" applyBorder="1"/>
    <xf numFmtId="0" fontId="9" fillId="6" borderId="20" xfId="0" applyFont="1" applyFill="1" applyBorder="1"/>
    <xf numFmtId="2" fontId="9" fillId="6" borderId="20" xfId="2" applyNumberFormat="1" applyFont="1" applyFill="1" applyBorder="1"/>
    <xf numFmtId="2" fontId="9" fillId="0" borderId="0" xfId="0" applyNumberFormat="1" applyFont="1" applyBorder="1"/>
    <xf numFmtId="0" fontId="9" fillId="0" borderId="21" xfId="0" applyFont="1" applyBorder="1"/>
    <xf numFmtId="2" fontId="9" fillId="0" borderId="21" xfId="0" applyNumberFormat="1" applyFont="1" applyBorder="1"/>
    <xf numFmtId="2" fontId="9" fillId="0" borderId="0" xfId="0" applyNumberFormat="1" applyFont="1" applyBorder="1" applyAlignment="1" applyProtection="1">
      <alignment horizontal="right"/>
      <protection hidden="1"/>
    </xf>
    <xf numFmtId="2" fontId="6" fillId="0" borderId="0" xfId="0" applyNumberFormat="1" applyFont="1" applyBorder="1" applyAlignment="1" applyProtection="1">
      <alignment horizontal="right"/>
      <protection hidden="1"/>
    </xf>
    <xf numFmtId="4" fontId="6" fillId="0" borderId="0" xfId="0" applyNumberFormat="1" applyFont="1" applyBorder="1" applyAlignment="1" applyProtection="1">
      <alignment horizontal="right"/>
      <protection hidden="1"/>
    </xf>
    <xf numFmtId="4" fontId="9" fillId="7" borderId="4" xfId="2" applyNumberFormat="1" applyFont="1" applyFill="1" applyBorder="1" applyAlignment="1" applyProtection="1">
      <alignment horizontal="right"/>
      <protection hidden="1"/>
    </xf>
    <xf numFmtId="0" fontId="14" fillId="0" borderId="0" xfId="0" applyFont="1" applyBorder="1" applyAlignment="1" applyProtection="1">
      <alignment horizontal="center"/>
      <protection hidden="1"/>
    </xf>
    <xf numFmtId="2" fontId="9" fillId="7" borderId="7" xfId="0" applyNumberFormat="1" applyFont="1" applyFill="1" applyBorder="1" applyAlignment="1" applyProtection="1">
      <alignment horizontal="right"/>
      <protection hidden="1"/>
    </xf>
    <xf numFmtId="2" fontId="9" fillId="0" borderId="6" xfId="0" applyNumberFormat="1" applyFont="1" applyBorder="1" applyAlignment="1" applyProtection="1">
      <alignment horizontal="right"/>
      <protection hidden="1"/>
    </xf>
    <xf numFmtId="2" fontId="9" fillId="7" borderId="0" xfId="0" applyNumberFormat="1" applyFont="1" applyFill="1" applyBorder="1" applyAlignment="1" applyProtection="1">
      <alignment horizontal="right"/>
      <protection hidden="1"/>
    </xf>
    <xf numFmtId="2" fontId="9" fillId="7" borderId="5" xfId="0" applyNumberFormat="1" applyFont="1" applyFill="1" applyBorder="1" applyAlignment="1" applyProtection="1">
      <alignment horizontal="right"/>
      <protection hidden="1"/>
    </xf>
    <xf numFmtId="2" fontId="3" fillId="0" borderId="6" xfId="0" applyNumberFormat="1" applyFont="1" applyBorder="1" applyAlignment="1" applyProtection="1">
      <alignment horizontal="left" indent="2"/>
      <protection hidden="1"/>
    </xf>
    <xf numFmtId="4" fontId="3" fillId="0" borderId="4" xfId="0" applyNumberFormat="1" applyFont="1" applyBorder="1" applyAlignment="1" applyProtection="1">
      <alignment horizontal="left" indent="2"/>
      <protection hidden="1"/>
    </xf>
    <xf numFmtId="0" fontId="22" fillId="0" borderId="0" xfId="0" applyFont="1" applyAlignment="1" applyProtection="1">
      <alignment horizontal="right" vertical="center"/>
      <protection hidden="1"/>
    </xf>
    <xf numFmtId="0" fontId="22" fillId="0" borderId="0" xfId="0" applyFont="1" applyProtection="1">
      <protection hidden="1"/>
    </xf>
    <xf numFmtId="0" fontId="22" fillId="0" borderId="0" xfId="0" applyFont="1" applyAlignment="1" applyProtection="1">
      <alignment horizontal="left" vertical="center"/>
      <protection hidden="1"/>
    </xf>
    <xf numFmtId="0" fontId="23" fillId="0" borderId="0" xfId="0" applyFont="1" applyProtection="1">
      <protection hidden="1"/>
    </xf>
    <xf numFmtId="0" fontId="12" fillId="0" borderId="0" xfId="0" applyFont="1" applyProtection="1">
      <protection hidden="1"/>
    </xf>
    <xf numFmtId="2" fontId="12" fillId="0" borderId="0" xfId="0" applyNumberFormat="1" applyFont="1" applyAlignment="1" applyProtection="1">
      <alignment horizontal="center"/>
      <protection hidden="1"/>
    </xf>
    <xf numFmtId="4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/>
    <xf numFmtId="0" fontId="6" fillId="0" borderId="0" xfId="0" quotePrefix="1" applyFont="1" applyProtection="1">
      <protection hidden="1"/>
    </xf>
    <xf numFmtId="0" fontId="5" fillId="0" borderId="0" xfId="0" applyFont="1" applyProtection="1">
      <protection hidden="1"/>
    </xf>
    <xf numFmtId="2" fontId="5" fillId="0" borderId="0" xfId="0" applyNumberFormat="1" applyFont="1" applyAlignment="1" applyProtection="1">
      <alignment horizontal="right"/>
      <protection hidden="1"/>
    </xf>
    <xf numFmtId="4" fontId="5" fillId="0" borderId="0" xfId="0" applyNumberFormat="1" applyFont="1" applyProtection="1">
      <protection hidden="1"/>
    </xf>
    <xf numFmtId="4" fontId="5" fillId="0" borderId="0" xfId="0" applyNumberFormat="1" applyFont="1" applyAlignment="1" applyProtection="1">
      <alignment horizontal="right"/>
      <protection hidden="1"/>
    </xf>
    <xf numFmtId="0" fontId="9" fillId="0" borderId="0" xfId="0" quotePrefix="1" applyFont="1" applyProtection="1">
      <protection hidden="1"/>
    </xf>
    <xf numFmtId="4" fontId="12" fillId="0" borderId="0" xfId="0" applyNumberFormat="1" applyFont="1" applyProtection="1">
      <protection hidden="1"/>
    </xf>
    <xf numFmtId="164" fontId="9" fillId="0" borderId="0" xfId="0" applyNumberFormat="1" applyFont="1"/>
    <xf numFmtId="0" fontId="26" fillId="5" borderId="0" xfId="0" applyFont="1" applyFill="1" applyAlignment="1" applyProtection="1">
      <alignment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9" fillId="3" borderId="3" xfId="0" applyFont="1" applyFill="1" applyBorder="1"/>
    <xf numFmtId="2" fontId="9" fillId="3" borderId="3" xfId="2" applyNumberFormat="1" applyFont="1" applyFill="1" applyBorder="1"/>
    <xf numFmtId="0" fontId="5" fillId="6" borderId="4" xfId="0" applyFont="1" applyFill="1" applyBorder="1" applyProtection="1">
      <protection hidden="1"/>
    </xf>
    <xf numFmtId="0" fontId="5" fillId="6" borderId="4" xfId="0" applyFont="1" applyFill="1" applyBorder="1" applyAlignment="1" applyProtection="1">
      <alignment horizontal="center"/>
      <protection hidden="1"/>
    </xf>
    <xf numFmtId="0" fontId="5" fillId="6" borderId="4" xfId="0" applyFont="1" applyFill="1" applyBorder="1" applyAlignment="1" applyProtection="1">
      <alignment horizontal="right"/>
      <protection hidden="1"/>
    </xf>
    <xf numFmtId="0" fontId="9" fillId="6" borderId="4" xfId="0" quotePrefix="1" applyFont="1" applyFill="1" applyBorder="1" applyProtection="1">
      <protection hidden="1"/>
    </xf>
    <xf numFmtId="0" fontId="12" fillId="6" borderId="4" xfId="0" applyFont="1" applyFill="1" applyBorder="1" applyProtection="1">
      <protection hidden="1"/>
    </xf>
    <xf numFmtId="4" fontId="12" fillId="6" borderId="4" xfId="0" applyNumberFormat="1" applyFont="1" applyFill="1" applyBorder="1" applyProtection="1">
      <protection hidden="1"/>
    </xf>
    <xf numFmtId="4" fontId="12" fillId="6" borderId="4" xfId="0" applyNumberFormat="1" applyFont="1" applyFill="1" applyBorder="1" applyAlignment="1" applyProtection="1">
      <alignment horizontal="right"/>
      <protection hidden="1"/>
    </xf>
    <xf numFmtId="2" fontId="12" fillId="6" borderId="4" xfId="0" applyNumberFormat="1" applyFont="1" applyFill="1" applyBorder="1" applyAlignment="1" applyProtection="1">
      <alignment horizontal="right"/>
      <protection hidden="1"/>
    </xf>
    <xf numFmtId="0" fontId="6" fillId="6" borderId="4" xfId="0" quotePrefix="1" applyFont="1" applyFill="1" applyBorder="1" applyProtection="1">
      <protection hidden="1"/>
    </xf>
    <xf numFmtId="4" fontId="5" fillId="6" borderId="4" xfId="0" applyNumberFormat="1" applyFont="1" applyFill="1" applyBorder="1" applyProtection="1">
      <protection hidden="1"/>
    </xf>
    <xf numFmtId="4" fontId="5" fillId="6" borderId="4" xfId="0" applyNumberFormat="1" applyFont="1" applyFill="1" applyBorder="1" applyAlignment="1" applyProtection="1">
      <alignment horizontal="right"/>
      <protection hidden="1"/>
    </xf>
    <xf numFmtId="4" fontId="9" fillId="6" borderId="4" xfId="2" applyNumberFormat="1" applyFont="1" applyFill="1" applyBorder="1"/>
    <xf numFmtId="2" fontId="9" fillId="6" borderId="4" xfId="2" applyNumberFormat="1" applyFont="1" applyFill="1" applyBorder="1"/>
    <xf numFmtId="0" fontId="9" fillId="0" borderId="3" xfId="0" applyFont="1" applyFill="1" applyBorder="1"/>
    <xf numFmtId="4" fontId="9" fillId="0" borderId="3" xfId="2" applyNumberFormat="1" applyFont="1" applyFill="1" applyBorder="1"/>
    <xf numFmtId="0" fontId="5" fillId="6" borderId="5" xfId="0" applyFont="1" applyFill="1" applyBorder="1" applyAlignment="1" applyProtection="1">
      <alignment horizontal="center"/>
      <protection hidden="1"/>
    </xf>
    <xf numFmtId="4" fontId="12" fillId="6" borderId="7" xfId="0" applyNumberFormat="1" applyFont="1" applyFill="1" applyBorder="1" applyProtection="1">
      <protection hidden="1"/>
    </xf>
    <xf numFmtId="4" fontId="25" fillId="0" borderId="6" xfId="0" applyNumberFormat="1" applyFont="1" applyBorder="1" applyAlignment="1" applyProtection="1">
      <alignment horizontal="right"/>
      <protection locked="0" hidden="1"/>
    </xf>
    <xf numFmtId="2" fontId="12" fillId="6" borderId="6" xfId="0" applyNumberFormat="1" applyFont="1" applyFill="1" applyBorder="1" applyAlignment="1" applyProtection="1">
      <alignment horizontal="right"/>
      <protection locked="0" hidden="1"/>
    </xf>
    <xf numFmtId="2" fontId="5" fillId="6" borderId="5" xfId="0" applyNumberFormat="1" applyFont="1" applyFill="1" applyBorder="1" applyAlignment="1" applyProtection="1">
      <alignment horizontal="right"/>
      <protection hidden="1"/>
    </xf>
    <xf numFmtId="2" fontId="5" fillId="6" borderId="0" xfId="0" applyNumberFormat="1" applyFont="1" applyFill="1" applyBorder="1" applyAlignment="1" applyProtection="1">
      <alignment horizontal="right"/>
      <protection hidden="1"/>
    </xf>
    <xf numFmtId="4" fontId="25" fillId="6" borderId="6" xfId="0" applyNumberFormat="1" applyFont="1" applyFill="1" applyBorder="1" applyAlignment="1" applyProtection="1">
      <alignment horizontal="right"/>
      <protection locked="0" hidden="1"/>
    </xf>
    <xf numFmtId="0" fontId="3" fillId="0" borderId="4" xfId="0" quotePrefix="1" applyFont="1" applyFill="1" applyBorder="1" applyProtection="1">
      <protection hidden="1"/>
    </xf>
    <xf numFmtId="0" fontId="24" fillId="0" borderId="4" xfId="0" quotePrefix="1" applyFont="1" applyFill="1" applyBorder="1" applyProtection="1">
      <protection hidden="1"/>
    </xf>
    <xf numFmtId="0" fontId="3" fillId="0" borderId="4" xfId="0" quotePrefix="1" applyFont="1" applyBorder="1" applyProtection="1">
      <protection hidden="1"/>
    </xf>
    <xf numFmtId="0" fontId="24" fillId="0" borderId="4" xfId="0" quotePrefix="1" applyFont="1" applyBorder="1" applyProtection="1"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6" fillId="0" borderId="4" xfId="0" quotePrefix="1" applyFont="1" applyFill="1" applyBorder="1" applyProtection="1">
      <protection hidden="1"/>
    </xf>
    <xf numFmtId="0" fontId="5" fillId="0" borderId="4" xfId="0" applyFont="1" applyFill="1" applyBorder="1" applyProtection="1">
      <protection hidden="1"/>
    </xf>
    <xf numFmtId="2" fontId="5" fillId="0" borderId="7" xfId="0" applyNumberFormat="1" applyFont="1" applyFill="1" applyBorder="1" applyAlignment="1" applyProtection="1">
      <alignment horizontal="right"/>
      <protection hidden="1"/>
    </xf>
    <xf numFmtId="4" fontId="5" fillId="0" borderId="4" xfId="0" applyNumberFormat="1" applyFont="1" applyFill="1" applyBorder="1" applyProtection="1">
      <protection hidden="1"/>
    </xf>
    <xf numFmtId="4" fontId="5" fillId="0" borderId="4" xfId="0" applyNumberFormat="1" applyFont="1" applyFill="1" applyBorder="1" applyAlignment="1" applyProtection="1">
      <alignment horizontal="right"/>
      <protection hidden="1"/>
    </xf>
    <xf numFmtId="2" fontId="24" fillId="0" borderId="6" xfId="0" applyNumberFormat="1" applyFont="1" applyFill="1" applyBorder="1" applyAlignment="1" applyProtection="1">
      <alignment horizontal="left" indent="2"/>
      <protection hidden="1"/>
    </xf>
    <xf numFmtId="2" fontId="24" fillId="0" borderId="6" xfId="0" applyNumberFormat="1" applyFont="1" applyBorder="1" applyAlignment="1" applyProtection="1">
      <alignment horizontal="left" indent="2"/>
      <protection hidden="1"/>
    </xf>
    <xf numFmtId="4" fontId="24" fillId="0" borderId="4" xfId="0" applyNumberFormat="1" applyFont="1" applyFill="1" applyBorder="1" applyAlignment="1" applyProtection="1">
      <alignment horizontal="left" indent="2"/>
      <protection hidden="1"/>
    </xf>
    <xf numFmtId="4" fontId="24" fillId="0" borderId="4" xfId="0" applyNumberFormat="1" applyFont="1" applyBorder="1" applyAlignment="1" applyProtection="1">
      <alignment horizontal="left" indent="2"/>
      <protection hidden="1"/>
    </xf>
    <xf numFmtId="2" fontId="12" fillId="0" borderId="6" xfId="0" applyNumberFormat="1" applyFont="1" applyFill="1" applyBorder="1" applyAlignment="1" applyProtection="1">
      <alignment horizontal="right"/>
      <protection locked="0" hidden="1"/>
    </xf>
    <xf numFmtId="2" fontId="20" fillId="6" borderId="4" xfId="0" applyNumberFormat="1" applyFont="1" applyFill="1" applyBorder="1" applyAlignment="1" applyProtection="1">
      <alignment horizontal="right"/>
      <protection hidden="1"/>
    </xf>
    <xf numFmtId="4" fontId="11" fillId="6" borderId="6" xfId="0" applyNumberFormat="1" applyFont="1" applyFill="1" applyBorder="1" applyProtection="1">
      <protection hidden="1"/>
    </xf>
    <xf numFmtId="4" fontId="9" fillId="0" borderId="0" xfId="1" applyNumberFormat="1" applyFont="1" applyBorder="1" applyProtection="1">
      <protection hidden="1"/>
    </xf>
    <xf numFmtId="2" fontId="9" fillId="0" borderId="0" xfId="0" applyNumberFormat="1" applyFont="1" applyBorder="1" applyProtection="1">
      <protection hidden="1"/>
    </xf>
    <xf numFmtId="0" fontId="9" fillId="0" borderId="0" xfId="0" applyFont="1" applyBorder="1" applyAlignment="1" applyProtection="1">
      <alignment horizontal="right"/>
      <protection hidden="1"/>
    </xf>
    <xf numFmtId="4" fontId="9" fillId="0" borderId="3" xfId="1" applyNumberFormat="1" applyFont="1" applyFill="1" applyBorder="1"/>
    <xf numFmtId="2" fontId="9" fillId="0" borderId="0" xfId="2" applyNumberFormat="1" applyFont="1" applyFill="1" applyBorder="1"/>
    <xf numFmtId="0" fontId="9" fillId="0" borderId="4" xfId="0" applyFont="1" applyBorder="1" applyAlignment="1" applyProtection="1">
      <alignment horizontal="right"/>
      <protection hidden="1"/>
    </xf>
    <xf numFmtId="4" fontId="9" fillId="0" borderId="6" xfId="1" applyNumberFormat="1" applyFont="1" applyBorder="1" applyProtection="1">
      <protection hidden="1"/>
    </xf>
    <xf numFmtId="2" fontId="9" fillId="0" borderId="5" xfId="0" applyNumberFormat="1" applyFont="1" applyBorder="1" applyAlignment="1" applyProtection="1">
      <alignment horizontal="right"/>
      <protection hidden="1"/>
    </xf>
    <xf numFmtId="2" fontId="9" fillId="7" borderId="5" xfId="0" applyNumberFormat="1" applyFont="1" applyFill="1" applyBorder="1" applyProtection="1">
      <protection hidden="1"/>
    </xf>
    <xf numFmtId="2" fontId="9" fillId="7" borderId="0" xfId="0" applyNumberFormat="1" applyFont="1" applyFill="1" applyBorder="1" applyProtection="1">
      <protection hidden="1"/>
    </xf>
    <xf numFmtId="0" fontId="6" fillId="7" borderId="5" xfId="0" applyFont="1" applyFill="1" applyBorder="1" applyAlignment="1" applyProtection="1">
      <alignment horizontal="right"/>
      <protection hidden="1"/>
    </xf>
    <xf numFmtId="0" fontId="10" fillId="7" borderId="5" xfId="0" applyFont="1" applyFill="1" applyBorder="1" applyProtection="1">
      <protection hidden="1"/>
    </xf>
    <xf numFmtId="0" fontId="3" fillId="0" borderId="4" xfId="0" applyFont="1" applyBorder="1" applyAlignment="1" applyProtection="1">
      <alignment horizontal="right"/>
      <protection hidden="1"/>
    </xf>
    <xf numFmtId="0" fontId="6" fillId="7" borderId="7" xfId="0" applyFont="1" applyFill="1" applyBorder="1" applyAlignment="1" applyProtection="1">
      <alignment horizontal="right"/>
      <protection hidden="1"/>
    </xf>
    <xf numFmtId="0" fontId="10" fillId="7" borderId="7" xfId="0" applyFont="1" applyFill="1" applyBorder="1" applyProtection="1">
      <protection hidden="1"/>
    </xf>
    <xf numFmtId="0" fontId="22" fillId="0" borderId="0" xfId="0" applyFont="1"/>
    <xf numFmtId="0" fontId="22" fillId="0" borderId="0" xfId="0" applyFont="1" applyAlignment="1">
      <alignment horizontal="right" vertical="center"/>
    </xf>
    <xf numFmtId="0" fontId="9" fillId="0" borderId="22" xfId="0" applyFont="1" applyBorder="1"/>
    <xf numFmtId="9" fontId="9" fillId="0" borderId="22" xfId="0" applyNumberFormat="1" applyFont="1" applyBorder="1"/>
    <xf numFmtId="0" fontId="9" fillId="6" borderId="7" xfId="0" applyFont="1" applyFill="1" applyBorder="1"/>
    <xf numFmtId="2" fontId="9" fillId="6" borderId="7" xfId="2" applyNumberFormat="1" applyFont="1" applyFill="1" applyBorder="1"/>
    <xf numFmtId="0" fontId="8" fillId="5" borderId="0" xfId="0" applyFont="1" applyFill="1" applyBorder="1" applyAlignment="1">
      <alignment horizontal="center" vertical="center"/>
    </xf>
    <xf numFmtId="44" fontId="8" fillId="5" borderId="0" xfId="1" applyFont="1" applyFill="1" applyBorder="1" applyAlignment="1">
      <alignment horizontal="center" vertical="center"/>
    </xf>
    <xf numFmtId="2" fontId="9" fillId="0" borderId="0" xfId="0" applyNumberFormat="1" applyFont="1" applyProtection="1">
      <protection hidden="1"/>
    </xf>
    <xf numFmtId="0" fontId="6" fillId="0" borderId="0" xfId="0" applyFont="1" applyProtection="1">
      <protection hidden="1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10" fontId="9" fillId="0" borderId="0" xfId="2" applyNumberFormat="1" applyFont="1" applyFill="1" applyBorder="1"/>
    <xf numFmtId="164" fontId="9" fillId="0" borderId="0" xfId="2" applyNumberFormat="1" applyFont="1" applyFill="1" applyBorder="1"/>
    <xf numFmtId="10" fontId="9" fillId="0" borderId="0" xfId="0" applyNumberFormat="1" applyFont="1" applyFill="1" applyBorder="1"/>
    <xf numFmtId="0" fontId="8" fillId="0" borderId="0" xfId="0" applyFont="1" applyFill="1" applyBorder="1" applyAlignment="1">
      <alignment horizontal="center"/>
    </xf>
    <xf numFmtId="164" fontId="9" fillId="0" borderId="0" xfId="1" applyNumberFormat="1" applyFont="1" applyFill="1" applyBorder="1"/>
    <xf numFmtId="0" fontId="8" fillId="5" borderId="0" xfId="0" applyFont="1" applyFill="1" applyBorder="1" applyAlignment="1">
      <alignment vertical="center"/>
    </xf>
    <xf numFmtId="0" fontId="9" fillId="8" borderId="4" xfId="0" quotePrefix="1" applyFont="1" applyFill="1" applyBorder="1" applyProtection="1">
      <protection hidden="1"/>
    </xf>
    <xf numFmtId="0" fontId="9" fillId="8" borderId="4" xfId="0" applyFont="1" applyFill="1" applyBorder="1" applyProtection="1">
      <protection hidden="1"/>
    </xf>
    <xf numFmtId="4" fontId="9" fillId="8" borderId="4" xfId="0" applyNumberFormat="1" applyFont="1" applyFill="1" applyBorder="1" applyProtection="1">
      <protection hidden="1"/>
    </xf>
    <xf numFmtId="2" fontId="9" fillId="8" borderId="4" xfId="0" applyNumberFormat="1" applyFont="1" applyFill="1" applyBorder="1" applyProtection="1">
      <protection hidden="1"/>
    </xf>
    <xf numFmtId="0" fontId="9" fillId="8" borderId="4" xfId="0" applyFont="1" applyFill="1" applyBorder="1" applyAlignment="1">
      <alignment horizontal="center"/>
    </xf>
    <xf numFmtId="2" fontId="9" fillId="8" borderId="4" xfId="2" applyNumberFormat="1" applyFont="1" applyFill="1" applyBorder="1"/>
    <xf numFmtId="4" fontId="9" fillId="8" borderId="4" xfId="2" applyNumberFormat="1" applyFont="1" applyFill="1" applyBorder="1"/>
    <xf numFmtId="0" fontId="9" fillId="8" borderId="5" xfId="0" applyFont="1" applyFill="1" applyBorder="1" applyProtection="1">
      <protection hidden="1"/>
    </xf>
    <xf numFmtId="0" fontId="9" fillId="8" borderId="7" xfId="0" applyFont="1" applyFill="1" applyBorder="1" applyProtection="1">
      <protection hidden="1"/>
    </xf>
    <xf numFmtId="0" fontId="6" fillId="0" borderId="4" xfId="0" quotePrefix="1" applyFont="1" applyBorder="1" applyProtection="1">
      <protection hidden="1"/>
    </xf>
    <xf numFmtId="0" fontId="6" fillId="0" borderId="4" xfId="0" applyFont="1" applyBorder="1" applyProtection="1">
      <protection hidden="1"/>
    </xf>
    <xf numFmtId="0" fontId="9" fillId="8" borderId="0" xfId="0" applyFont="1" applyFill="1" applyBorder="1" applyProtection="1">
      <protection hidden="1"/>
    </xf>
    <xf numFmtId="0" fontId="9" fillId="0" borderId="4" xfId="0" applyFont="1" applyBorder="1" applyProtection="1">
      <protection hidden="1"/>
    </xf>
    <xf numFmtId="4" fontId="9" fillId="0" borderId="6" xfId="0" applyNumberFormat="1" applyFont="1" applyBorder="1" applyProtection="1">
      <protection hidden="1"/>
    </xf>
    <xf numFmtId="2" fontId="9" fillId="8" borderId="6" xfId="0" applyNumberFormat="1" applyFont="1" applyFill="1" applyBorder="1" applyProtection="1">
      <protection hidden="1"/>
    </xf>
    <xf numFmtId="4" fontId="9" fillId="8" borderId="6" xfId="0" applyNumberFormat="1" applyFont="1" applyFill="1" applyBorder="1" applyProtection="1">
      <protection hidden="1"/>
    </xf>
    <xf numFmtId="4" fontId="9" fillId="8" borderId="7" xfId="0" applyNumberFormat="1" applyFont="1" applyFill="1" applyBorder="1" applyProtection="1">
      <protection hidden="1"/>
    </xf>
    <xf numFmtId="0" fontId="5" fillId="8" borderId="23" xfId="0" applyFont="1" applyFill="1" applyBorder="1" applyAlignment="1" applyProtection="1">
      <alignment horizontal="center" vertical="center" wrapText="1"/>
      <protection hidden="1"/>
    </xf>
    <xf numFmtId="0" fontId="5" fillId="8" borderId="24" xfId="0" applyFont="1" applyFill="1" applyBorder="1" applyAlignment="1" applyProtection="1">
      <alignment horizontal="center"/>
      <protection hidden="1"/>
    </xf>
    <xf numFmtId="2" fontId="9" fillId="0" borderId="25" xfId="0" applyNumberFormat="1" applyFont="1" applyBorder="1" applyProtection="1">
      <protection hidden="1"/>
    </xf>
    <xf numFmtId="2" fontId="6" fillId="0" borderId="25" xfId="0" applyNumberFormat="1" applyFont="1" applyBorder="1" applyProtection="1">
      <protection hidden="1"/>
    </xf>
    <xf numFmtId="2" fontId="9" fillId="8" borderId="17" xfId="0" applyNumberFormat="1" applyFont="1" applyFill="1" applyBorder="1" applyProtection="1">
      <protection hidden="1"/>
    </xf>
    <xf numFmtId="2" fontId="6" fillId="0" borderId="23" xfId="0" applyNumberFormat="1" applyFont="1" applyBorder="1" applyProtection="1">
      <protection hidden="1"/>
    </xf>
    <xf numFmtId="0" fontId="5" fillId="8" borderId="5" xfId="0" applyFont="1" applyFill="1" applyBorder="1" applyAlignment="1" applyProtection="1">
      <alignment horizontal="center" vertical="center" wrapText="1"/>
      <protection hidden="1"/>
    </xf>
    <xf numFmtId="0" fontId="5" fillId="8" borderId="0" xfId="0" applyFont="1" applyFill="1" applyBorder="1" applyAlignment="1" applyProtection="1">
      <alignment horizontal="center"/>
      <protection hidden="1"/>
    </xf>
    <xf numFmtId="4" fontId="9" fillId="0" borderId="26" xfId="0" applyNumberFormat="1" applyFont="1" applyBorder="1" applyProtection="1">
      <protection hidden="1"/>
    </xf>
    <xf numFmtId="4" fontId="6" fillId="0" borderId="0" xfId="0" applyNumberFormat="1" applyFont="1" applyBorder="1" applyProtection="1">
      <protection hidden="1"/>
    </xf>
    <xf numFmtId="4" fontId="9" fillId="8" borderId="26" xfId="0" applyNumberFormat="1" applyFont="1" applyFill="1" applyBorder="1" applyProtection="1">
      <protection hidden="1"/>
    </xf>
    <xf numFmtId="4" fontId="6" fillId="0" borderId="7" xfId="0" applyNumberFormat="1" applyFont="1" applyBorder="1" applyProtection="1">
      <protection hidden="1"/>
    </xf>
    <xf numFmtId="0" fontId="9" fillId="0" borderId="28" xfId="0" applyFont="1" applyBorder="1" applyProtection="1">
      <protection hidden="1"/>
    </xf>
    <xf numFmtId="0" fontId="9" fillId="0" borderId="31" xfId="0" applyFont="1" applyBorder="1" applyProtection="1">
      <protection hidden="1"/>
    </xf>
    <xf numFmtId="2" fontId="6" fillId="0" borderId="34" xfId="0" applyNumberFormat="1" applyFont="1" applyBorder="1" applyProtection="1">
      <protection hidden="1"/>
    </xf>
    <xf numFmtId="2" fontId="6" fillId="0" borderId="33" xfId="0" applyNumberFormat="1" applyFont="1" applyBorder="1" applyProtection="1">
      <protection hidden="1"/>
    </xf>
    <xf numFmtId="2" fontId="6" fillId="0" borderId="35" xfId="0" applyNumberFormat="1" applyFont="1" applyBorder="1" applyProtection="1">
      <protection hidden="1"/>
    </xf>
    <xf numFmtId="0" fontId="8" fillId="0" borderId="0" xfId="0" applyFont="1" applyFill="1" applyBorder="1" applyAlignment="1">
      <alignment vertical="center"/>
    </xf>
    <xf numFmtId="0" fontId="20" fillId="0" borderId="0" xfId="0" applyFont="1" applyBorder="1" applyAlignment="1" applyProtection="1">
      <alignment vertical="center"/>
      <protection hidden="1"/>
    </xf>
    <xf numFmtId="4" fontId="20" fillId="0" borderId="0" xfId="0" applyNumberFormat="1" applyFont="1" applyBorder="1" applyAlignment="1" applyProtection="1">
      <alignment vertical="center"/>
      <protection hidden="1"/>
    </xf>
    <xf numFmtId="4" fontId="20" fillId="2" borderId="31" xfId="0" applyNumberFormat="1" applyFont="1" applyFill="1" applyBorder="1" applyAlignment="1" applyProtection="1">
      <alignment vertical="center"/>
      <protection hidden="1"/>
    </xf>
    <xf numFmtId="4" fontId="20" fillId="2" borderId="32" xfId="0" applyNumberFormat="1" applyFont="1" applyFill="1" applyBorder="1" applyAlignment="1" applyProtection="1">
      <alignment vertical="center"/>
      <protection hidden="1"/>
    </xf>
    <xf numFmtId="0" fontId="20" fillId="2" borderId="28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6" fillId="8" borderId="4" xfId="0" applyFont="1" applyFill="1" applyBorder="1"/>
    <xf numFmtId="0" fontId="6" fillId="0" borderId="4" xfId="0" applyFont="1" applyBorder="1"/>
    <xf numFmtId="0" fontId="6" fillId="0" borderId="0" xfId="0" applyFont="1"/>
    <xf numFmtId="0" fontId="6" fillId="0" borderId="2" xfId="0" applyFont="1" applyBorder="1"/>
    <xf numFmtId="0" fontId="27" fillId="0" borderId="4" xfId="0" applyFont="1" applyFill="1" applyBorder="1" applyAlignment="1" applyProtection="1">
      <alignment horizontal="left" indent="7"/>
      <protection hidden="1"/>
    </xf>
    <xf numFmtId="0" fontId="27" fillId="0" borderId="4" xfId="0" applyFont="1" applyBorder="1" applyAlignment="1" applyProtection="1">
      <alignment horizontal="left" indent="7"/>
      <protection hidden="1"/>
    </xf>
    <xf numFmtId="0" fontId="5" fillId="0" borderId="0" xfId="0" applyFont="1" applyAlignment="1" applyProtection="1">
      <alignment horizontal="left" indent="6"/>
      <protection hidden="1"/>
    </xf>
    <xf numFmtId="0" fontId="28" fillId="0" borderId="4" xfId="0" applyFont="1" applyFill="1" applyBorder="1" applyAlignment="1" applyProtection="1">
      <alignment horizontal="left" indent="6"/>
      <protection hidden="1"/>
    </xf>
    <xf numFmtId="0" fontId="28" fillId="0" borderId="4" xfId="0" applyFont="1" applyBorder="1" applyAlignment="1" applyProtection="1">
      <alignment horizontal="left" indent="6"/>
      <protection hidden="1"/>
    </xf>
    <xf numFmtId="0" fontId="29" fillId="6" borderId="4" xfId="0" applyFont="1" applyFill="1" applyBorder="1" applyAlignment="1" applyProtection="1">
      <alignment horizontal="left" indent="7"/>
      <protection hidden="1"/>
    </xf>
    <xf numFmtId="0" fontId="27" fillId="0" borderId="0" xfId="0" applyFont="1" applyAlignment="1" applyProtection="1">
      <alignment horizontal="left" indent="7"/>
      <protection hidden="1"/>
    </xf>
    <xf numFmtId="0" fontId="27" fillId="6" borderId="4" xfId="0" applyFont="1" applyFill="1" applyBorder="1" applyAlignment="1" applyProtection="1">
      <alignment horizontal="left" indent="7"/>
      <protection hidden="1"/>
    </xf>
    <xf numFmtId="2" fontId="29" fillId="6" borderId="4" xfId="0" applyNumberFormat="1" applyFont="1" applyFill="1" applyBorder="1" applyAlignment="1" applyProtection="1">
      <alignment horizontal="left" indent="7"/>
      <protection hidden="1"/>
    </xf>
    <xf numFmtId="0" fontId="30" fillId="0" borderId="4" xfId="0" applyFont="1" applyFill="1" applyBorder="1" applyAlignment="1" applyProtection="1">
      <alignment horizontal="left" indent="7"/>
      <protection hidden="1"/>
    </xf>
    <xf numFmtId="0" fontId="30" fillId="0" borderId="0" xfId="0" applyFont="1" applyAlignment="1" applyProtection="1">
      <alignment horizontal="left" indent="7"/>
      <protection hidden="1"/>
    </xf>
    <xf numFmtId="0" fontId="28" fillId="6" borderId="4" xfId="0" applyFont="1" applyFill="1" applyBorder="1" applyAlignment="1" applyProtection="1">
      <alignment horizontal="left" indent="7"/>
      <protection hidden="1"/>
    </xf>
    <xf numFmtId="0" fontId="31" fillId="0" borderId="0" xfId="0" applyFont="1" applyAlignment="1" applyProtection="1">
      <alignment horizontal="left" indent="7"/>
      <protection hidden="1"/>
    </xf>
    <xf numFmtId="0" fontId="29" fillId="6" borderId="4" xfId="0" applyFont="1" applyFill="1" applyBorder="1" applyAlignment="1" applyProtection="1">
      <alignment horizontal="left" indent="6"/>
      <protection hidden="1"/>
    </xf>
    <xf numFmtId="0" fontId="27" fillId="0" borderId="0" xfId="0" applyFont="1" applyAlignment="1" applyProtection="1">
      <alignment horizontal="left" indent="6"/>
      <protection hidden="1"/>
    </xf>
    <xf numFmtId="0" fontId="27" fillId="6" borderId="4" xfId="0" applyFont="1" applyFill="1" applyBorder="1" applyAlignment="1" applyProtection="1">
      <alignment horizontal="left" indent="6"/>
      <protection hidden="1"/>
    </xf>
    <xf numFmtId="0" fontId="29" fillId="0" borderId="4" xfId="0" applyFont="1" applyFill="1" applyBorder="1" applyAlignment="1" applyProtection="1">
      <alignment horizontal="left" indent="6"/>
      <protection hidden="1"/>
    </xf>
    <xf numFmtId="0" fontId="29" fillId="0" borderId="0" xfId="0" applyFont="1" applyAlignment="1" applyProtection="1">
      <alignment horizontal="left" indent="6"/>
      <protection hidden="1"/>
    </xf>
    <xf numFmtId="0" fontId="28" fillId="6" borderId="4" xfId="0" applyFont="1" applyFill="1" applyBorder="1" applyAlignment="1" applyProtection="1">
      <alignment horizontal="left" indent="6"/>
      <protection hidden="1"/>
    </xf>
    <xf numFmtId="0" fontId="31" fillId="0" borderId="0" xfId="0" applyFont="1" applyAlignment="1" applyProtection="1">
      <alignment horizontal="left" indent="6"/>
      <protection hidden="1"/>
    </xf>
    <xf numFmtId="0" fontId="30" fillId="6" borderId="4" xfId="0" applyFont="1" applyFill="1" applyBorder="1" applyAlignment="1" applyProtection="1">
      <alignment horizontal="left" indent="7"/>
      <protection hidden="1"/>
    </xf>
    <xf numFmtId="0" fontId="31" fillId="6" borderId="4" xfId="0" applyFont="1" applyFill="1" applyBorder="1" applyAlignment="1" applyProtection="1">
      <alignment horizontal="left" indent="7"/>
      <protection hidden="1"/>
    </xf>
    <xf numFmtId="0" fontId="29" fillId="0" borderId="4" xfId="0" applyFont="1" applyFill="1" applyBorder="1" applyAlignment="1" applyProtection="1">
      <alignment horizontal="left" indent="7"/>
      <protection hidden="1"/>
    </xf>
    <xf numFmtId="0" fontId="29" fillId="0" borderId="0" xfId="0" applyFont="1" applyAlignment="1" applyProtection="1">
      <alignment horizontal="left" indent="7"/>
      <protection hidden="1"/>
    </xf>
    <xf numFmtId="0" fontId="9" fillId="6" borderId="9" xfId="0" applyFont="1" applyFill="1" applyBorder="1"/>
    <xf numFmtId="0" fontId="9" fillId="6" borderId="14" xfId="0" applyFont="1" applyFill="1" applyBorder="1"/>
    <xf numFmtId="0" fontId="29" fillId="0" borderId="0" xfId="0" applyFont="1" applyBorder="1" applyProtection="1">
      <protection hidden="1"/>
    </xf>
    <xf numFmtId="0" fontId="29" fillId="7" borderId="4" xfId="0" applyFont="1" applyFill="1" applyBorder="1" applyProtection="1">
      <protection hidden="1"/>
    </xf>
    <xf numFmtId="0" fontId="32" fillId="0" borderId="0" xfId="0" applyFont="1" applyBorder="1" applyProtection="1">
      <protection hidden="1"/>
    </xf>
    <xf numFmtId="0" fontId="33" fillId="7" borderId="4" xfId="0" applyFont="1" applyFill="1" applyBorder="1" applyProtection="1">
      <protection hidden="1"/>
    </xf>
    <xf numFmtId="0" fontId="29" fillId="0" borderId="4" xfId="0" applyFont="1" applyBorder="1" applyProtection="1">
      <protection hidden="1"/>
    </xf>
    <xf numFmtId="0" fontId="31" fillId="0" borderId="0" xfId="0" applyFont="1" applyBorder="1" applyProtection="1">
      <protection hidden="1"/>
    </xf>
    <xf numFmtId="0" fontId="9" fillId="0" borderId="7" xfId="0" applyFont="1" applyBorder="1" applyProtection="1">
      <protection hidden="1"/>
    </xf>
    <xf numFmtId="0" fontId="9" fillId="0" borderId="1" xfId="0" applyFont="1" applyBorder="1" applyAlignment="1" applyProtection="1">
      <alignment horizontal="center"/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20" fillId="2" borderId="0" xfId="0" applyFont="1" applyFill="1" applyProtection="1">
      <protection hidden="1"/>
    </xf>
    <xf numFmtId="4" fontId="20" fillId="2" borderId="0" xfId="0" applyNumberFormat="1" applyFont="1" applyFill="1" applyAlignment="1" applyProtection="1">
      <alignment horizontal="center"/>
      <protection hidden="1"/>
    </xf>
    <xf numFmtId="164" fontId="20" fillId="2" borderId="0" xfId="0" applyNumberFormat="1" applyFont="1" applyFill="1" applyAlignment="1" applyProtection="1">
      <alignment horizontal="center"/>
      <protection hidden="1"/>
    </xf>
    <xf numFmtId="0" fontId="9" fillId="2" borderId="0" xfId="0" applyFont="1" applyFill="1" applyProtection="1">
      <protection hidden="1"/>
    </xf>
    <xf numFmtId="0" fontId="20" fillId="0" borderId="27" xfId="0" applyFont="1" applyBorder="1" applyProtection="1">
      <protection hidden="1"/>
    </xf>
    <xf numFmtId="0" fontId="9" fillId="0" borderId="28" xfId="0" applyFont="1" applyFill="1" applyBorder="1" applyProtection="1">
      <protection hidden="1"/>
    </xf>
    <xf numFmtId="10" fontId="9" fillId="0" borderId="28" xfId="0" applyNumberFormat="1" applyFont="1" applyFill="1" applyBorder="1" applyProtection="1">
      <protection hidden="1"/>
    </xf>
    <xf numFmtId="0" fontId="20" fillId="0" borderId="30" xfId="0" applyFont="1" applyBorder="1" applyProtection="1">
      <protection hidden="1"/>
    </xf>
    <xf numFmtId="0" fontId="9" fillId="0" borderId="31" xfId="0" applyFont="1" applyFill="1" applyBorder="1" applyProtection="1">
      <protection hidden="1"/>
    </xf>
    <xf numFmtId="0" fontId="3" fillId="0" borderId="0" xfId="0" quotePrefix="1" applyFont="1" applyProtection="1">
      <protection hidden="1"/>
    </xf>
    <xf numFmtId="0" fontId="3" fillId="0" borderId="0" xfId="0" applyFont="1" applyProtection="1">
      <protection hidden="1"/>
    </xf>
    <xf numFmtId="2" fontId="3" fillId="0" borderId="6" xfId="0" applyNumberFormat="1" applyFont="1" applyBorder="1" applyProtection="1">
      <protection hidden="1"/>
    </xf>
    <xf numFmtId="0" fontId="3" fillId="0" borderId="0" xfId="0" applyFont="1" applyBorder="1" applyProtection="1">
      <protection hidden="1"/>
    </xf>
    <xf numFmtId="0" fontId="34" fillId="8" borderId="4" xfId="0" quotePrefix="1" applyFont="1" applyFill="1" applyBorder="1" applyProtection="1">
      <protection hidden="1"/>
    </xf>
    <xf numFmtId="0" fontId="34" fillId="8" borderId="4" xfId="0" applyFont="1" applyFill="1" applyBorder="1" applyProtection="1">
      <protection hidden="1"/>
    </xf>
    <xf numFmtId="2" fontId="34" fillId="8" borderId="24" xfId="0" applyNumberFormat="1" applyFont="1" applyFill="1" applyBorder="1" applyProtection="1">
      <protection hidden="1"/>
    </xf>
    <xf numFmtId="4" fontId="34" fillId="8" borderId="4" xfId="0" applyNumberFormat="1" applyFont="1" applyFill="1" applyBorder="1" applyProtection="1">
      <protection hidden="1"/>
    </xf>
    <xf numFmtId="2" fontId="34" fillId="8" borderId="33" xfId="0" applyNumberFormat="1" applyFont="1" applyFill="1" applyBorder="1" applyProtection="1">
      <protection hidden="1"/>
    </xf>
    <xf numFmtId="4" fontId="20" fillId="2" borderId="0" xfId="0" applyNumberFormat="1" applyFont="1" applyFill="1" applyProtection="1">
      <protection hidden="1"/>
    </xf>
    <xf numFmtId="0" fontId="20" fillId="2" borderId="0" xfId="0" applyFont="1" applyFill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right"/>
      <protection hidden="1"/>
    </xf>
    <xf numFmtId="0" fontId="19" fillId="0" borderId="0" xfId="0" applyFont="1" applyBorder="1" applyProtection="1">
      <protection hidden="1"/>
    </xf>
    <xf numFmtId="2" fontId="3" fillId="0" borderId="6" xfId="0" applyNumberFormat="1" applyFont="1" applyBorder="1" applyAlignment="1" applyProtection="1">
      <alignment horizontal="right"/>
      <protection hidden="1"/>
    </xf>
    <xf numFmtId="4" fontId="3" fillId="0" borderId="0" xfId="1" applyNumberFormat="1" applyFont="1" applyBorder="1" applyProtection="1">
      <protection hidden="1"/>
    </xf>
    <xf numFmtId="0" fontId="34" fillId="7" borderId="4" xfId="0" applyFont="1" applyFill="1" applyBorder="1" applyAlignment="1" applyProtection="1">
      <alignment horizontal="right"/>
      <protection hidden="1"/>
    </xf>
    <xf numFmtId="2" fontId="34" fillId="7" borderId="7" xfId="0" applyNumberFormat="1" applyFont="1" applyFill="1" applyBorder="1" applyProtection="1">
      <protection hidden="1"/>
    </xf>
    <xf numFmtId="4" fontId="34" fillId="7" borderId="4" xfId="1" applyNumberFormat="1" applyFont="1" applyFill="1" applyBorder="1" applyProtection="1">
      <protection hidden="1"/>
    </xf>
    <xf numFmtId="2" fontId="24" fillId="0" borderId="6" xfId="0" applyNumberFormat="1" applyFont="1" applyFill="1" applyBorder="1" applyAlignment="1" applyProtection="1">
      <alignment horizontal="right"/>
      <protection locked="0" hidden="1"/>
    </xf>
    <xf numFmtId="4" fontId="3" fillId="0" borderId="0" xfId="0" applyNumberFormat="1" applyFont="1" applyProtection="1">
      <protection hidden="1"/>
    </xf>
    <xf numFmtId="0" fontId="34" fillId="6" borderId="4" xfId="0" quotePrefix="1" applyFont="1" applyFill="1" applyBorder="1" applyProtection="1">
      <protection hidden="1"/>
    </xf>
    <xf numFmtId="0" fontId="34" fillId="6" borderId="4" xfId="0" applyFont="1" applyFill="1" applyBorder="1" applyProtection="1">
      <protection hidden="1"/>
    </xf>
    <xf numFmtId="2" fontId="34" fillId="6" borderId="7" xfId="0" applyNumberFormat="1" applyFont="1" applyFill="1" applyBorder="1" applyProtection="1">
      <protection hidden="1"/>
    </xf>
    <xf numFmtId="4" fontId="34" fillId="6" borderId="4" xfId="0" applyNumberFormat="1" applyFont="1" applyFill="1" applyBorder="1" applyProtection="1">
      <protection hidden="1"/>
    </xf>
    <xf numFmtId="0" fontId="34" fillId="6" borderId="4" xfId="0" applyFont="1" applyFill="1" applyBorder="1" applyAlignment="1" applyProtection="1">
      <alignment horizontal="left" indent="6"/>
      <protection hidden="1"/>
    </xf>
    <xf numFmtId="0" fontId="3" fillId="0" borderId="0" xfId="0" applyFont="1" applyBorder="1" applyAlignment="1" applyProtection="1">
      <alignment horizontal="center"/>
      <protection hidden="1"/>
    </xf>
    <xf numFmtId="4" fontId="3" fillId="0" borderId="0" xfId="1" applyNumberFormat="1" applyFont="1" applyAlignment="1" applyProtection="1">
      <alignment horizontal="right"/>
      <protection hidden="1"/>
    </xf>
    <xf numFmtId="0" fontId="34" fillId="7" borderId="4" xfId="0" applyFont="1" applyFill="1" applyBorder="1" applyAlignment="1" applyProtection="1">
      <alignment horizontal="center"/>
      <protection hidden="1"/>
    </xf>
    <xf numFmtId="2" fontId="3" fillId="7" borderId="7" xfId="0" applyNumberFormat="1" applyFont="1" applyFill="1" applyBorder="1" applyAlignment="1" applyProtection="1">
      <alignment horizontal="right"/>
      <protection hidden="1"/>
    </xf>
    <xf numFmtId="4" fontId="34" fillId="7" borderId="4" xfId="2" applyNumberFormat="1" applyFont="1" applyFill="1" applyBorder="1" applyAlignment="1" applyProtection="1">
      <alignment horizontal="right"/>
      <protection hidden="1"/>
    </xf>
    <xf numFmtId="2" fontId="3" fillId="0" borderId="6" xfId="2" applyNumberFormat="1" applyFont="1" applyBorder="1" applyAlignment="1" applyProtection="1">
      <alignment horizontal="right"/>
      <protection hidden="1"/>
    </xf>
    <xf numFmtId="2" fontId="3" fillId="7" borderId="7" xfId="2" applyNumberFormat="1" applyFont="1" applyFill="1" applyBorder="1" applyAlignment="1" applyProtection="1">
      <alignment horizontal="right"/>
      <protection hidden="1"/>
    </xf>
    <xf numFmtId="4" fontId="3" fillId="0" borderId="4" xfId="1" applyNumberFormat="1" applyFont="1" applyBorder="1" applyProtection="1">
      <protection hidden="1"/>
    </xf>
    <xf numFmtId="2" fontId="34" fillId="7" borderId="7" xfId="2" applyNumberFormat="1" applyFont="1" applyFill="1" applyBorder="1" applyAlignment="1" applyProtection="1">
      <alignment horizontal="right"/>
      <protection hidden="1"/>
    </xf>
  </cellXfs>
  <cellStyles count="3">
    <cellStyle name="Prozent" xfId="2" builtinId="5"/>
    <cellStyle name="Standard" xfId="0" builtinId="0"/>
    <cellStyle name="Währung" xfId="1" builtinId="4"/>
  </cellStyles>
  <dxfs count="2">
    <dxf>
      <font>
        <b/>
        <i val="0"/>
        <color theme="6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DFFFB"/>
      <color rgb="FF00F2E1"/>
      <color rgb="FFFF8200"/>
      <color rgb="FF00A4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4</xdr:row>
      <xdr:rowOff>66675</xdr:rowOff>
    </xdr:from>
    <xdr:to>
      <xdr:col>7</xdr:col>
      <xdr:colOff>504825</xdr:colOff>
      <xdr:row>21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F49AC210-9FAC-4E0A-A2B7-F3B7B317CE0C}"/>
            </a:ext>
          </a:extLst>
        </xdr:cNvPr>
        <xdr:cNvSpPr>
          <a:spLocks noChangeShapeType="1"/>
        </xdr:cNvSpPr>
      </xdr:nvSpPr>
      <xdr:spPr bwMode="auto">
        <a:xfrm>
          <a:off x="5715000" y="638175"/>
          <a:ext cx="0" cy="317182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4</xdr:row>
      <xdr:rowOff>66675</xdr:rowOff>
    </xdr:from>
    <xdr:to>
      <xdr:col>7</xdr:col>
      <xdr:colOff>504825</xdr:colOff>
      <xdr:row>21</xdr:row>
      <xdr:rowOff>0</xdr:rowOff>
    </xdr:to>
    <xdr:sp macro="" textlink="">
      <xdr:nvSpPr>
        <xdr:cNvPr id="2" name="Line 3">
          <a:extLst>
            <a:ext uri="{FF2B5EF4-FFF2-40B4-BE49-F238E27FC236}">
              <a16:creationId xmlns:a16="http://schemas.microsoft.com/office/drawing/2014/main" id="{A0190A82-EE45-4FAB-83E8-DE80460EB824}"/>
            </a:ext>
          </a:extLst>
        </xdr:cNvPr>
        <xdr:cNvSpPr>
          <a:spLocks noChangeShapeType="1"/>
        </xdr:cNvSpPr>
      </xdr:nvSpPr>
      <xdr:spPr bwMode="auto">
        <a:xfrm flipV="1">
          <a:off x="5715000" y="885825"/>
          <a:ext cx="0" cy="317182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4</xdr:row>
      <xdr:rowOff>66675</xdr:rowOff>
    </xdr:from>
    <xdr:to>
      <xdr:col>7</xdr:col>
      <xdr:colOff>457200</xdr:colOff>
      <xdr:row>13</xdr:row>
      <xdr:rowOff>0</xdr:rowOff>
    </xdr:to>
    <xdr:sp macro="" textlink="">
      <xdr:nvSpPr>
        <xdr:cNvPr id="8" name="Line 1">
          <a:extLst>
            <a:ext uri="{FF2B5EF4-FFF2-40B4-BE49-F238E27FC236}">
              <a16:creationId xmlns:a16="http://schemas.microsoft.com/office/drawing/2014/main" id="{AAE8E88E-0C33-4EAD-814E-D6325ABEE6D9}"/>
            </a:ext>
          </a:extLst>
        </xdr:cNvPr>
        <xdr:cNvSpPr>
          <a:spLocks noChangeShapeType="1"/>
        </xdr:cNvSpPr>
      </xdr:nvSpPr>
      <xdr:spPr bwMode="auto">
        <a:xfrm>
          <a:off x="4933950" y="819150"/>
          <a:ext cx="0" cy="170497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457200</xdr:colOff>
      <xdr:row>14</xdr:row>
      <xdr:rowOff>19050</xdr:rowOff>
    </xdr:from>
    <xdr:to>
      <xdr:col>7</xdr:col>
      <xdr:colOff>457200</xdr:colOff>
      <xdr:row>21</xdr:row>
      <xdr:rowOff>114300</xdr:rowOff>
    </xdr:to>
    <xdr:sp macro="" textlink="">
      <xdr:nvSpPr>
        <xdr:cNvPr id="9" name="Line 2">
          <a:extLst>
            <a:ext uri="{FF2B5EF4-FFF2-40B4-BE49-F238E27FC236}">
              <a16:creationId xmlns:a16="http://schemas.microsoft.com/office/drawing/2014/main" id="{453A3779-53BF-46E3-B1D9-1C3B1237CFB1}"/>
            </a:ext>
          </a:extLst>
        </xdr:cNvPr>
        <xdr:cNvSpPr>
          <a:spLocks noChangeShapeType="1"/>
        </xdr:cNvSpPr>
      </xdr:nvSpPr>
      <xdr:spPr bwMode="auto">
        <a:xfrm flipV="1">
          <a:off x="5667375" y="2552700"/>
          <a:ext cx="0" cy="1428750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4</xdr:row>
      <xdr:rowOff>66675</xdr:rowOff>
    </xdr:from>
    <xdr:to>
      <xdr:col>6</xdr:col>
      <xdr:colOff>457200</xdr:colOff>
      <xdr:row>13</xdr:row>
      <xdr:rowOff>0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id="{351C5C92-DE5A-4F96-89E5-18A6D7C80829}"/>
            </a:ext>
          </a:extLst>
        </xdr:cNvPr>
        <xdr:cNvSpPr>
          <a:spLocks noChangeShapeType="1"/>
        </xdr:cNvSpPr>
      </xdr:nvSpPr>
      <xdr:spPr bwMode="auto">
        <a:xfrm>
          <a:off x="5029200" y="819150"/>
          <a:ext cx="0" cy="170497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457200</xdr:colOff>
      <xdr:row>14</xdr:row>
      <xdr:rowOff>19050</xdr:rowOff>
    </xdr:from>
    <xdr:to>
      <xdr:col>6</xdr:col>
      <xdr:colOff>457200</xdr:colOff>
      <xdr:row>21</xdr:row>
      <xdr:rowOff>0</xdr:rowOff>
    </xdr:to>
    <xdr:sp macro="" textlink="">
      <xdr:nvSpPr>
        <xdr:cNvPr id="6" name="Line 2">
          <a:extLst>
            <a:ext uri="{FF2B5EF4-FFF2-40B4-BE49-F238E27FC236}">
              <a16:creationId xmlns:a16="http://schemas.microsoft.com/office/drawing/2014/main" id="{2DD5C1E3-7E2F-4AC2-8717-F65C87294ADB}"/>
            </a:ext>
          </a:extLst>
        </xdr:cNvPr>
        <xdr:cNvSpPr>
          <a:spLocks noChangeShapeType="1"/>
        </xdr:cNvSpPr>
      </xdr:nvSpPr>
      <xdr:spPr bwMode="auto">
        <a:xfrm flipV="1">
          <a:off x="5029200" y="2733675"/>
          <a:ext cx="0" cy="134302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457200</xdr:colOff>
      <xdr:row>4</xdr:row>
      <xdr:rowOff>66675</xdr:rowOff>
    </xdr:from>
    <xdr:to>
      <xdr:col>8</xdr:col>
      <xdr:colOff>457200</xdr:colOff>
      <xdr:row>20</xdr:row>
      <xdr:rowOff>190500</xdr:rowOff>
    </xdr:to>
    <xdr:sp macro="" textlink="">
      <xdr:nvSpPr>
        <xdr:cNvPr id="7" name="Line 3">
          <a:extLst>
            <a:ext uri="{FF2B5EF4-FFF2-40B4-BE49-F238E27FC236}">
              <a16:creationId xmlns:a16="http://schemas.microsoft.com/office/drawing/2014/main" id="{3B8776C2-BB90-421B-8641-CE07124A965D}"/>
            </a:ext>
          </a:extLst>
        </xdr:cNvPr>
        <xdr:cNvSpPr>
          <a:spLocks noChangeShapeType="1"/>
        </xdr:cNvSpPr>
      </xdr:nvSpPr>
      <xdr:spPr bwMode="auto">
        <a:xfrm flipV="1">
          <a:off x="6762750" y="819150"/>
          <a:ext cx="0" cy="324802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4</xdr:row>
      <xdr:rowOff>66675</xdr:rowOff>
    </xdr:from>
    <xdr:to>
      <xdr:col>3</xdr:col>
      <xdr:colOff>476250</xdr:colOff>
      <xdr:row>20</xdr:row>
      <xdr:rowOff>190500</xdr:rowOff>
    </xdr:to>
    <xdr:sp macro="" textlink="">
      <xdr:nvSpPr>
        <xdr:cNvPr id="8" name="Line 3">
          <a:extLst>
            <a:ext uri="{FF2B5EF4-FFF2-40B4-BE49-F238E27FC236}">
              <a16:creationId xmlns:a16="http://schemas.microsoft.com/office/drawing/2014/main" id="{A09236AF-2531-4FAE-99EB-ECDDCACA63DF}"/>
            </a:ext>
          </a:extLst>
        </xdr:cNvPr>
        <xdr:cNvSpPr>
          <a:spLocks noChangeShapeType="1"/>
        </xdr:cNvSpPr>
      </xdr:nvSpPr>
      <xdr:spPr bwMode="auto">
        <a:xfrm>
          <a:off x="2447925" y="819150"/>
          <a:ext cx="0" cy="3248025"/>
        </a:xfrm>
        <a:prstGeom prst="line">
          <a:avLst/>
        </a:prstGeom>
        <a:noFill/>
        <a:ln w="28575">
          <a:solidFill>
            <a:schemeClr val="accent3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9524</xdr:colOff>
      <xdr:row>16</xdr:row>
      <xdr:rowOff>123825</xdr:rowOff>
    </xdr:from>
    <xdr:to>
      <xdr:col>22</xdr:col>
      <xdr:colOff>66674</xdr:colOff>
      <xdr:row>29</xdr:row>
      <xdr:rowOff>95250</xdr:rowOff>
    </xdr:to>
    <xdr:sp macro="" textlink="">
      <xdr:nvSpPr>
        <xdr:cNvPr id="2" name="Legende mit Linie 2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4258924" y="3067050"/>
          <a:ext cx="7229475" cy="22479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9050">
          <a:solidFill>
            <a:schemeClr val="accent3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de-DE" sz="1000"/>
            <a:t>Vorwärtskalkulation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000"/>
            <a:t>bis</a:t>
          </a:r>
          <a:r>
            <a:rPr lang="de-DE" sz="1000" baseline="0"/>
            <a:t> Barverkaufspreis von Hundert, da alles meins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000" baseline="0"/>
            <a:t>danach bis Nettoverkaufspreis in Hundert, da nur für die Kunden</a:t>
          </a:r>
        </a:p>
        <a:p>
          <a:pPr algn="l"/>
          <a:endParaRPr lang="de-DE" sz="1000" baseline="0"/>
        </a:p>
        <a:p>
          <a:pPr algn="l"/>
          <a:r>
            <a:rPr lang="de-DE" sz="1000" baseline="0"/>
            <a:t>Differenzkalkulation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000" baseline="0"/>
            <a:t>vom Nettoverkaufspreis bis Barverkaufspreis sowie vom Listeneinkaufspreis bis zum Selbstkostenpreis immer von Hundert, da ich für mich kalkuliere</a:t>
          </a:r>
        </a:p>
        <a:p>
          <a:pPr algn="l"/>
          <a:endParaRPr lang="de-DE" sz="1000" baseline="0"/>
        </a:p>
        <a:p>
          <a:pPr algn="l"/>
          <a:r>
            <a:rPr lang="de-DE" sz="1000" baseline="0"/>
            <a:t>Rückwärtskalkulation</a:t>
          </a:r>
        </a:p>
        <a:p>
          <a:pPr marL="171450" indent="-171450" algn="l">
            <a:buFont typeface="Wingdings" panose="05000000000000000000" pitchFamily="2" charset="2"/>
            <a:buChar char="§"/>
          </a:pPr>
          <a:r>
            <a:rPr lang="de-DE" sz="1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vom Nettoverkaufspreis bis Barverkaufspreis von Hundert, vom Barverkaufspreis bis zum Bezugspreis muss ich auf meine Kosten kommen, also auf Hundert; vom Bareinkaufspreis bis zum Listeneinkaufspreis in Hundert, da dies letztlich zugunsten des Lieferanten ist</a:t>
          </a:r>
          <a:endParaRPr lang="de-DE" sz="1000" baseline="0"/>
        </a:p>
        <a:p>
          <a:pPr algn="l"/>
          <a:r>
            <a:rPr lang="de-DE" sz="1000" baseline="0"/>
            <a:t> </a:t>
          </a:r>
          <a:endParaRPr lang="de-DE" sz="1000"/>
        </a:p>
      </xdr:txBody>
    </xdr:sp>
    <xdr:clientData/>
  </xdr:twoCellAnchor>
</xdr:wsDr>
</file>

<file path=xl/theme/theme1.xml><?xml version="1.0" encoding="utf-8"?>
<a:theme xmlns:a="http://schemas.openxmlformats.org/drawingml/2006/main" name="Design_DBK-Aptos">
  <a:themeElements>
    <a:clrScheme name="DBK">
      <a:dk1>
        <a:srgbClr val="2C2A29"/>
      </a:dk1>
      <a:lt1>
        <a:sysClr val="window" lastClr="FFFFFF"/>
      </a:lt1>
      <a:dk2>
        <a:srgbClr val="CBC9C8"/>
      </a:dk2>
      <a:lt2>
        <a:srgbClr val="EAE9E8"/>
      </a:lt2>
      <a:accent1>
        <a:srgbClr val="074EA2"/>
      </a:accent1>
      <a:accent2>
        <a:srgbClr val="0E7296"/>
      </a:accent2>
      <a:accent3>
        <a:srgbClr val="22A2E2"/>
      </a:accent3>
      <a:accent4>
        <a:srgbClr val="47AEE7"/>
      </a:accent4>
      <a:accent5>
        <a:srgbClr val="72BCEA"/>
      </a:accent5>
      <a:accent6>
        <a:srgbClr val="ED1C24"/>
      </a:accent6>
      <a:hlink>
        <a:srgbClr val="2C2A29"/>
      </a:hlink>
      <a:folHlink>
        <a:srgbClr val="423F3D"/>
      </a:folHlink>
    </a:clrScheme>
    <a:fontScheme name="Aptos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sign_DBK-Aptos" id="{717DCC2B-F9E4-473B-8EBC-A151C910CD5D}" vid="{BA5E52AA-FFEC-455B-934A-2DA9E4851007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P28"/>
  <sheetViews>
    <sheetView showGridLines="0" showRowColHeaders="0" tabSelected="1" workbookViewId="0"/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7" style="10" customWidth="1"/>
    <col min="4" max="5" width="12.875" style="10" customWidth="1"/>
    <col min="6" max="6" width="10.625" style="10" customWidth="1"/>
    <col min="7" max="7" width="2.625" style="10" customWidth="1"/>
    <col min="8" max="8" width="12.875" style="10" customWidth="1"/>
    <col min="9" max="9" width="2.625" style="10" customWidth="1"/>
    <col min="10" max="10" width="10.625" style="10" customWidth="1"/>
    <col min="11" max="11" width="31.75" style="10" customWidth="1"/>
    <col min="12" max="12" width="12.875" style="10" customWidth="1"/>
    <col min="13" max="14" width="11" style="10"/>
    <col min="15" max="15" width="22.625" style="10" customWidth="1"/>
    <col min="16" max="16384" width="11" style="10"/>
  </cols>
  <sheetData>
    <row r="2" spans="2:16" ht="20.100000000000001" customHeight="1" x14ac:dyDescent="0.25">
      <c r="B2" s="63" t="s">
        <v>36</v>
      </c>
      <c r="C2" s="63"/>
      <c r="D2" s="63"/>
      <c r="E2" s="63"/>
      <c r="F2" s="9"/>
      <c r="G2" s="9"/>
      <c r="H2" s="9"/>
    </row>
    <row r="3" spans="2:16" ht="15" customHeight="1" x14ac:dyDescent="0.25">
      <c r="B3" s="62"/>
      <c r="C3" s="62"/>
      <c r="D3" s="62"/>
      <c r="E3" s="62"/>
      <c r="F3" s="9"/>
      <c r="G3" s="9"/>
      <c r="H3" s="9"/>
      <c r="K3" s="64" t="s">
        <v>23</v>
      </c>
      <c r="L3" s="64" t="s">
        <v>48</v>
      </c>
    </row>
    <row r="4" spans="2:16" ht="15" customHeight="1" thickBot="1" x14ac:dyDescent="0.3">
      <c r="B4" s="30"/>
      <c r="C4" s="30"/>
      <c r="D4" s="31" t="s">
        <v>3</v>
      </c>
      <c r="E4" s="42" t="s">
        <v>48</v>
      </c>
      <c r="F4" s="9"/>
      <c r="G4" s="9"/>
      <c r="H4" s="9"/>
      <c r="K4" s="24" t="s">
        <v>24</v>
      </c>
      <c r="L4" s="25"/>
    </row>
    <row r="5" spans="2:16" ht="15" customHeight="1" thickBot="1" x14ac:dyDescent="0.3">
      <c r="B5" s="32"/>
      <c r="C5" s="33" t="s">
        <v>24</v>
      </c>
      <c r="D5" s="39"/>
      <c r="E5" s="44">
        <f>L4</f>
        <v>0</v>
      </c>
      <c r="F5" s="123" t="s">
        <v>40</v>
      </c>
      <c r="G5" s="13"/>
      <c r="H5" s="14"/>
      <c r="I5" s="15"/>
      <c r="L5" s="12"/>
    </row>
    <row r="6" spans="2:16" ht="15" customHeight="1" thickBot="1" x14ac:dyDescent="0.35">
      <c r="B6" s="34" t="s">
        <v>0</v>
      </c>
      <c r="C6" s="35" t="s">
        <v>32</v>
      </c>
      <c r="D6" s="41">
        <f>L9</f>
        <v>0</v>
      </c>
      <c r="E6" s="43">
        <f>ROUND(E5*D6/100,2)</f>
        <v>0</v>
      </c>
      <c r="F6" s="124"/>
      <c r="G6" s="16"/>
      <c r="H6" s="49" t="s">
        <v>50</v>
      </c>
      <c r="I6" s="1"/>
      <c r="K6" s="24" t="s">
        <v>34</v>
      </c>
      <c r="L6" s="25"/>
    </row>
    <row r="7" spans="2:16" ht="15" customHeight="1" thickBot="1" x14ac:dyDescent="0.35">
      <c r="B7" s="31" t="s">
        <v>2</v>
      </c>
      <c r="C7" s="33" t="s">
        <v>25</v>
      </c>
      <c r="D7" s="47"/>
      <c r="E7" s="37">
        <f>E5-E6</f>
        <v>0</v>
      </c>
      <c r="F7" s="124"/>
      <c r="G7" s="16"/>
      <c r="H7" s="7"/>
      <c r="I7" s="1"/>
    </row>
    <row r="8" spans="2:16" ht="15" customHeight="1" thickBot="1" x14ac:dyDescent="0.35">
      <c r="B8" s="34" t="s">
        <v>0</v>
      </c>
      <c r="C8" s="35" t="s">
        <v>33</v>
      </c>
      <c r="D8" s="41">
        <f>L10</f>
        <v>0</v>
      </c>
      <c r="E8" s="36">
        <f>ROUND(E7*D8/100,2)</f>
        <v>0</v>
      </c>
      <c r="F8" s="124"/>
      <c r="G8" s="16"/>
      <c r="H8" s="49" t="s">
        <v>50</v>
      </c>
      <c r="I8" s="1"/>
      <c r="K8" s="64" t="s">
        <v>23</v>
      </c>
      <c r="L8" s="64" t="s">
        <v>3</v>
      </c>
    </row>
    <row r="9" spans="2:16" ht="15" customHeight="1" thickBot="1" x14ac:dyDescent="0.35">
      <c r="B9" s="31" t="s">
        <v>2</v>
      </c>
      <c r="C9" s="33" t="s">
        <v>26</v>
      </c>
      <c r="D9" s="40"/>
      <c r="E9" s="45">
        <f>E7-E8</f>
        <v>0</v>
      </c>
      <c r="F9" s="124"/>
      <c r="G9" s="16"/>
      <c r="H9" s="7"/>
      <c r="I9" s="1"/>
      <c r="K9" s="24" t="s">
        <v>32</v>
      </c>
      <c r="L9" s="25"/>
    </row>
    <row r="10" spans="2:16" ht="15" customHeight="1" thickBot="1" x14ac:dyDescent="0.35">
      <c r="B10" s="34" t="s">
        <v>1</v>
      </c>
      <c r="C10" s="35" t="s">
        <v>27</v>
      </c>
      <c r="D10" s="38"/>
      <c r="E10" s="41">
        <f>L6</f>
        <v>0</v>
      </c>
      <c r="F10" s="124"/>
      <c r="G10" s="16"/>
      <c r="H10" s="49"/>
      <c r="I10" s="1"/>
      <c r="K10" s="11" t="s">
        <v>33</v>
      </c>
      <c r="L10" s="17"/>
    </row>
    <row r="11" spans="2:16" ht="15" customHeight="1" thickBot="1" x14ac:dyDescent="0.35">
      <c r="B11" s="31" t="s">
        <v>2</v>
      </c>
      <c r="C11" s="33" t="s">
        <v>28</v>
      </c>
      <c r="D11" s="39"/>
      <c r="E11" s="46">
        <f>E9+E10</f>
        <v>0</v>
      </c>
      <c r="F11" s="124"/>
      <c r="G11" s="16"/>
      <c r="H11" s="7"/>
      <c r="I11" s="1"/>
      <c r="K11" s="24" t="s">
        <v>29</v>
      </c>
      <c r="L11" s="25"/>
    </row>
    <row r="12" spans="2:16" ht="15" customHeight="1" thickBot="1" x14ac:dyDescent="0.35">
      <c r="B12" s="34" t="s">
        <v>1</v>
      </c>
      <c r="C12" s="35" t="s">
        <v>29</v>
      </c>
      <c r="D12" s="41">
        <f>L11</f>
        <v>0</v>
      </c>
      <c r="E12" s="36">
        <f>ROUND(E11*D12/100,2)</f>
        <v>0</v>
      </c>
      <c r="F12" s="124"/>
      <c r="G12" s="16"/>
      <c r="H12" s="49" t="s">
        <v>50</v>
      </c>
      <c r="I12" s="1"/>
      <c r="K12" s="11" t="s">
        <v>5</v>
      </c>
      <c r="L12" s="17"/>
    </row>
    <row r="13" spans="2:16" ht="15" customHeight="1" thickBot="1" x14ac:dyDescent="0.35">
      <c r="B13" s="31" t="s">
        <v>2</v>
      </c>
      <c r="C13" s="33" t="s">
        <v>56</v>
      </c>
      <c r="D13" s="47"/>
      <c r="E13" s="37">
        <f>E11+E12</f>
        <v>0</v>
      </c>
      <c r="F13" s="124"/>
      <c r="G13" s="16"/>
      <c r="H13" s="7"/>
      <c r="I13" s="1"/>
      <c r="K13" s="24" t="s">
        <v>7</v>
      </c>
      <c r="L13" s="25"/>
      <c r="N13" s="59" t="s">
        <v>50</v>
      </c>
      <c r="O13" s="50" t="s">
        <v>53</v>
      </c>
      <c r="P13" s="51"/>
    </row>
    <row r="14" spans="2:16" ht="15" customHeight="1" thickBot="1" x14ac:dyDescent="0.35">
      <c r="B14" s="34" t="s">
        <v>1</v>
      </c>
      <c r="C14" s="35" t="s">
        <v>5</v>
      </c>
      <c r="D14" s="41">
        <f>L12</f>
        <v>0</v>
      </c>
      <c r="E14" s="36">
        <f>ROUND(E13*D14/100,2)</f>
        <v>0</v>
      </c>
      <c r="F14" s="124"/>
      <c r="G14" s="16"/>
      <c r="H14" s="49" t="s">
        <v>50</v>
      </c>
      <c r="I14" s="3"/>
      <c r="K14" s="11" t="s">
        <v>12</v>
      </c>
      <c r="L14" s="17"/>
      <c r="N14" s="61" t="s">
        <v>51</v>
      </c>
      <c r="O14" s="52" t="s">
        <v>54</v>
      </c>
      <c r="P14" s="53"/>
    </row>
    <row r="15" spans="2:16" ht="15" customHeight="1" thickBot="1" x14ac:dyDescent="0.35">
      <c r="B15" s="31" t="s">
        <v>2</v>
      </c>
      <c r="C15" s="33" t="s">
        <v>6</v>
      </c>
      <c r="D15" s="47"/>
      <c r="E15" s="37">
        <f>E13+E14</f>
        <v>0</v>
      </c>
      <c r="F15" s="124"/>
      <c r="G15" s="16"/>
      <c r="H15" s="2"/>
      <c r="I15" s="1"/>
      <c r="K15" s="26" t="s">
        <v>9</v>
      </c>
      <c r="L15" s="27"/>
      <c r="N15" s="60" t="s">
        <v>52</v>
      </c>
      <c r="O15" s="54" t="s">
        <v>55</v>
      </c>
      <c r="P15" s="55"/>
    </row>
    <row r="16" spans="2:16" ht="15" customHeight="1" thickBot="1" x14ac:dyDescent="0.35">
      <c r="B16" s="87" t="s">
        <v>1</v>
      </c>
      <c r="C16" s="88" t="s">
        <v>7</v>
      </c>
      <c r="D16" s="90">
        <f>L13</f>
        <v>0</v>
      </c>
      <c r="E16" s="89">
        <f>ROUND(E15*D16/(100-D16-D17),2)</f>
        <v>0</v>
      </c>
      <c r="F16" s="124"/>
      <c r="G16" s="16"/>
      <c r="H16" s="49"/>
      <c r="I16" s="1"/>
      <c r="K16" s="28" t="s">
        <v>10</v>
      </c>
      <c r="L16" s="29"/>
    </row>
    <row r="17" spans="2:12" ht="15" customHeight="1" thickBot="1" x14ac:dyDescent="0.35">
      <c r="B17" s="87" t="s">
        <v>1</v>
      </c>
      <c r="C17" s="88" t="s">
        <v>12</v>
      </c>
      <c r="D17" s="91">
        <f>L14</f>
        <v>0</v>
      </c>
      <c r="E17" s="89">
        <f>ROUND(E15*D17/(100-D17-D16),2)</f>
        <v>0</v>
      </c>
      <c r="F17" s="124"/>
      <c r="G17" s="16"/>
      <c r="H17" s="2"/>
      <c r="I17" s="1"/>
    </row>
    <row r="18" spans="2:12" ht="15" customHeight="1" x14ac:dyDescent="0.3">
      <c r="B18" s="34"/>
      <c r="C18" s="35" t="s">
        <v>30</v>
      </c>
      <c r="D18" s="48">
        <f>SUM(D16:D17)</f>
        <v>0</v>
      </c>
      <c r="E18" s="36">
        <f>ROUND(E15*D18/(100-D18),2)</f>
        <v>0</v>
      </c>
      <c r="F18" s="124"/>
      <c r="G18" s="16"/>
      <c r="H18" s="58" t="s">
        <v>51</v>
      </c>
      <c r="I18" s="4"/>
    </row>
    <row r="19" spans="2:12" ht="15" customHeight="1" thickBot="1" x14ac:dyDescent="0.35">
      <c r="B19" s="31" t="s">
        <v>2</v>
      </c>
      <c r="C19" s="33" t="s">
        <v>8</v>
      </c>
      <c r="D19" s="39"/>
      <c r="E19" s="37">
        <f>E15+E18</f>
        <v>0</v>
      </c>
      <c r="F19" s="124"/>
      <c r="G19" s="16"/>
      <c r="H19" s="49"/>
      <c r="I19" s="5"/>
    </row>
    <row r="20" spans="2:12" ht="15" customHeight="1" thickBot="1" x14ac:dyDescent="0.35">
      <c r="B20" s="34" t="s">
        <v>1</v>
      </c>
      <c r="C20" s="35" t="s">
        <v>9</v>
      </c>
      <c r="D20" s="41">
        <f>L15</f>
        <v>0</v>
      </c>
      <c r="E20" s="36">
        <f>ROUND(E19*D20/(100-D20),2)</f>
        <v>0</v>
      </c>
      <c r="F20" s="124"/>
      <c r="G20" s="16"/>
      <c r="H20" s="7" t="s">
        <v>50</v>
      </c>
      <c r="I20" s="1"/>
    </row>
    <row r="21" spans="2:12" ht="15" customHeight="1" thickBot="1" x14ac:dyDescent="0.3">
      <c r="B21" s="31" t="s">
        <v>2</v>
      </c>
      <c r="C21" s="33" t="s">
        <v>31</v>
      </c>
      <c r="D21" s="47"/>
      <c r="E21" s="37">
        <f>E19+E20</f>
        <v>0</v>
      </c>
      <c r="F21" s="121" t="s">
        <v>41</v>
      </c>
      <c r="G21" s="20"/>
      <c r="H21" s="49"/>
      <c r="I21" s="6"/>
      <c r="K21" s="293" t="s">
        <v>77</v>
      </c>
      <c r="L21" s="293"/>
    </row>
    <row r="22" spans="2:12" ht="15" customHeight="1" thickBot="1" x14ac:dyDescent="0.3">
      <c r="B22" s="87" t="s">
        <v>1</v>
      </c>
      <c r="C22" s="88" t="s">
        <v>10</v>
      </c>
      <c r="D22" s="332">
        <f>L16</f>
        <v>0</v>
      </c>
      <c r="E22" s="334">
        <f>ROUND(E21*D22/100,2)</f>
        <v>0</v>
      </c>
      <c r="F22" s="9"/>
      <c r="G22" s="9"/>
      <c r="H22" s="57" t="s">
        <v>52</v>
      </c>
      <c r="I22" s="8"/>
      <c r="K22" s="293" t="s">
        <v>76</v>
      </c>
      <c r="L22" s="293"/>
    </row>
    <row r="23" spans="2:12" ht="15" customHeight="1" x14ac:dyDescent="0.25">
      <c r="B23" s="329" t="s">
        <v>2</v>
      </c>
      <c r="C23" s="287" t="s">
        <v>11</v>
      </c>
      <c r="D23" s="335"/>
      <c r="E23" s="319">
        <f>E21+E22</f>
        <v>0</v>
      </c>
      <c r="F23" s="9"/>
      <c r="G23" s="9"/>
      <c r="H23" s="9"/>
      <c r="K23" s="295">
        <f>E21</f>
        <v>0</v>
      </c>
      <c r="L23" s="295"/>
    </row>
    <row r="28" spans="2:12" x14ac:dyDescent="0.25">
      <c r="H28" s="56"/>
    </row>
  </sheetData>
  <sheetProtection algorithmName="SHA-512" hashValue="fn41XhBcvEzpAw4qVjdXam4/3H7/Eh/19Tbq1lmZJDd+LXQS1sHs/qMq6sfl1RwAB9DQ3/NzQmLUsmaBXr7S5A==" saltValue="iHhNPW0TxIcY1ABTzF1tVg==" spinCount="100000" sheet="1" objects="1" scenarios="1"/>
  <protectedRanges>
    <protectedRange sqref="L4 L6 L9:L16" name="Bereich1"/>
  </protectedRanges>
  <mergeCells count="2">
    <mergeCell ref="B2:E2"/>
    <mergeCell ref="K23:L23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P24"/>
  <sheetViews>
    <sheetView showGridLines="0" showRowColHeaders="0" workbookViewId="0">
      <selection activeCell="K29" sqref="K29"/>
    </sheetView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7" style="10" customWidth="1"/>
    <col min="4" max="5" width="12.875" style="10" customWidth="1"/>
    <col min="6" max="6" width="10.625" style="10" customWidth="1"/>
    <col min="7" max="7" width="2.625" style="10" customWidth="1"/>
    <col min="8" max="8" width="12.875" style="10" customWidth="1"/>
    <col min="9" max="9" width="2.625" style="10" customWidth="1"/>
    <col min="10" max="10" width="10.625" style="10" customWidth="1"/>
    <col min="11" max="11" width="31.75" style="10" customWidth="1"/>
    <col min="12" max="12" width="12.875" style="10" customWidth="1"/>
    <col min="13" max="14" width="11" style="10"/>
    <col min="15" max="15" width="19.5" style="10" customWidth="1"/>
    <col min="16" max="16384" width="11" style="10"/>
  </cols>
  <sheetData>
    <row r="2" spans="2:16" ht="20.100000000000001" customHeight="1" x14ac:dyDescent="0.25">
      <c r="B2" s="63" t="s">
        <v>38</v>
      </c>
      <c r="C2" s="63"/>
      <c r="D2" s="63"/>
      <c r="E2" s="63"/>
      <c r="F2" s="9"/>
      <c r="G2" s="9"/>
      <c r="H2" s="9"/>
    </row>
    <row r="3" spans="2:16" ht="15" customHeight="1" x14ac:dyDescent="0.25">
      <c r="B3" s="62"/>
      <c r="C3" s="62"/>
      <c r="D3" s="62"/>
      <c r="E3" s="62"/>
      <c r="F3" s="9"/>
      <c r="G3" s="9"/>
      <c r="H3" s="9"/>
      <c r="K3" s="64" t="s">
        <v>23</v>
      </c>
      <c r="L3" s="64" t="s">
        <v>48</v>
      </c>
    </row>
    <row r="4" spans="2:16" ht="15" customHeight="1" x14ac:dyDescent="0.25">
      <c r="B4" s="74"/>
      <c r="C4" s="74"/>
      <c r="D4" s="42" t="s">
        <v>3</v>
      </c>
      <c r="E4" s="42" t="s">
        <v>48</v>
      </c>
      <c r="F4" s="9"/>
      <c r="G4" s="9"/>
      <c r="H4" s="9"/>
      <c r="K4" s="24" t="s">
        <v>31</v>
      </c>
      <c r="L4" s="25"/>
    </row>
    <row r="5" spans="2:16" ht="15" customHeight="1" thickBot="1" x14ac:dyDescent="0.3">
      <c r="B5" s="32"/>
      <c r="C5" s="33" t="s">
        <v>24</v>
      </c>
      <c r="D5" s="78"/>
      <c r="E5" s="77">
        <f>E7+E6</f>
        <v>0</v>
      </c>
      <c r="F5" s="121" t="s">
        <v>41</v>
      </c>
      <c r="G5" s="9"/>
      <c r="H5" s="9"/>
      <c r="L5" s="12"/>
    </row>
    <row r="6" spans="2:16" ht="15" customHeight="1" thickBot="1" x14ac:dyDescent="0.3">
      <c r="B6" s="292" t="s">
        <v>0</v>
      </c>
      <c r="C6" s="75" t="s">
        <v>32</v>
      </c>
      <c r="D6" s="41">
        <f>L9</f>
        <v>0</v>
      </c>
      <c r="E6" s="67">
        <f>ROUND(E7*D6/(100-D6),2)</f>
        <v>0</v>
      </c>
      <c r="G6" s="20"/>
      <c r="H6" s="73" t="s">
        <v>51</v>
      </c>
      <c r="I6" s="66"/>
      <c r="K6" s="24" t="s">
        <v>34</v>
      </c>
      <c r="L6" s="25"/>
    </row>
    <row r="7" spans="2:16" ht="15" customHeight="1" thickBot="1" x14ac:dyDescent="0.35">
      <c r="B7" s="31" t="s">
        <v>2</v>
      </c>
      <c r="C7" s="33" t="s">
        <v>25</v>
      </c>
      <c r="D7" s="80"/>
      <c r="E7" s="77">
        <f>E9+E8</f>
        <v>0</v>
      </c>
      <c r="F7" s="122"/>
      <c r="G7" s="16"/>
      <c r="H7" s="58"/>
      <c r="I7" s="68"/>
    </row>
    <row r="8" spans="2:16" ht="15" customHeight="1" thickBot="1" x14ac:dyDescent="0.35">
      <c r="B8" s="292" t="s">
        <v>0</v>
      </c>
      <c r="C8" s="75" t="s">
        <v>33</v>
      </c>
      <c r="D8" s="41">
        <f>L10</f>
        <v>0</v>
      </c>
      <c r="E8" s="67">
        <f>ROUND(E9*D8/(100-D8),2)</f>
        <v>0</v>
      </c>
      <c r="F8" s="122"/>
      <c r="G8" s="16"/>
      <c r="H8" s="73" t="s">
        <v>51</v>
      </c>
      <c r="I8" s="68"/>
      <c r="K8" s="64" t="s">
        <v>23</v>
      </c>
      <c r="L8" s="64" t="s">
        <v>3</v>
      </c>
    </row>
    <row r="9" spans="2:16" ht="15" customHeight="1" thickBot="1" x14ac:dyDescent="0.35">
      <c r="B9" s="31" t="s">
        <v>2</v>
      </c>
      <c r="C9" s="33" t="s">
        <v>26</v>
      </c>
      <c r="D9" s="79"/>
      <c r="E9" s="81">
        <f>E11-E10</f>
        <v>0</v>
      </c>
      <c r="F9" s="122"/>
      <c r="G9" s="16"/>
      <c r="H9" s="7"/>
      <c r="I9" s="68"/>
      <c r="K9" s="24" t="s">
        <v>32</v>
      </c>
      <c r="L9" s="25"/>
    </row>
    <row r="10" spans="2:16" ht="15" customHeight="1" thickBot="1" x14ac:dyDescent="0.35">
      <c r="B10" s="292" t="s">
        <v>1</v>
      </c>
      <c r="C10" s="75" t="s">
        <v>27</v>
      </c>
      <c r="D10" s="76"/>
      <c r="E10" s="41">
        <f>L6</f>
        <v>0</v>
      </c>
      <c r="F10" s="122"/>
      <c r="G10" s="16"/>
      <c r="H10" s="49"/>
      <c r="I10" s="68"/>
      <c r="K10" s="10" t="s">
        <v>33</v>
      </c>
      <c r="L10" s="69"/>
    </row>
    <row r="11" spans="2:16" ht="15" customHeight="1" thickBot="1" x14ac:dyDescent="0.35">
      <c r="B11" s="31" t="s">
        <v>2</v>
      </c>
      <c r="C11" s="33" t="s">
        <v>28</v>
      </c>
      <c r="D11" s="78"/>
      <c r="E11" s="82">
        <f>E13-E12</f>
        <v>0</v>
      </c>
      <c r="F11" s="122"/>
      <c r="G11" s="16"/>
      <c r="H11" s="7"/>
      <c r="I11" s="68"/>
      <c r="K11" s="24" t="s">
        <v>29</v>
      </c>
      <c r="L11" s="25"/>
    </row>
    <row r="12" spans="2:16" ht="15" customHeight="1" thickBot="1" x14ac:dyDescent="0.35">
      <c r="B12" s="292" t="s">
        <v>1</v>
      </c>
      <c r="C12" s="75" t="s">
        <v>29</v>
      </c>
      <c r="D12" s="41">
        <f>L11</f>
        <v>0</v>
      </c>
      <c r="E12" s="67">
        <f>ROUND(E13*D12/(100+D12),2)</f>
        <v>0</v>
      </c>
      <c r="F12" s="122"/>
      <c r="G12" s="16"/>
      <c r="H12" s="72" t="s">
        <v>52</v>
      </c>
      <c r="I12" s="68"/>
      <c r="K12" s="10" t="s">
        <v>5</v>
      </c>
      <c r="L12" s="69"/>
    </row>
    <row r="13" spans="2:16" ht="15" customHeight="1" thickBot="1" x14ac:dyDescent="0.35">
      <c r="B13" s="31" t="s">
        <v>2</v>
      </c>
      <c r="C13" s="33" t="s">
        <v>56</v>
      </c>
      <c r="D13" s="80"/>
      <c r="E13" s="77">
        <f>E15-E14</f>
        <v>0</v>
      </c>
      <c r="F13" s="122"/>
      <c r="G13" s="16"/>
      <c r="H13" s="7"/>
      <c r="I13" s="68"/>
      <c r="K13" s="24" t="s">
        <v>7</v>
      </c>
      <c r="L13" s="25"/>
      <c r="N13" s="59" t="s">
        <v>50</v>
      </c>
      <c r="O13" s="50" t="s">
        <v>53</v>
      </c>
      <c r="P13" s="51"/>
    </row>
    <row r="14" spans="2:16" ht="15" customHeight="1" thickBot="1" x14ac:dyDescent="0.35">
      <c r="B14" s="292" t="s">
        <v>1</v>
      </c>
      <c r="C14" s="75" t="s">
        <v>5</v>
      </c>
      <c r="D14" s="41">
        <f>L12</f>
        <v>0</v>
      </c>
      <c r="E14" s="67">
        <f>ROUND(E15*D14/(100+D14),2)</f>
        <v>0</v>
      </c>
      <c r="F14" s="122"/>
      <c r="G14" s="16"/>
      <c r="H14" s="72" t="s">
        <v>52</v>
      </c>
      <c r="I14" s="68"/>
      <c r="K14" s="10" t="s">
        <v>12</v>
      </c>
      <c r="L14" s="69"/>
      <c r="N14" s="61" t="s">
        <v>51</v>
      </c>
      <c r="O14" s="52" t="s">
        <v>54</v>
      </c>
      <c r="P14" s="53"/>
    </row>
    <row r="15" spans="2:16" ht="15" customHeight="1" thickBot="1" x14ac:dyDescent="0.35">
      <c r="B15" s="31" t="s">
        <v>2</v>
      </c>
      <c r="C15" s="33" t="s">
        <v>6</v>
      </c>
      <c r="D15" s="80"/>
      <c r="E15" s="77">
        <f>E19-E18</f>
        <v>0</v>
      </c>
      <c r="F15" s="122"/>
      <c r="G15" s="16"/>
      <c r="H15" s="2"/>
      <c r="I15" s="68"/>
      <c r="K15" s="24" t="s">
        <v>9</v>
      </c>
      <c r="L15" s="25"/>
      <c r="N15" s="60" t="s">
        <v>52</v>
      </c>
      <c r="O15" s="54" t="s">
        <v>55</v>
      </c>
      <c r="P15" s="55"/>
    </row>
    <row r="16" spans="2:16" ht="15" customHeight="1" thickBot="1" x14ac:dyDescent="0.35">
      <c r="B16" s="87" t="s">
        <v>1</v>
      </c>
      <c r="C16" s="85" t="s">
        <v>7</v>
      </c>
      <c r="D16" s="90">
        <f>L13</f>
        <v>0</v>
      </c>
      <c r="E16" s="86">
        <f>ROUND(E19*D16/100,2)</f>
        <v>0</v>
      </c>
      <c r="F16" s="122"/>
      <c r="G16" s="16"/>
      <c r="H16" s="49"/>
      <c r="I16" s="68"/>
      <c r="K16" s="10" t="s">
        <v>10</v>
      </c>
      <c r="L16" s="69"/>
    </row>
    <row r="17" spans="2:12" ht="15" customHeight="1" thickBot="1" x14ac:dyDescent="0.35">
      <c r="B17" s="87" t="s">
        <v>1</v>
      </c>
      <c r="C17" s="85" t="s">
        <v>12</v>
      </c>
      <c r="D17" s="91">
        <f>L14</f>
        <v>0</v>
      </c>
      <c r="E17" s="86">
        <f>ROUND(E19*D17/100,2)</f>
        <v>0</v>
      </c>
      <c r="F17" s="122"/>
      <c r="G17" s="16"/>
      <c r="H17" s="2"/>
      <c r="I17" s="68"/>
    </row>
    <row r="18" spans="2:12" ht="15" customHeight="1" x14ac:dyDescent="0.3">
      <c r="B18" s="292"/>
      <c r="C18" s="75" t="s">
        <v>30</v>
      </c>
      <c r="D18" s="19">
        <f>SUM(D16:D17)</f>
        <v>0</v>
      </c>
      <c r="E18" s="70">
        <f>ROUND(E19*D18/100,2)</f>
        <v>0</v>
      </c>
      <c r="F18" s="122"/>
      <c r="G18" s="16"/>
      <c r="H18" s="7" t="s">
        <v>50</v>
      </c>
      <c r="I18" s="68"/>
    </row>
    <row r="19" spans="2:12" ht="15" customHeight="1" thickBot="1" x14ac:dyDescent="0.35">
      <c r="B19" s="31" t="s">
        <v>2</v>
      </c>
      <c r="C19" s="33" t="s">
        <v>8</v>
      </c>
      <c r="D19" s="78"/>
      <c r="E19" s="77">
        <f>E21-E20</f>
        <v>0</v>
      </c>
      <c r="F19" s="122"/>
      <c r="G19" s="16"/>
      <c r="H19" s="49"/>
      <c r="I19" s="68"/>
    </row>
    <row r="20" spans="2:12" ht="15" customHeight="1" thickBot="1" x14ac:dyDescent="0.35">
      <c r="B20" s="292" t="s">
        <v>1</v>
      </c>
      <c r="C20" s="75" t="s">
        <v>9</v>
      </c>
      <c r="D20" s="41">
        <f>L15</f>
        <v>0</v>
      </c>
      <c r="E20" s="70">
        <f>ROUND(E21*D20/100,2)</f>
        <v>0</v>
      </c>
      <c r="F20" s="122"/>
      <c r="G20" s="16"/>
      <c r="H20" s="7" t="s">
        <v>50</v>
      </c>
      <c r="I20" s="68"/>
    </row>
    <row r="21" spans="2:12" ht="15" customHeight="1" thickBot="1" x14ac:dyDescent="0.3">
      <c r="B21" s="31" t="s">
        <v>2</v>
      </c>
      <c r="C21" s="33" t="s">
        <v>31</v>
      </c>
      <c r="D21" s="80"/>
      <c r="E21" s="83">
        <f>L4</f>
        <v>0</v>
      </c>
      <c r="F21" s="123" t="s">
        <v>40</v>
      </c>
      <c r="G21" s="16"/>
      <c r="H21" s="49"/>
      <c r="I21" s="68"/>
      <c r="K21" s="293" t="s">
        <v>73</v>
      </c>
      <c r="L21" s="293"/>
    </row>
    <row r="22" spans="2:12" ht="15" customHeight="1" thickBot="1" x14ac:dyDescent="0.3">
      <c r="B22" s="327" t="s">
        <v>1</v>
      </c>
      <c r="C22" s="314" t="s">
        <v>10</v>
      </c>
      <c r="D22" s="332">
        <f>L16</f>
        <v>0</v>
      </c>
      <c r="E22" s="328">
        <f>ROUND(E21*D22/100,2)</f>
        <v>0</v>
      </c>
      <c r="G22" s="13"/>
      <c r="H22" s="57" t="s">
        <v>52</v>
      </c>
      <c r="I22" s="71"/>
      <c r="K22" s="293" t="s">
        <v>72</v>
      </c>
      <c r="L22" s="293"/>
    </row>
    <row r="23" spans="2:12" ht="15" customHeight="1" x14ac:dyDescent="0.3">
      <c r="B23" s="329" t="s">
        <v>2</v>
      </c>
      <c r="C23" s="287" t="s">
        <v>11</v>
      </c>
      <c r="D23" s="333"/>
      <c r="E23" s="331">
        <f>E21+E22</f>
        <v>0</v>
      </c>
      <c r="F23" s="65"/>
      <c r="G23" s="9"/>
      <c r="K23" s="294">
        <f>E5</f>
        <v>0</v>
      </c>
      <c r="L23" s="294"/>
    </row>
    <row r="24" spans="2:12" ht="15" customHeight="1" x14ac:dyDescent="0.25">
      <c r="F24" s="9"/>
      <c r="G24" s="9"/>
      <c r="H24" s="9"/>
    </row>
  </sheetData>
  <sheetProtection algorithmName="SHA-512" hashValue="Blt5l7rKZ68/M79JnoXsLvMuKvqfYb+n0uZBphP9sEdPx1QaVcarDRF6NjHsT3Cc/E3Xaz75oR1tWNA6FfYK2w==" saltValue="mQh45coezHrHZbiiayeLGQ==" spinCount="100000" sheet="1" objects="1" scenarios="1"/>
  <protectedRanges>
    <protectedRange sqref="L4 L6 L9:L16" name="Bereich1"/>
  </protectedRanges>
  <mergeCells count="2">
    <mergeCell ref="B2:E2"/>
    <mergeCell ref="K23:L23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P24"/>
  <sheetViews>
    <sheetView showGridLines="0" showRowColHeaders="0" workbookViewId="0"/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7" style="10" customWidth="1"/>
    <col min="4" max="5" width="12.875" style="10" customWidth="1"/>
    <col min="6" max="6" width="10.625" style="10" customWidth="1"/>
    <col min="7" max="7" width="2.625" style="10" customWidth="1"/>
    <col min="8" max="8" width="12.875" style="10" customWidth="1"/>
    <col min="9" max="9" width="2.625" style="10" customWidth="1"/>
    <col min="10" max="10" width="10.625" style="10" customWidth="1"/>
    <col min="11" max="11" width="31.75" style="10" customWidth="1"/>
    <col min="12" max="12" width="12.875" style="10" customWidth="1"/>
    <col min="13" max="14" width="11" style="10"/>
    <col min="15" max="15" width="17.625" style="10" customWidth="1"/>
    <col min="16" max="16384" width="11" style="10"/>
  </cols>
  <sheetData>
    <row r="2" spans="2:16" ht="20.100000000000001" customHeight="1" x14ac:dyDescent="0.25">
      <c r="B2" s="63" t="s">
        <v>39</v>
      </c>
      <c r="C2" s="63"/>
      <c r="D2" s="63"/>
      <c r="E2" s="63"/>
      <c r="F2" s="9"/>
      <c r="G2" s="9"/>
      <c r="H2" s="9"/>
    </row>
    <row r="3" spans="2:16" ht="15" customHeight="1" x14ac:dyDescent="0.25">
      <c r="B3" s="290"/>
      <c r="C3" s="62"/>
      <c r="D3" s="62"/>
      <c r="E3" s="62"/>
      <c r="F3" s="9"/>
      <c r="G3" s="9"/>
      <c r="H3" s="9"/>
      <c r="K3" s="64" t="s">
        <v>23</v>
      </c>
      <c r="L3" s="64" t="s">
        <v>48</v>
      </c>
    </row>
    <row r="4" spans="2:16" ht="15" customHeight="1" thickBot="1" x14ac:dyDescent="0.3">
      <c r="B4" s="74"/>
      <c r="C4" s="74"/>
      <c r="D4" s="42" t="s">
        <v>3</v>
      </c>
      <c r="E4" s="42" t="s">
        <v>48</v>
      </c>
      <c r="F4" s="9"/>
      <c r="G4" s="9"/>
      <c r="H4" s="9"/>
      <c r="K4" s="102" t="s">
        <v>24</v>
      </c>
      <c r="L4" s="103"/>
    </row>
    <row r="5" spans="2:16" ht="15" customHeight="1" thickBot="1" x14ac:dyDescent="0.3">
      <c r="B5" s="32"/>
      <c r="C5" s="33" t="s">
        <v>24</v>
      </c>
      <c r="D5" s="78"/>
      <c r="E5" s="83">
        <f>L4</f>
        <v>0</v>
      </c>
      <c r="F5" s="123" t="s">
        <v>40</v>
      </c>
      <c r="G5" s="9"/>
      <c r="H5" s="33"/>
      <c r="K5" s="22" t="s">
        <v>31</v>
      </c>
      <c r="L5" s="99"/>
    </row>
    <row r="6" spans="2:16" ht="15" customHeight="1" thickBot="1" x14ac:dyDescent="0.3">
      <c r="B6" s="291" t="s">
        <v>0</v>
      </c>
      <c r="C6" s="18" t="s">
        <v>32</v>
      </c>
      <c r="D6" s="116">
        <f>L11</f>
        <v>0</v>
      </c>
      <c r="E6" s="67">
        <f>ROUND(E5*D6/100,2)</f>
        <v>0</v>
      </c>
      <c r="G6" s="9"/>
      <c r="H6" s="284" t="s">
        <v>50</v>
      </c>
      <c r="I6" s="93"/>
      <c r="J6" s="15"/>
      <c r="K6" s="104"/>
      <c r="L6" s="104"/>
    </row>
    <row r="7" spans="2:16" ht="15" customHeight="1" thickBot="1" x14ac:dyDescent="0.35">
      <c r="B7" s="31" t="s">
        <v>2</v>
      </c>
      <c r="C7" s="33" t="s">
        <v>25</v>
      </c>
      <c r="D7" s="117"/>
      <c r="E7" s="77">
        <f>E5-E6</f>
        <v>0</v>
      </c>
      <c r="F7" s="122"/>
      <c r="G7" s="9"/>
      <c r="H7" s="285"/>
      <c r="I7" s="94"/>
      <c r="J7" s="1"/>
      <c r="K7" s="23" t="s">
        <v>34</v>
      </c>
      <c r="L7" s="100"/>
    </row>
    <row r="8" spans="2:16" ht="15" customHeight="1" thickBot="1" x14ac:dyDescent="0.35">
      <c r="B8" s="292" t="s">
        <v>0</v>
      </c>
      <c r="C8" s="75" t="s">
        <v>33</v>
      </c>
      <c r="D8" s="116">
        <f>L12</f>
        <v>0</v>
      </c>
      <c r="E8" s="67">
        <f>ROUND(E7*D8/100,2)</f>
        <v>0</v>
      </c>
      <c r="F8" s="122"/>
      <c r="G8" s="9"/>
      <c r="H8" s="284" t="s">
        <v>50</v>
      </c>
      <c r="I8" s="93"/>
      <c r="J8" s="1"/>
    </row>
    <row r="9" spans="2:16" ht="15" customHeight="1" thickBot="1" x14ac:dyDescent="0.35">
      <c r="B9" s="31" t="s">
        <v>2</v>
      </c>
      <c r="C9" s="33" t="s">
        <v>26</v>
      </c>
      <c r="D9" s="115"/>
      <c r="E9" s="81">
        <f>E7-E8</f>
        <v>0</v>
      </c>
      <c r="F9" s="122"/>
      <c r="G9" s="9"/>
      <c r="H9" s="285"/>
      <c r="I9" s="94"/>
      <c r="J9" s="1"/>
    </row>
    <row r="10" spans="2:16" ht="15" customHeight="1" thickBot="1" x14ac:dyDescent="0.35">
      <c r="B10" s="292" t="s">
        <v>1</v>
      </c>
      <c r="C10" s="75" t="s">
        <v>27</v>
      </c>
      <c r="D10" s="110"/>
      <c r="E10" s="116">
        <f>L7</f>
        <v>0</v>
      </c>
      <c r="F10" s="122"/>
      <c r="G10" s="9"/>
      <c r="H10" s="286"/>
      <c r="I10" s="93"/>
      <c r="J10" s="1"/>
      <c r="K10" s="64" t="s">
        <v>23</v>
      </c>
      <c r="L10" s="64" t="s">
        <v>3</v>
      </c>
    </row>
    <row r="11" spans="2:16" ht="15" customHeight="1" thickBot="1" x14ac:dyDescent="0.35">
      <c r="B11" s="31" t="s">
        <v>2</v>
      </c>
      <c r="C11" s="33" t="s">
        <v>28</v>
      </c>
      <c r="D11" s="118"/>
      <c r="E11" s="82">
        <f>E9+E10</f>
        <v>0</v>
      </c>
      <c r="F11" s="122"/>
      <c r="G11" s="9"/>
      <c r="H11" s="285"/>
      <c r="I11" s="94"/>
      <c r="J11" s="1"/>
      <c r="K11" s="105" t="s">
        <v>32</v>
      </c>
      <c r="L11" s="106"/>
    </row>
    <row r="12" spans="2:16" ht="15" customHeight="1" thickBot="1" x14ac:dyDescent="0.35">
      <c r="B12" s="292" t="s">
        <v>1</v>
      </c>
      <c r="C12" s="75" t="s">
        <v>29</v>
      </c>
      <c r="D12" s="116">
        <f>L13</f>
        <v>0</v>
      </c>
      <c r="E12" s="67">
        <f>ROUND(E11*D12/100,2)</f>
        <v>0</v>
      </c>
      <c r="F12" s="122"/>
      <c r="G12" s="9"/>
      <c r="H12" s="284" t="s">
        <v>50</v>
      </c>
      <c r="I12" s="93"/>
      <c r="J12" s="1"/>
      <c r="K12" s="56" t="s">
        <v>33</v>
      </c>
      <c r="L12" s="107"/>
    </row>
    <row r="13" spans="2:16" ht="15" customHeight="1" x14ac:dyDescent="0.3">
      <c r="B13" s="31" t="s">
        <v>2</v>
      </c>
      <c r="C13" s="33" t="s">
        <v>56</v>
      </c>
      <c r="D13" s="115"/>
      <c r="E13" s="77">
        <f>E11+E12</f>
        <v>0</v>
      </c>
      <c r="F13" s="122"/>
      <c r="G13" s="9"/>
      <c r="H13" s="287"/>
      <c r="I13" s="94"/>
      <c r="J13" s="1"/>
      <c r="K13" s="23" t="s">
        <v>35</v>
      </c>
      <c r="L13" s="101"/>
      <c r="N13" s="59" t="s">
        <v>50</v>
      </c>
      <c r="O13" s="282" t="s">
        <v>53</v>
      </c>
      <c r="P13" s="51"/>
    </row>
    <row r="14" spans="2:16" ht="15" customHeight="1" x14ac:dyDescent="0.25">
      <c r="B14" s="292" t="s">
        <v>1</v>
      </c>
      <c r="C14" s="167" t="s">
        <v>5</v>
      </c>
      <c r="D14" s="111">
        <f>IFERROR(ROUND(E14/E13*100,2),0)</f>
        <v>0</v>
      </c>
      <c r="E14" s="112">
        <f>E15-E13</f>
        <v>0</v>
      </c>
      <c r="F14" s="121" t="s">
        <v>41</v>
      </c>
      <c r="G14" s="9"/>
      <c r="H14" s="114" t="str">
        <f>IF(D14&gt;0,"Gewinn",IF(D14=0,"0,00","Verlust"))</f>
        <v>0,00</v>
      </c>
      <c r="I14" s="93"/>
      <c r="J14" s="95"/>
      <c r="K14" s="56" t="s">
        <v>5</v>
      </c>
      <c r="L14" s="107"/>
      <c r="N14" s="61" t="s">
        <v>51</v>
      </c>
      <c r="O14" s="102" t="s">
        <v>54</v>
      </c>
      <c r="P14" s="53"/>
    </row>
    <row r="15" spans="2:16" ht="15" customHeight="1" thickBot="1" x14ac:dyDescent="0.3">
      <c r="B15" s="31" t="s">
        <v>2</v>
      </c>
      <c r="C15" s="33" t="s">
        <v>6</v>
      </c>
      <c r="D15" s="118"/>
      <c r="E15" s="77">
        <f>E19-E18</f>
        <v>0</v>
      </c>
      <c r="G15" s="96"/>
      <c r="H15" s="33"/>
      <c r="I15" s="94"/>
      <c r="J15" s="97"/>
      <c r="K15" s="23" t="s">
        <v>7</v>
      </c>
      <c r="L15" s="101"/>
      <c r="N15" s="60" t="s">
        <v>52</v>
      </c>
      <c r="O15" s="283" t="s">
        <v>55</v>
      </c>
      <c r="P15" s="55"/>
    </row>
    <row r="16" spans="2:16" ht="15" customHeight="1" thickBot="1" x14ac:dyDescent="0.35">
      <c r="B16" s="87" t="s">
        <v>1</v>
      </c>
      <c r="C16" s="88" t="s">
        <v>7</v>
      </c>
      <c r="D16" s="119">
        <f>L15</f>
        <v>0</v>
      </c>
      <c r="E16" s="120">
        <f>ROUND(E19*D16/100,2)</f>
        <v>0</v>
      </c>
      <c r="F16" s="122"/>
      <c r="G16" s="9"/>
      <c r="H16" s="35"/>
      <c r="I16" s="93"/>
      <c r="J16" s="95"/>
      <c r="K16" s="56" t="s">
        <v>12</v>
      </c>
      <c r="L16" s="107"/>
    </row>
    <row r="17" spans="2:12" ht="15" customHeight="1" thickBot="1" x14ac:dyDescent="0.35">
      <c r="B17" s="87" t="s">
        <v>1</v>
      </c>
      <c r="C17" s="88" t="s">
        <v>12</v>
      </c>
      <c r="D17" s="119">
        <f>L16</f>
        <v>0</v>
      </c>
      <c r="E17" s="120">
        <f>ROUND(E19*D17/100,2)</f>
        <v>0</v>
      </c>
      <c r="F17" s="122"/>
      <c r="G17" s="9"/>
      <c r="H17" s="35"/>
      <c r="I17" s="94"/>
      <c r="J17" s="95"/>
      <c r="K17" s="23" t="s">
        <v>9</v>
      </c>
      <c r="L17" s="101"/>
    </row>
    <row r="18" spans="2:12" ht="15" customHeight="1" x14ac:dyDescent="0.3">
      <c r="B18" s="292"/>
      <c r="C18" s="75" t="s">
        <v>30</v>
      </c>
      <c r="D18" s="98">
        <f>SUM(D16:D17)</f>
        <v>0</v>
      </c>
      <c r="E18" s="70">
        <f>ROUND(E19*D18/100,2)</f>
        <v>0</v>
      </c>
      <c r="F18" s="122"/>
      <c r="G18" s="9"/>
      <c r="H18" s="288" t="s">
        <v>50</v>
      </c>
      <c r="I18" s="94"/>
      <c r="J18" s="95"/>
      <c r="K18" s="108" t="s">
        <v>10</v>
      </c>
      <c r="L18" s="109"/>
    </row>
    <row r="19" spans="2:12" ht="15" customHeight="1" thickBot="1" x14ac:dyDescent="0.35">
      <c r="B19" s="31" t="s">
        <v>2</v>
      </c>
      <c r="C19" s="33" t="s">
        <v>8</v>
      </c>
      <c r="D19" s="118"/>
      <c r="E19" s="113">
        <f>E21-E20</f>
        <v>0</v>
      </c>
      <c r="F19" s="122"/>
      <c r="G19" s="9"/>
      <c r="H19" s="285"/>
      <c r="I19" s="94"/>
      <c r="J19" s="1"/>
    </row>
    <row r="20" spans="2:12" ht="15" customHeight="1" thickBot="1" x14ac:dyDescent="0.35">
      <c r="B20" s="292" t="s">
        <v>1</v>
      </c>
      <c r="C20" s="75" t="s">
        <v>9</v>
      </c>
      <c r="D20" s="116">
        <f>L17</f>
        <v>0</v>
      </c>
      <c r="E20" s="70">
        <f>ROUND(E21*D20/100,2)</f>
        <v>0</v>
      </c>
      <c r="F20" s="122"/>
      <c r="G20" s="9"/>
      <c r="H20" s="284" t="s">
        <v>50</v>
      </c>
      <c r="I20" s="93"/>
      <c r="J20" s="1"/>
    </row>
    <row r="21" spans="2:12" ht="15" customHeight="1" thickBot="1" x14ac:dyDescent="0.3">
      <c r="B21" s="31" t="s">
        <v>2</v>
      </c>
      <c r="C21" s="33" t="s">
        <v>31</v>
      </c>
      <c r="D21" s="117"/>
      <c r="E21" s="83">
        <f>L5</f>
        <v>0</v>
      </c>
      <c r="F21" s="123" t="s">
        <v>40</v>
      </c>
      <c r="G21" s="9"/>
      <c r="H21" s="287"/>
      <c r="I21" s="94"/>
      <c r="J21" s="1"/>
    </row>
    <row r="22" spans="2:12" ht="15" customHeight="1" thickBot="1" x14ac:dyDescent="0.3">
      <c r="B22" s="327" t="s">
        <v>1</v>
      </c>
      <c r="C22" s="314" t="s">
        <v>10</v>
      </c>
      <c r="D22" s="315">
        <f>L18</f>
        <v>0</v>
      </c>
      <c r="E22" s="328">
        <f>ROUND(E21*D22/100,2)</f>
        <v>0</v>
      </c>
      <c r="G22" s="9"/>
      <c r="H22" s="289" t="s">
        <v>52</v>
      </c>
      <c r="I22" s="93"/>
      <c r="K22" s="293" t="s">
        <v>75</v>
      </c>
      <c r="L22" s="293"/>
    </row>
    <row r="23" spans="2:12" ht="15" customHeight="1" x14ac:dyDescent="0.3">
      <c r="B23" s="329" t="s">
        <v>2</v>
      </c>
      <c r="C23" s="287" t="s">
        <v>11</v>
      </c>
      <c r="D23" s="330"/>
      <c r="E23" s="331">
        <f>E21+E22</f>
        <v>0</v>
      </c>
      <c r="F23" s="84"/>
      <c r="G23" s="9"/>
      <c r="H23" s="33"/>
      <c r="I23" s="94"/>
      <c r="K23" s="293" t="s">
        <v>74</v>
      </c>
      <c r="L23" s="296"/>
    </row>
    <row r="24" spans="2:12" ht="15" customHeight="1" x14ac:dyDescent="0.3">
      <c r="F24" s="84"/>
      <c r="G24" s="9"/>
      <c r="I24" s="93"/>
      <c r="K24" s="295" t="str">
        <f>TEXT(VALUE(E14),"#.##0,00 €")&amp;" ("&amp;TEXT(VALUE(D14),"#.##0,00")&amp;" %)"</f>
        <v>0,00 € (0,00 %)</v>
      </c>
      <c r="L24" s="295"/>
    </row>
  </sheetData>
  <sheetProtection algorithmName="SHA-512" hashValue="ZhVeHbBIrJFnPWEi4Z7muJ24YHtv/4lZPk3Hi06B+QC21+nXLYbnBNmysgdpDnzPJL46Xui5BBsfqdeMcSB81w==" saltValue="RBSHH/F/GZnA7WGsViezYg==" spinCount="100000" sheet="1" objects="1" scenarios="1"/>
  <protectedRanges>
    <protectedRange sqref="L4:L5 L7 L11:L18" name="Bereich1"/>
  </protectedRanges>
  <mergeCells count="2">
    <mergeCell ref="B2:E2"/>
    <mergeCell ref="K24:L24"/>
  </mergeCells>
  <conditionalFormatting sqref="H14">
    <cfRule type="expression" dxfId="1" priority="1">
      <formula>$D$14&lt;=0</formula>
    </cfRule>
    <cfRule type="expression" dxfId="0" priority="2">
      <formula>$D$14&gt;0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Q35"/>
  <sheetViews>
    <sheetView showGridLines="0" showRowColHeaders="0" workbookViewId="0"/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5.625" style="10" customWidth="1"/>
    <col min="4" max="10" width="12.875" style="10" customWidth="1"/>
    <col min="11" max="11" width="10.625" style="10" customWidth="1"/>
    <col min="12" max="12" width="31.75" style="10" customWidth="1"/>
    <col min="13" max="13" width="12.875" style="10" customWidth="1"/>
    <col min="14" max="15" width="11" style="10"/>
    <col min="16" max="16" width="17.125" style="10" customWidth="1"/>
    <col min="17" max="16384" width="11" style="10"/>
  </cols>
  <sheetData>
    <row r="2" spans="2:17" ht="20.100000000000001" customHeight="1" x14ac:dyDescent="0.25">
      <c r="B2" s="137"/>
      <c r="C2" s="137"/>
      <c r="D2" s="137"/>
      <c r="E2" s="138" t="s">
        <v>43</v>
      </c>
      <c r="F2" s="138"/>
      <c r="G2" s="138" t="s">
        <v>42</v>
      </c>
      <c r="H2" s="138"/>
      <c r="I2" s="138" t="s">
        <v>44</v>
      </c>
      <c r="J2" s="138"/>
    </row>
    <row r="3" spans="2:17" x14ac:dyDescent="0.25">
      <c r="B3" s="9"/>
      <c r="C3" s="9"/>
      <c r="D3" s="9"/>
      <c r="E3" s="9"/>
      <c r="F3" s="9"/>
      <c r="G3" s="9"/>
      <c r="H3" s="9"/>
      <c r="I3" s="9"/>
      <c r="J3" s="9"/>
      <c r="L3" s="21" t="s">
        <v>23</v>
      </c>
      <c r="M3" s="21" t="s">
        <v>48</v>
      </c>
    </row>
    <row r="4" spans="2:17" ht="14.25" thickBot="1" x14ac:dyDescent="0.3">
      <c r="B4" s="141"/>
      <c r="C4" s="141"/>
      <c r="D4" s="141"/>
      <c r="E4" s="142" t="s">
        <v>3</v>
      </c>
      <c r="F4" s="156" t="s">
        <v>48</v>
      </c>
      <c r="G4" s="141"/>
      <c r="H4" s="156" t="s">
        <v>48</v>
      </c>
      <c r="I4" s="143"/>
      <c r="J4" s="142" t="s">
        <v>48</v>
      </c>
      <c r="L4" s="24" t="s">
        <v>24</v>
      </c>
      <c r="M4" s="25"/>
    </row>
    <row r="5" spans="2:17" ht="14.25" thickBot="1" x14ac:dyDescent="0.3">
      <c r="B5" s="125"/>
      <c r="C5" s="125" t="s">
        <v>24</v>
      </c>
      <c r="D5" s="14"/>
      <c r="E5" s="126"/>
      <c r="F5" s="158">
        <f>M4</f>
        <v>0</v>
      </c>
      <c r="G5" s="14"/>
      <c r="H5" s="158">
        <f>M4</f>
        <v>0</v>
      </c>
      <c r="I5" s="14"/>
      <c r="J5" s="127">
        <f>J7+J6</f>
        <v>0</v>
      </c>
      <c r="L5" s="154" t="s">
        <v>31</v>
      </c>
      <c r="M5" s="155"/>
    </row>
    <row r="6" spans="2:17" ht="14.25" thickBot="1" x14ac:dyDescent="0.3">
      <c r="B6" s="144" t="s">
        <v>0</v>
      </c>
      <c r="C6" s="145" t="str">
        <f>L10</f>
        <v>Liefererrabatt</v>
      </c>
      <c r="D6" s="263" t="s">
        <v>50</v>
      </c>
      <c r="E6" s="159">
        <f>M10</f>
        <v>0</v>
      </c>
      <c r="F6" s="157">
        <f>ROUND(F5*E6/100,2)</f>
        <v>0</v>
      </c>
      <c r="G6" s="271" t="s">
        <v>50</v>
      </c>
      <c r="H6" s="157">
        <f>ROUND(H5*E6/100,2)</f>
        <v>0</v>
      </c>
      <c r="I6" s="278" t="s">
        <v>51</v>
      </c>
      <c r="J6" s="147">
        <f>ROUND(J7/(100-E6)*E6,2)</f>
        <v>0</v>
      </c>
      <c r="K6" s="128"/>
      <c r="M6" s="12"/>
    </row>
    <row r="7" spans="2:17" ht="14.25" thickBot="1" x14ac:dyDescent="0.3">
      <c r="B7" s="129" t="s">
        <v>2</v>
      </c>
      <c r="C7" s="130" t="s">
        <v>25</v>
      </c>
      <c r="D7" s="264"/>
      <c r="E7" s="131"/>
      <c r="F7" s="132">
        <f>F5-F6</f>
        <v>0</v>
      </c>
      <c r="G7" s="272"/>
      <c r="H7" s="132">
        <f>H5-H6</f>
        <v>0</v>
      </c>
      <c r="I7" s="264"/>
      <c r="J7" s="133">
        <f>J9+J8</f>
        <v>0</v>
      </c>
      <c r="K7" s="128"/>
      <c r="L7" s="24" t="s">
        <v>34</v>
      </c>
      <c r="M7" s="152"/>
    </row>
    <row r="8" spans="2:17" ht="14.25" thickBot="1" x14ac:dyDescent="0.3">
      <c r="B8" s="144" t="s">
        <v>0</v>
      </c>
      <c r="C8" s="145" t="str">
        <f>L11</f>
        <v>Liefererskonto</v>
      </c>
      <c r="D8" s="263" t="s">
        <v>50</v>
      </c>
      <c r="E8" s="159">
        <f>M11</f>
        <v>0</v>
      </c>
      <c r="F8" s="146">
        <f>ROUND(F7*E8/100,2)</f>
        <v>0</v>
      </c>
      <c r="G8" s="271" t="s">
        <v>50</v>
      </c>
      <c r="H8" s="146">
        <f>ROUND(H7*E8/100,2)</f>
        <v>0</v>
      </c>
      <c r="I8" s="278" t="s">
        <v>51</v>
      </c>
      <c r="J8" s="147">
        <f>ROUND(J9*E8/(100-E8),2)</f>
        <v>0</v>
      </c>
      <c r="K8" s="128"/>
    </row>
    <row r="9" spans="2:17" ht="14.25" thickBot="1" x14ac:dyDescent="0.3">
      <c r="B9" s="129" t="s">
        <v>2</v>
      </c>
      <c r="C9" s="130" t="s">
        <v>26</v>
      </c>
      <c r="D9" s="264"/>
      <c r="E9" s="131"/>
      <c r="F9" s="132">
        <f>F7-F8</f>
        <v>0</v>
      </c>
      <c r="G9" s="272"/>
      <c r="H9" s="132">
        <f>H7-H8</f>
        <v>0</v>
      </c>
      <c r="I9" s="264"/>
      <c r="J9" s="133">
        <f>J11-J10</f>
        <v>0</v>
      </c>
      <c r="K9" s="128"/>
      <c r="L9" s="21" t="s">
        <v>23</v>
      </c>
      <c r="M9" s="21" t="s">
        <v>3</v>
      </c>
    </row>
    <row r="10" spans="2:17" ht="14.25" thickBot="1" x14ac:dyDescent="0.3">
      <c r="B10" s="144" t="s">
        <v>1</v>
      </c>
      <c r="C10" s="145" t="str">
        <f>L7</f>
        <v>Bezugskosten (je Stück)</v>
      </c>
      <c r="D10" s="265"/>
      <c r="E10" s="148"/>
      <c r="F10" s="159">
        <f>M7</f>
        <v>0</v>
      </c>
      <c r="G10" s="273"/>
      <c r="H10" s="159">
        <f>M7</f>
        <v>0</v>
      </c>
      <c r="I10" s="265"/>
      <c r="J10" s="159">
        <f>M7</f>
        <v>0</v>
      </c>
      <c r="K10" s="128"/>
      <c r="L10" s="24" t="s">
        <v>32</v>
      </c>
      <c r="M10" s="153"/>
    </row>
    <row r="11" spans="2:17" ht="14.25" thickBot="1" x14ac:dyDescent="0.3">
      <c r="B11" s="129" t="s">
        <v>2</v>
      </c>
      <c r="C11" s="130" t="s">
        <v>28</v>
      </c>
      <c r="D11" s="264"/>
      <c r="E11" s="131"/>
      <c r="F11" s="132">
        <f>F9+F10</f>
        <v>0</v>
      </c>
      <c r="G11" s="272"/>
      <c r="H11" s="132">
        <f>H9+H10</f>
        <v>0</v>
      </c>
      <c r="I11" s="264"/>
      <c r="J11" s="133">
        <f>J13-J12</f>
        <v>0</v>
      </c>
      <c r="K11" s="128"/>
      <c r="L11" s="10" t="s">
        <v>33</v>
      </c>
      <c r="M11" s="69"/>
    </row>
    <row r="12" spans="2:17" ht="14.25" thickBot="1" x14ac:dyDescent="0.3">
      <c r="B12" s="144" t="s">
        <v>1</v>
      </c>
      <c r="C12" s="145" t="str">
        <f>L12</f>
        <v>Handlungskostenzuschlag</v>
      </c>
      <c r="D12" s="263" t="s">
        <v>50</v>
      </c>
      <c r="E12" s="159">
        <f>M12</f>
        <v>0</v>
      </c>
      <c r="F12" s="146">
        <f>ROUND(F11*E12/100,2)</f>
        <v>0</v>
      </c>
      <c r="G12" s="271" t="s">
        <v>50</v>
      </c>
      <c r="H12" s="146">
        <f>ROUND(H11/100*E12,2)</f>
        <v>0</v>
      </c>
      <c r="I12" s="279" t="s">
        <v>52</v>
      </c>
      <c r="J12" s="147">
        <f>ROUND(J13/(100+E12)*E12,2)</f>
        <v>0</v>
      </c>
      <c r="K12" s="128"/>
      <c r="L12" s="24" t="s">
        <v>29</v>
      </c>
      <c r="M12" s="153"/>
    </row>
    <row r="13" spans="2:17" ht="14.25" thickBot="1" x14ac:dyDescent="0.3">
      <c r="B13" s="129" t="s">
        <v>2</v>
      </c>
      <c r="C13" s="130" t="s">
        <v>56</v>
      </c>
      <c r="D13" s="264"/>
      <c r="E13" s="131"/>
      <c r="F13" s="132">
        <f>F11+F12</f>
        <v>0</v>
      </c>
      <c r="G13" s="260"/>
      <c r="H13" s="132">
        <f>SUM(H11:H12)</f>
        <v>0</v>
      </c>
      <c r="I13" s="264"/>
      <c r="J13" s="133">
        <f>J15-J14</f>
        <v>0</v>
      </c>
      <c r="K13" s="128"/>
      <c r="L13" s="10" t="s">
        <v>5</v>
      </c>
      <c r="M13" s="69"/>
      <c r="O13" s="59" t="s">
        <v>50</v>
      </c>
      <c r="P13" s="282" t="s">
        <v>53</v>
      </c>
      <c r="Q13" s="51"/>
    </row>
    <row r="14" spans="2:17" ht="14.25" thickBot="1" x14ac:dyDescent="0.3">
      <c r="B14" s="144" t="s">
        <v>1</v>
      </c>
      <c r="C14" s="145" t="str">
        <f>L13</f>
        <v>Gewinnzuschlag</v>
      </c>
      <c r="D14" s="266" t="s">
        <v>50</v>
      </c>
      <c r="E14" s="159">
        <f>M13</f>
        <v>0</v>
      </c>
      <c r="F14" s="146">
        <f>ROUND(F13*E14/100,2)</f>
        <v>0</v>
      </c>
      <c r="G14" s="178">
        <f>IFERROR(ROUND(H14*100/H13,2),0)</f>
        <v>0</v>
      </c>
      <c r="H14" s="179">
        <f>H15-H13</f>
        <v>0</v>
      </c>
      <c r="I14" s="279" t="s">
        <v>52</v>
      </c>
      <c r="J14" s="147">
        <f>ROUND(J15*E14/(100+E14),2)</f>
        <v>0</v>
      </c>
      <c r="K14" s="128"/>
      <c r="L14" s="24" t="s">
        <v>7</v>
      </c>
      <c r="M14" s="153"/>
      <c r="O14" s="61" t="s">
        <v>51</v>
      </c>
      <c r="P14" s="102" t="s">
        <v>54</v>
      </c>
      <c r="Q14" s="53"/>
    </row>
    <row r="15" spans="2:17" ht="14.25" thickBot="1" x14ac:dyDescent="0.3">
      <c r="B15" s="129" t="s">
        <v>2</v>
      </c>
      <c r="C15" s="130" t="s">
        <v>6</v>
      </c>
      <c r="D15" s="264"/>
      <c r="E15" s="131"/>
      <c r="F15" s="132">
        <f>F13+F14</f>
        <v>0</v>
      </c>
      <c r="G15" s="260"/>
      <c r="H15" s="132">
        <f>H19-H18</f>
        <v>0</v>
      </c>
      <c r="I15" s="264"/>
      <c r="J15" s="133">
        <f>J19-J18</f>
        <v>0</v>
      </c>
      <c r="K15" s="128"/>
      <c r="L15" s="10" t="s">
        <v>12</v>
      </c>
      <c r="M15" s="69"/>
      <c r="O15" s="60" t="s">
        <v>52</v>
      </c>
      <c r="P15" s="283" t="s">
        <v>55</v>
      </c>
      <c r="Q15" s="55"/>
    </row>
    <row r="16" spans="2:17" ht="14.25" thickBot="1" x14ac:dyDescent="0.3">
      <c r="B16" s="163" t="s">
        <v>1</v>
      </c>
      <c r="C16" s="164" t="str">
        <f>L14</f>
        <v>Kundenskonto</v>
      </c>
      <c r="D16" s="258"/>
      <c r="E16" s="173">
        <f>M14</f>
        <v>0</v>
      </c>
      <c r="F16" s="175">
        <f>ROUND(F15/(100-E16-E17)*E16,2)</f>
        <v>0</v>
      </c>
      <c r="G16" s="261"/>
      <c r="H16" s="175">
        <f>ROUND(H19*E16/100,2)</f>
        <v>0</v>
      </c>
      <c r="I16" s="258"/>
      <c r="J16" s="175">
        <f>ROUND(J19*E16/100,2)</f>
        <v>0</v>
      </c>
      <c r="K16" s="128"/>
      <c r="L16" s="24" t="s">
        <v>9</v>
      </c>
      <c r="M16" s="153"/>
    </row>
    <row r="17" spans="2:13" ht="14.25" thickBot="1" x14ac:dyDescent="0.3">
      <c r="B17" s="165" t="s">
        <v>1</v>
      </c>
      <c r="C17" s="166" t="str">
        <f>L15</f>
        <v>Vertreterprovision</v>
      </c>
      <c r="D17" s="259"/>
      <c r="E17" s="174">
        <f>M15</f>
        <v>0</v>
      </c>
      <c r="F17" s="176">
        <f>ROUND(F15*E17/(100-E17-E16),2)</f>
        <v>0</v>
      </c>
      <c r="G17" s="262"/>
      <c r="H17" s="176">
        <f>ROUND(H19*E17/100,2)</f>
        <v>0</v>
      </c>
      <c r="I17" s="259"/>
      <c r="J17" s="176">
        <f>ROUND(J19*E17/100,2)</f>
        <v>0</v>
      </c>
      <c r="K17" s="128"/>
      <c r="L17" s="139" t="s">
        <v>10</v>
      </c>
      <c r="M17" s="140"/>
    </row>
    <row r="18" spans="2:13" x14ac:dyDescent="0.25">
      <c r="B18" s="168"/>
      <c r="C18" s="169" t="s">
        <v>30</v>
      </c>
      <c r="D18" s="267" t="s">
        <v>51</v>
      </c>
      <c r="E18" s="170">
        <f>E16+E17</f>
        <v>0</v>
      </c>
      <c r="F18" s="171">
        <f>ROUND(F15*E18/(100-E18),2)</f>
        <v>0</v>
      </c>
      <c r="G18" s="274" t="s">
        <v>50</v>
      </c>
      <c r="H18" s="171">
        <f>ROUND(H19*E18/100,2)</f>
        <v>0</v>
      </c>
      <c r="I18" s="280" t="s">
        <v>50</v>
      </c>
      <c r="J18" s="172">
        <f>ROUND(J19*E18/100,2)</f>
        <v>0</v>
      </c>
      <c r="K18" s="128"/>
    </row>
    <row r="19" spans="2:13" ht="14.25" thickBot="1" x14ac:dyDescent="0.3">
      <c r="B19" s="149" t="s">
        <v>2</v>
      </c>
      <c r="C19" s="141" t="s">
        <v>8</v>
      </c>
      <c r="D19" s="265"/>
      <c r="E19" s="160"/>
      <c r="F19" s="150">
        <f>F15+F18</f>
        <v>0</v>
      </c>
      <c r="G19" s="273"/>
      <c r="H19" s="150">
        <f>H21-H20</f>
        <v>0</v>
      </c>
      <c r="I19" s="265"/>
      <c r="J19" s="151">
        <f>J21-J20</f>
        <v>0</v>
      </c>
      <c r="K19" s="128"/>
    </row>
    <row r="20" spans="2:13" ht="14.25" thickBot="1" x14ac:dyDescent="0.3">
      <c r="B20" s="134" t="s">
        <v>1</v>
      </c>
      <c r="C20" s="125" t="str">
        <f>L16</f>
        <v>Kundenrabatt</v>
      </c>
      <c r="D20" s="268" t="s">
        <v>51</v>
      </c>
      <c r="E20" s="177">
        <f>M16</f>
        <v>0</v>
      </c>
      <c r="F20" s="135">
        <f>ROUND((F19/(100-E20)*E20),2)</f>
        <v>0</v>
      </c>
      <c r="G20" s="275" t="s">
        <v>50</v>
      </c>
      <c r="H20" s="135">
        <f>ROUND(H21*E20/100,2)</f>
        <v>0</v>
      </c>
      <c r="I20" s="281" t="s">
        <v>50</v>
      </c>
      <c r="J20" s="127">
        <f>ROUND(J21*E20/100,2)</f>
        <v>0</v>
      </c>
      <c r="K20" s="128"/>
    </row>
    <row r="21" spans="2:13" ht="14.25" thickBot="1" x14ac:dyDescent="0.3">
      <c r="B21" s="149" t="s">
        <v>2</v>
      </c>
      <c r="C21" s="141" t="s">
        <v>31</v>
      </c>
      <c r="D21" s="269"/>
      <c r="E21" s="161"/>
      <c r="F21" s="150">
        <f>F19+F20</f>
        <v>0</v>
      </c>
      <c r="G21" s="276"/>
      <c r="H21" s="162">
        <f>M5</f>
        <v>0</v>
      </c>
      <c r="I21" s="265"/>
      <c r="J21" s="162">
        <f>M5</f>
        <v>0</v>
      </c>
      <c r="K21" s="128"/>
    </row>
    <row r="22" spans="2:13" ht="14.25" thickBot="1" x14ac:dyDescent="0.3">
      <c r="B22" s="302" t="s">
        <v>1</v>
      </c>
      <c r="C22" s="303" t="str">
        <f>L17</f>
        <v>Umsatzsteuer</v>
      </c>
      <c r="D22" s="270" t="s">
        <v>52</v>
      </c>
      <c r="E22" s="320">
        <f>M17</f>
        <v>0</v>
      </c>
      <c r="F22" s="321">
        <f>ROUND(F21*$E$22/100,2)</f>
        <v>0</v>
      </c>
      <c r="G22" s="277" t="s">
        <v>52</v>
      </c>
      <c r="H22" s="321">
        <f>ROUND(H21*$E$22/100,2)</f>
        <v>0</v>
      </c>
      <c r="I22" s="270" t="s">
        <v>52</v>
      </c>
      <c r="J22" s="321">
        <f>ROUND(J21*$E$22/100,2)</f>
        <v>0</v>
      </c>
      <c r="K22" s="128"/>
    </row>
    <row r="23" spans="2:13" x14ac:dyDescent="0.25">
      <c r="B23" s="322" t="s">
        <v>2</v>
      </c>
      <c r="C23" s="323" t="s">
        <v>11</v>
      </c>
      <c r="D23" s="323"/>
      <c r="E23" s="324"/>
      <c r="F23" s="325">
        <f>F21+F22</f>
        <v>0</v>
      </c>
      <c r="G23" s="326"/>
      <c r="H23" s="325">
        <f>H21+H22</f>
        <v>0</v>
      </c>
      <c r="I23" s="323"/>
      <c r="J23" s="325">
        <f>J21+J22</f>
        <v>0</v>
      </c>
      <c r="K23" s="128"/>
    </row>
    <row r="31" spans="2:13" x14ac:dyDescent="0.25">
      <c r="H31" s="136"/>
    </row>
    <row r="32" spans="2:13" x14ac:dyDescent="0.25">
      <c r="H32" s="136"/>
    </row>
    <row r="35" spans="8:8" x14ac:dyDescent="0.25">
      <c r="H35" s="136"/>
    </row>
  </sheetData>
  <sheetProtection algorithmName="SHA-512" hashValue="ilSII/SKqLEkCyAcaqEVoig8sgwAonfwBjTOP1Ld+aGFIjeWul5jHuw7yLsmgyAV+1Ha+JToBYmQq2L7TDSRsQ==" saltValue="Ysdc8kVx0apHDve/JiQ/yQ==" spinCount="100000" sheet="1" objects="1" scenarios="1"/>
  <protectedRanges>
    <protectedRange sqref="M4:M5 M7 M10:M17" name="Bereich1"/>
  </protectedRanges>
  <mergeCells count="3">
    <mergeCell ref="E2:F2"/>
    <mergeCell ref="G2:H2"/>
    <mergeCell ref="I2:J2"/>
  </mergeCells>
  <pageMargins left="0.7" right="0.7" top="0.78740157499999996" bottom="0.78740157499999996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I26"/>
  <sheetViews>
    <sheetView showGridLines="0" showRowColHeaders="0" workbookViewId="0"/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8.75" style="10" customWidth="1"/>
    <col min="4" max="7" width="12.875" style="10" customWidth="1"/>
    <col min="8" max="8" width="31.75" style="10" customWidth="1"/>
    <col min="9" max="9" width="12.875" style="10" customWidth="1"/>
    <col min="10" max="16384" width="11" style="10"/>
  </cols>
  <sheetData>
    <row r="2" spans="2:9" ht="20.100000000000001" customHeight="1" x14ac:dyDescent="0.25">
      <c r="B2" s="63" t="s">
        <v>37</v>
      </c>
      <c r="C2" s="63"/>
      <c r="D2" s="63"/>
      <c r="E2" s="63"/>
    </row>
    <row r="3" spans="2:9" ht="15" customHeight="1" x14ac:dyDescent="0.25">
      <c r="B3" s="62"/>
      <c r="C3" s="62"/>
      <c r="D3" s="62"/>
      <c r="E3" s="62"/>
      <c r="H3" s="64" t="s">
        <v>23</v>
      </c>
      <c r="I3" s="64" t="s">
        <v>48</v>
      </c>
    </row>
    <row r="4" spans="2:9" ht="15" customHeight="1" thickBot="1" x14ac:dyDescent="0.35">
      <c r="B4" s="30"/>
      <c r="C4" s="30"/>
      <c r="D4" s="31" t="s">
        <v>3</v>
      </c>
      <c r="E4" s="42" t="s">
        <v>48</v>
      </c>
      <c r="F4" s="195"/>
      <c r="H4" s="24" t="s">
        <v>13</v>
      </c>
      <c r="I4" s="25"/>
    </row>
    <row r="5" spans="2:9" ht="15" customHeight="1" thickBot="1" x14ac:dyDescent="0.35">
      <c r="B5" s="185"/>
      <c r="C5" s="35" t="s">
        <v>13</v>
      </c>
      <c r="D5" s="187"/>
      <c r="E5" s="186">
        <f>I4</f>
        <v>0</v>
      </c>
      <c r="F5" s="195"/>
      <c r="H5" s="154" t="s">
        <v>14</v>
      </c>
      <c r="I5" s="183"/>
    </row>
    <row r="6" spans="2:9" ht="15" customHeight="1" thickBot="1" x14ac:dyDescent="0.35">
      <c r="B6" s="182" t="s">
        <v>1</v>
      </c>
      <c r="C6" s="75" t="s">
        <v>15</v>
      </c>
      <c r="D6" s="116">
        <f>I8</f>
        <v>0</v>
      </c>
      <c r="E6" s="180">
        <f>ROUND(E5*D6/100,2)</f>
        <v>0</v>
      </c>
      <c r="F6" s="195"/>
      <c r="H6" s="197"/>
      <c r="I6" s="198"/>
    </row>
    <row r="7" spans="2:9" ht="15" customHeight="1" thickBot="1" x14ac:dyDescent="0.35">
      <c r="B7" s="32" t="s">
        <v>2</v>
      </c>
      <c r="C7" s="33" t="s">
        <v>20</v>
      </c>
      <c r="D7" s="115"/>
      <c r="E7" s="45">
        <f>E5+E6</f>
        <v>0</v>
      </c>
      <c r="F7" s="195"/>
      <c r="H7" s="201" t="s">
        <v>22</v>
      </c>
      <c r="I7" s="202" t="s">
        <v>3</v>
      </c>
    </row>
    <row r="8" spans="2:9" ht="15" customHeight="1" thickBot="1" x14ac:dyDescent="0.35">
      <c r="B8" s="185"/>
      <c r="C8" s="35" t="s">
        <v>14</v>
      </c>
      <c r="D8" s="187"/>
      <c r="E8" s="186">
        <f>I5</f>
        <v>0</v>
      </c>
      <c r="F8" s="195"/>
      <c r="H8" s="199" t="s">
        <v>15</v>
      </c>
      <c r="I8" s="200"/>
    </row>
    <row r="9" spans="2:9" ht="15" customHeight="1" thickBot="1" x14ac:dyDescent="0.35">
      <c r="B9" s="182" t="s">
        <v>1</v>
      </c>
      <c r="C9" s="75" t="s">
        <v>16</v>
      </c>
      <c r="D9" s="116">
        <f>I9</f>
        <v>0</v>
      </c>
      <c r="E9" s="180">
        <f>ROUND(E8*D9/100,2)</f>
        <v>0</v>
      </c>
      <c r="F9" s="195"/>
      <c r="H9" s="104" t="s">
        <v>16</v>
      </c>
      <c r="I9" s="184"/>
    </row>
    <row r="10" spans="2:9" ht="15" customHeight="1" x14ac:dyDescent="0.3">
      <c r="B10" s="32" t="s">
        <v>2</v>
      </c>
      <c r="C10" s="33" t="s">
        <v>21</v>
      </c>
      <c r="D10" s="115"/>
      <c r="E10" s="37">
        <f>SUM(E8:E9)</f>
        <v>0</v>
      </c>
      <c r="F10" s="195"/>
      <c r="H10" s="24" t="s">
        <v>17</v>
      </c>
      <c r="I10" s="153"/>
    </row>
    <row r="11" spans="2:9" ht="15" customHeight="1" thickBot="1" x14ac:dyDescent="0.35">
      <c r="B11" s="190" t="s">
        <v>2</v>
      </c>
      <c r="C11" s="191" t="s">
        <v>49</v>
      </c>
      <c r="D11" s="118"/>
      <c r="E11" s="45">
        <f>E7+E10</f>
        <v>0</v>
      </c>
      <c r="F11" s="195"/>
      <c r="H11" s="104" t="s">
        <v>18</v>
      </c>
      <c r="I11" s="184"/>
    </row>
    <row r="12" spans="2:9" ht="15" customHeight="1" thickBot="1" x14ac:dyDescent="0.35">
      <c r="B12" s="185" t="s">
        <v>1</v>
      </c>
      <c r="C12" s="35" t="s">
        <v>17</v>
      </c>
      <c r="D12" s="116">
        <f>I10</f>
        <v>0</v>
      </c>
      <c r="E12" s="36">
        <f>ROUND(E11*D12/100,2)</f>
        <v>0</v>
      </c>
      <c r="F12" s="195"/>
      <c r="H12" s="24" t="s">
        <v>5</v>
      </c>
      <c r="I12" s="153"/>
    </row>
    <row r="13" spans="2:9" ht="15" customHeight="1" thickBot="1" x14ac:dyDescent="0.35">
      <c r="B13" s="185" t="s">
        <v>1</v>
      </c>
      <c r="C13" s="35" t="s">
        <v>18</v>
      </c>
      <c r="D13" s="116">
        <f>I11</f>
        <v>0</v>
      </c>
      <c r="E13" s="36">
        <f>ROUND(E11*D13/100,2)</f>
        <v>0</v>
      </c>
      <c r="F13" s="195"/>
      <c r="H13" s="104" t="s">
        <v>7</v>
      </c>
      <c r="I13" s="184"/>
    </row>
    <row r="14" spans="2:9" ht="15" customHeight="1" thickBot="1" x14ac:dyDescent="0.35">
      <c r="B14" s="193" t="s">
        <v>2</v>
      </c>
      <c r="C14" s="194" t="s">
        <v>4</v>
      </c>
      <c r="D14" s="117"/>
      <c r="E14" s="46">
        <f>E11+E12+E13</f>
        <v>0</v>
      </c>
      <c r="F14" s="195"/>
      <c r="H14" s="24" t="s">
        <v>12</v>
      </c>
      <c r="I14" s="153"/>
    </row>
    <row r="15" spans="2:9" ht="15" customHeight="1" thickBot="1" x14ac:dyDescent="0.35">
      <c r="B15" s="182" t="s">
        <v>1</v>
      </c>
      <c r="C15" s="75" t="s">
        <v>5</v>
      </c>
      <c r="D15" s="116">
        <f>I12</f>
        <v>0</v>
      </c>
      <c r="E15" s="180">
        <f>ROUND(E14*D15/100,2)</f>
        <v>0</v>
      </c>
      <c r="F15" s="195"/>
      <c r="H15" s="104" t="s">
        <v>9</v>
      </c>
      <c r="I15" s="184"/>
    </row>
    <row r="16" spans="2:9" ht="15" customHeight="1" thickBot="1" x14ac:dyDescent="0.35">
      <c r="B16" s="190" t="s">
        <v>2</v>
      </c>
      <c r="C16" s="191" t="s">
        <v>6</v>
      </c>
      <c r="D16" s="117"/>
      <c r="E16" s="45">
        <f>E14+E15</f>
        <v>0</v>
      </c>
      <c r="F16" s="195"/>
      <c r="H16" s="24" t="s">
        <v>10</v>
      </c>
      <c r="I16" s="153"/>
    </row>
    <row r="17" spans="2:9" ht="15" customHeight="1" thickBot="1" x14ac:dyDescent="0.35">
      <c r="B17" s="192" t="s">
        <v>1</v>
      </c>
      <c r="C17" s="88" t="s">
        <v>7</v>
      </c>
      <c r="D17" s="119">
        <f>I13</f>
        <v>0</v>
      </c>
      <c r="E17" s="89">
        <f>ROUND(E16*D17/(100-D17-D18),2)</f>
        <v>0</v>
      </c>
      <c r="F17" s="195"/>
    </row>
    <row r="18" spans="2:9" ht="15" customHeight="1" thickBot="1" x14ac:dyDescent="0.35">
      <c r="B18" s="192" t="s">
        <v>1</v>
      </c>
      <c r="C18" s="88" t="s">
        <v>12</v>
      </c>
      <c r="D18" s="119">
        <f>I14</f>
        <v>0</v>
      </c>
      <c r="E18" s="89">
        <f>ROUND(E16*D18/(100-D18-D17),2)</f>
        <v>0</v>
      </c>
      <c r="F18" s="195"/>
    </row>
    <row r="19" spans="2:9" ht="15" customHeight="1" x14ac:dyDescent="0.3">
      <c r="B19" s="182"/>
      <c r="C19" s="75" t="s">
        <v>30</v>
      </c>
      <c r="D19" s="181">
        <f>D17+D18</f>
        <v>0</v>
      </c>
      <c r="E19" s="180">
        <f>ROUND(E16*D19/(100-D19),2)</f>
        <v>0</v>
      </c>
      <c r="F19" s="195"/>
      <c r="H19" s="293" t="s">
        <v>68</v>
      </c>
      <c r="I19" s="311">
        <f>E22</f>
        <v>0</v>
      </c>
    </row>
    <row r="20" spans="2:9" ht="15" customHeight="1" thickBot="1" x14ac:dyDescent="0.35">
      <c r="B20" s="32" t="s">
        <v>2</v>
      </c>
      <c r="C20" s="33" t="s">
        <v>8</v>
      </c>
      <c r="D20" s="188"/>
      <c r="E20" s="37">
        <f>E16+E17+E18</f>
        <v>0</v>
      </c>
      <c r="F20" s="195"/>
      <c r="H20" s="312" t="s">
        <v>69</v>
      </c>
      <c r="I20" s="311">
        <f>E8+E5</f>
        <v>0</v>
      </c>
    </row>
    <row r="21" spans="2:9" ht="15" customHeight="1" thickBot="1" x14ac:dyDescent="0.35">
      <c r="B21" s="182" t="s">
        <v>1</v>
      </c>
      <c r="C21" s="75" t="s">
        <v>9</v>
      </c>
      <c r="D21" s="116">
        <f>I15</f>
        <v>0</v>
      </c>
      <c r="E21" s="180">
        <f>ROUND(E20*D21/(100-D21),2)</f>
        <v>0</v>
      </c>
      <c r="F21" s="195"/>
      <c r="H21" s="312" t="s">
        <v>70</v>
      </c>
      <c r="I21" s="311">
        <f>E14</f>
        <v>0</v>
      </c>
    </row>
    <row r="22" spans="2:9" ht="15" customHeight="1" thickBot="1" x14ac:dyDescent="0.35">
      <c r="B22" s="32" t="s">
        <v>2</v>
      </c>
      <c r="C22" s="33" t="s">
        <v>19</v>
      </c>
      <c r="D22" s="189"/>
      <c r="E22" s="37">
        <f>E20+E21</f>
        <v>0</v>
      </c>
      <c r="F22" s="195"/>
      <c r="H22" s="296"/>
      <c r="I22" s="296"/>
    </row>
    <row r="23" spans="2:9" ht="15" customHeight="1" thickBot="1" x14ac:dyDescent="0.3">
      <c r="B23" s="313" t="s">
        <v>1</v>
      </c>
      <c r="C23" s="314" t="s">
        <v>10</v>
      </c>
      <c r="D23" s="315">
        <f>I16</f>
        <v>0</v>
      </c>
      <c r="E23" s="316">
        <f>ROUND(E22*D23/100,2)</f>
        <v>0</v>
      </c>
      <c r="F23" s="196" t="s">
        <v>41</v>
      </c>
      <c r="H23" s="293" t="s">
        <v>71</v>
      </c>
      <c r="I23" s="311" t="str">
        <f>IF(E22=0,"",_xlfn.FLOOR.MATH((I19+I21)/2-0.9,1)+0.9)</f>
        <v/>
      </c>
    </row>
    <row r="24" spans="2:9" ht="15" customHeight="1" x14ac:dyDescent="0.3">
      <c r="B24" s="317" t="s">
        <v>2</v>
      </c>
      <c r="C24" s="287" t="s">
        <v>11</v>
      </c>
      <c r="D24" s="318"/>
      <c r="E24" s="319">
        <f>E22+E23</f>
        <v>0</v>
      </c>
      <c r="F24" s="195"/>
      <c r="I24" s="12"/>
    </row>
    <row r="25" spans="2:9" ht="15" customHeight="1" x14ac:dyDescent="0.25">
      <c r="I25" s="12"/>
    </row>
    <row r="26" spans="2:9" ht="15" customHeight="1" x14ac:dyDescent="0.25"/>
  </sheetData>
  <sheetProtection algorithmName="SHA-512" hashValue="sVJCPzw+wmMBGz6/9gSv9QaPrdqnjvv+ibBT7FHz5eaA477kfEhbS++iodT3dACGTm5cazMZr1xL2yEmVB5oPw==" saltValue="0hiJtKrKeyS7djSIXorBhQ==" spinCount="100000" sheet="1" objects="1" scenarios="1"/>
  <protectedRanges>
    <protectedRange sqref="I4:I5 I8:I16" name="Bereich1"/>
  </protectedRanges>
  <mergeCells count="1">
    <mergeCell ref="B2:E2"/>
  </mergeCells>
  <pageMargins left="0.7" right="0.7" top="0.78740157499999996" bottom="0.78740157499999996" header="0.3" footer="0.3"/>
  <pageSetup paperSize="9" orientation="portrait" horizontalDpi="300" verticalDpi="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S27"/>
  <sheetViews>
    <sheetView showGridLines="0" showRowColHeaders="0" workbookViewId="0"/>
  </sheetViews>
  <sheetFormatPr baseColWidth="10" defaultRowHeight="13.5" x14ac:dyDescent="0.25"/>
  <cols>
    <col min="1" max="1" width="2.625" style="10" customWidth="1"/>
    <col min="2" max="2" width="2.375" style="10" customWidth="1"/>
    <col min="3" max="3" width="20" style="10" customWidth="1"/>
    <col min="4" max="9" width="12.875" style="10" customWidth="1"/>
    <col min="10" max="10" width="4.625" style="10" customWidth="1"/>
    <col min="11" max="11" width="23.875" style="10" customWidth="1"/>
    <col min="12" max="12" width="1.625" style="104" customWidth="1"/>
    <col min="13" max="13" width="20.625" style="10" customWidth="1"/>
    <col min="14" max="14" width="1.625" style="104" customWidth="1"/>
    <col min="15" max="15" width="20.625" style="10" customWidth="1"/>
    <col min="16" max="16" width="1.625" style="104" customWidth="1"/>
    <col min="17" max="17" width="20.625" style="10" customWidth="1"/>
    <col min="18" max="16384" width="11" style="10"/>
  </cols>
  <sheetData>
    <row r="2" spans="2:19" ht="20.100000000000001" customHeight="1" x14ac:dyDescent="0.25">
      <c r="B2" s="138" t="s">
        <v>45</v>
      </c>
      <c r="C2" s="138"/>
      <c r="D2" s="138"/>
      <c r="E2" s="138"/>
      <c r="F2" s="138"/>
      <c r="G2" s="138"/>
      <c r="H2" s="138"/>
      <c r="I2" s="138"/>
    </row>
    <row r="3" spans="2:19" x14ac:dyDescent="0.25">
      <c r="B3" s="9"/>
      <c r="C3" s="9"/>
      <c r="D3" s="9"/>
      <c r="E3" s="9"/>
      <c r="F3" s="9"/>
      <c r="G3" s="9"/>
      <c r="H3" s="9"/>
      <c r="I3" s="9"/>
      <c r="K3" s="212" t="s">
        <v>23</v>
      </c>
      <c r="L3" s="247"/>
      <c r="M3" s="201" t="s">
        <v>57</v>
      </c>
      <c r="N3" s="205"/>
      <c r="O3" s="201" t="s">
        <v>58</v>
      </c>
      <c r="P3" s="205"/>
      <c r="Q3" s="201" t="s">
        <v>59</v>
      </c>
    </row>
    <row r="4" spans="2:19" x14ac:dyDescent="0.25">
      <c r="B4" s="220"/>
      <c r="C4" s="220"/>
      <c r="D4" s="230">
        <f>M5</f>
        <v>0</v>
      </c>
      <c r="E4" s="236"/>
      <c r="F4" s="230">
        <f>O5</f>
        <v>0</v>
      </c>
      <c r="G4" s="236"/>
      <c r="H4" s="230">
        <f>Q5</f>
        <v>0</v>
      </c>
      <c r="I4" s="236"/>
    </row>
    <row r="5" spans="2:19" ht="14.25" thickBot="1" x14ac:dyDescent="0.3">
      <c r="B5" s="224"/>
      <c r="C5" s="221"/>
      <c r="D5" s="231" t="s">
        <v>3</v>
      </c>
      <c r="E5" s="237" t="s">
        <v>48</v>
      </c>
      <c r="F5" s="231" t="s">
        <v>3</v>
      </c>
      <c r="G5" s="237" t="s">
        <v>48</v>
      </c>
      <c r="H5" s="231" t="s">
        <v>3</v>
      </c>
      <c r="I5" s="237" t="s">
        <v>48</v>
      </c>
      <c r="K5" s="254" t="s">
        <v>60</v>
      </c>
      <c r="M5" s="217"/>
      <c r="N5" s="206"/>
      <c r="O5" s="217"/>
      <c r="P5" s="206"/>
      <c r="Q5" s="217"/>
    </row>
    <row r="6" spans="2:19" ht="14.25" thickBot="1" x14ac:dyDescent="0.3">
      <c r="B6" s="225"/>
      <c r="C6" s="9" t="s">
        <v>24</v>
      </c>
      <c r="D6" s="232"/>
      <c r="E6" s="238">
        <f>M7</f>
        <v>0</v>
      </c>
      <c r="F6" s="232"/>
      <c r="G6" s="226">
        <f>O7</f>
        <v>0</v>
      </c>
      <c r="H6" s="203"/>
      <c r="I6" s="226">
        <f>Q7</f>
        <v>0</v>
      </c>
      <c r="K6" s="255"/>
      <c r="M6" s="28"/>
      <c r="O6" s="28"/>
      <c r="Q6" s="28"/>
    </row>
    <row r="7" spans="2:19" ht="14.25" thickBot="1" x14ac:dyDescent="0.3">
      <c r="B7" s="213" t="s">
        <v>0</v>
      </c>
      <c r="C7" s="214" t="s">
        <v>32</v>
      </c>
      <c r="D7" s="227">
        <f>M8</f>
        <v>0</v>
      </c>
      <c r="E7" s="229">
        <f>ROUND(E6*D7/100,2)</f>
        <v>0</v>
      </c>
      <c r="F7" s="227">
        <f>O8</f>
        <v>0</v>
      </c>
      <c r="G7" s="229">
        <f>ROUND(G6*F7/100,2)</f>
        <v>0</v>
      </c>
      <c r="H7" s="227">
        <f>Q8</f>
        <v>0</v>
      </c>
      <c r="I7" s="229">
        <f>ROUND(I6*H7/100,2)</f>
        <v>0</v>
      </c>
      <c r="K7" s="256" t="s">
        <v>61</v>
      </c>
      <c r="M7" s="92"/>
      <c r="N7" s="211"/>
      <c r="O7" s="92"/>
      <c r="Q7" s="92"/>
    </row>
    <row r="8" spans="2:19" ht="14.25" thickBot="1" x14ac:dyDescent="0.3">
      <c r="B8" s="129" t="s">
        <v>2</v>
      </c>
      <c r="C8" s="204" t="s">
        <v>25</v>
      </c>
      <c r="D8" s="233"/>
      <c r="E8" s="239">
        <f>E6-E7</f>
        <v>0</v>
      </c>
      <c r="F8" s="233"/>
      <c r="G8" s="239">
        <f>G6-G7</f>
        <v>0</v>
      </c>
      <c r="H8" s="246"/>
      <c r="I8" s="239">
        <f>I6-I7</f>
        <v>0</v>
      </c>
      <c r="K8" s="254" t="s">
        <v>62</v>
      </c>
      <c r="M8" s="218"/>
      <c r="N8" s="207"/>
      <c r="O8" s="218"/>
      <c r="Q8" s="218"/>
    </row>
    <row r="9" spans="2:19" ht="14.25" thickBot="1" x14ac:dyDescent="0.3">
      <c r="B9" s="213" t="s">
        <v>0</v>
      </c>
      <c r="C9" s="214" t="s">
        <v>33</v>
      </c>
      <c r="D9" s="227">
        <f>M9</f>
        <v>0</v>
      </c>
      <c r="E9" s="215">
        <f>ROUND(E8*D9/100,2)</f>
        <v>0</v>
      </c>
      <c r="F9" s="227">
        <f>O9</f>
        <v>0</v>
      </c>
      <c r="G9" s="215">
        <f>ROUND(G8*F9/100,2)</f>
        <v>0</v>
      </c>
      <c r="H9" s="227">
        <f>Q9</f>
        <v>0</v>
      </c>
      <c r="I9" s="215">
        <f>ROUND(I8*H9/100,2)</f>
        <v>0</v>
      </c>
      <c r="K9" s="256" t="s">
        <v>63</v>
      </c>
      <c r="M9" s="69"/>
      <c r="N9" s="209"/>
      <c r="O9" s="69"/>
      <c r="Q9" s="69"/>
    </row>
    <row r="10" spans="2:19" ht="14.25" thickBot="1" x14ac:dyDescent="0.3">
      <c r="B10" s="129" t="s">
        <v>2</v>
      </c>
      <c r="C10" s="204" t="s">
        <v>26</v>
      </c>
      <c r="D10" s="233"/>
      <c r="E10" s="239">
        <f>E8-E9</f>
        <v>0</v>
      </c>
      <c r="F10" s="233"/>
      <c r="G10" s="239">
        <f>G8-G9</f>
        <v>0</v>
      </c>
      <c r="H10" s="245"/>
      <c r="I10" s="239">
        <f>I8-I9</f>
        <v>0</v>
      </c>
      <c r="K10" s="254" t="s">
        <v>64</v>
      </c>
      <c r="M10" s="219"/>
      <c r="N10" s="208"/>
      <c r="O10" s="219"/>
      <c r="Q10" s="219"/>
    </row>
    <row r="11" spans="2:19" ht="14.25" thickBot="1" x14ac:dyDescent="0.3">
      <c r="B11" s="213" t="s">
        <v>1</v>
      </c>
      <c r="C11" s="214" t="s">
        <v>27</v>
      </c>
      <c r="D11" s="234"/>
      <c r="E11" s="240">
        <f>M10</f>
        <v>0</v>
      </c>
      <c r="F11" s="234"/>
      <c r="G11" s="228">
        <f>O10</f>
        <v>0</v>
      </c>
      <c r="H11" s="216"/>
      <c r="I11" s="240">
        <f>Q10</f>
        <v>0</v>
      </c>
      <c r="K11" s="257" t="s">
        <v>65</v>
      </c>
      <c r="M11" s="17"/>
      <c r="N11" s="209"/>
      <c r="O11" s="17"/>
      <c r="Q11" s="17"/>
    </row>
    <row r="12" spans="2:19" ht="14.25" thickBot="1" x14ac:dyDescent="0.3">
      <c r="B12" s="222" t="s">
        <v>2</v>
      </c>
      <c r="C12" s="223" t="s">
        <v>46</v>
      </c>
      <c r="D12" s="235"/>
      <c r="E12" s="241">
        <f>E10+E11</f>
        <v>0</v>
      </c>
      <c r="F12" s="235"/>
      <c r="G12" s="241">
        <f>G10+G11</f>
        <v>0</v>
      </c>
      <c r="H12" s="244"/>
      <c r="I12" s="241">
        <f>I10+I11</f>
        <v>0</v>
      </c>
      <c r="N12" s="210"/>
    </row>
    <row r="13" spans="2:19" ht="14.25" thickBot="1" x14ac:dyDescent="0.3">
      <c r="B13" s="302" t="s">
        <v>1</v>
      </c>
      <c r="C13" s="303" t="s">
        <v>10</v>
      </c>
      <c r="D13" s="304">
        <f>M11</f>
        <v>0</v>
      </c>
      <c r="E13" s="305">
        <f>ROUND(E12*D13/100,2)</f>
        <v>0</v>
      </c>
      <c r="F13" s="304">
        <f>O11</f>
        <v>0</v>
      </c>
      <c r="G13" s="305">
        <f>ROUND(G12*F13/100,2)</f>
        <v>0</v>
      </c>
      <c r="H13" s="304">
        <f>Q11</f>
        <v>0</v>
      </c>
      <c r="I13" s="305">
        <f>ROUND(I12*H13/100,2)</f>
        <v>0</v>
      </c>
      <c r="K13" s="297" t="s">
        <v>66</v>
      </c>
      <c r="L13" s="298"/>
      <c r="M13" s="242"/>
      <c r="N13" s="299"/>
      <c r="O13" s="252" t="str">
        <f>IF(OR(E12=0,G12=0,I12=0),"",IF(E12=MIN(E12,G12,I12),D$4,IF(G12=MIN(E12,G12,I12),F$4,H$4)))</f>
        <v/>
      </c>
      <c r="P13" s="252"/>
      <c r="Q13" s="253"/>
    </row>
    <row r="14" spans="2:19" x14ac:dyDescent="0.25">
      <c r="B14" s="306" t="s">
        <v>2</v>
      </c>
      <c r="C14" s="307" t="s">
        <v>47</v>
      </c>
      <c r="D14" s="308"/>
      <c r="E14" s="309">
        <f>E12+E13</f>
        <v>0</v>
      </c>
      <c r="F14" s="308"/>
      <c r="G14" s="309">
        <f>G12+G13</f>
        <v>0</v>
      </c>
      <c r="H14" s="310"/>
      <c r="I14" s="309">
        <f>I12+I13</f>
        <v>0</v>
      </c>
      <c r="K14" s="300" t="s">
        <v>67</v>
      </c>
      <c r="L14" s="301"/>
      <c r="M14" s="243"/>
      <c r="N14" s="301"/>
      <c r="O14" s="250">
        <f>MIN(E12,G12,I12)</f>
        <v>0</v>
      </c>
      <c r="P14" s="250"/>
      <c r="Q14" s="251" t="s">
        <v>48</v>
      </c>
    </row>
    <row r="15" spans="2:19" x14ac:dyDescent="0.25">
      <c r="B15" s="9"/>
      <c r="C15" s="9"/>
      <c r="D15" s="9"/>
      <c r="E15" s="9"/>
      <c r="F15" s="9"/>
      <c r="G15" s="9"/>
      <c r="H15" s="9"/>
      <c r="I15" s="9"/>
      <c r="N15" s="207"/>
    </row>
    <row r="16" spans="2:19" ht="15" x14ac:dyDescent="0.25">
      <c r="B16"/>
      <c r="C16"/>
      <c r="D16"/>
      <c r="R16" s="248"/>
      <c r="S16" s="248"/>
    </row>
    <row r="17" spans="2:18" ht="15" x14ac:dyDescent="0.25">
      <c r="B17"/>
      <c r="C17"/>
      <c r="D17"/>
      <c r="R17" s="249"/>
    </row>
    <row r="18" spans="2:18" x14ac:dyDescent="0.25">
      <c r="N18" s="209"/>
    </row>
    <row r="21" spans="2:18" x14ac:dyDescent="0.25">
      <c r="N21" s="210"/>
    </row>
    <row r="23" spans="2:18" x14ac:dyDescent="0.25">
      <c r="N23" s="211"/>
    </row>
    <row r="24" spans="2:18" x14ac:dyDescent="0.25">
      <c r="N24" s="207"/>
    </row>
    <row r="25" spans="2:18" x14ac:dyDescent="0.25">
      <c r="N25" s="209"/>
    </row>
    <row r="26" spans="2:18" x14ac:dyDescent="0.25">
      <c r="N26" s="208"/>
    </row>
    <row r="27" spans="2:18" x14ac:dyDescent="0.25">
      <c r="N27" s="209"/>
    </row>
  </sheetData>
  <sheetProtection algorithmName="SHA-512" hashValue="mtD80yomZwo+61KfnSkvsFEg84f3uG6+lMq4IK21n8Z/2UuNUDXJddjFA7uCKiSIzNxYTCEc4C2Ngctvr9sRFQ==" saltValue="5ytNMAVQa5n9mDsD9OsmBg==" spinCount="100000" sheet="1" objects="1" scenarios="1"/>
  <protectedRanges>
    <protectedRange sqref="M7:O11 Q7:Q11 N23:N27 N13 N18 N15" name="Bereich1"/>
  </protectedRanges>
  <mergeCells count="5">
    <mergeCell ref="B2:I2"/>
    <mergeCell ref="D4:E4"/>
    <mergeCell ref="F4:G4"/>
    <mergeCell ref="H4:I4"/>
    <mergeCell ref="O13:Q13"/>
  </mergeCells>
  <pageMargins left="0.7" right="0.7" top="0.78740157499999996" bottom="0.78740157499999996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Handels-, Vorwärtskalkulation</vt:lpstr>
      <vt:lpstr>Handels-, Rückwärtskalkulation</vt:lpstr>
      <vt:lpstr>Handels-, Differenzkalkulation</vt:lpstr>
      <vt:lpstr>Handelskalkulation im Vergleich</vt:lpstr>
      <vt:lpstr>Zuschlags-, Angebotskalkulation</vt:lpstr>
      <vt:lpstr>Angebotsvergleich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Thomas Gorontzy</cp:lastModifiedBy>
  <cp:lastPrinted>2017-10-16T08:16:14Z</cp:lastPrinted>
  <dcterms:created xsi:type="dcterms:W3CDTF">2015-11-19T18:24:07Z</dcterms:created>
  <dcterms:modified xsi:type="dcterms:W3CDTF">2026-09-04T21:02:45Z</dcterms:modified>
</cp:coreProperties>
</file>