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thomas.gorontzy\OneDrive\Git-Projekte\PC-Konfigurator\Datei-Vorlagen\Duisdorfer BüroKonzept KG\Kalkulationen\"/>
    </mc:Choice>
  </mc:AlternateContent>
  <xr:revisionPtr revIDLastSave="0" documentId="13_ncr:1_{200961DB-9B9C-46B6-820F-18848389648D}" xr6:coauthVersionLast="47" xr6:coauthVersionMax="47" xr10:uidLastSave="{00000000-0000-0000-0000-000000000000}"/>
  <bookViews>
    <workbookView xWindow="-120" yWindow="-120" windowWidth="25440" windowHeight="15270" tabRatio="728" firstSheet="1" activeTab="3" xr2:uid="{00000000-000D-0000-FFFF-FFFF00000000}"/>
  </bookViews>
  <sheets>
    <sheet name="Handels-, Vorwärtskalkulation" sheetId="1" r:id="rId1"/>
    <sheet name="Handels-, Rückwärtskalkulation" sheetId="4" r:id="rId2"/>
    <sheet name="Handels-, Differenzkalkulation" sheetId="5" r:id="rId3"/>
    <sheet name="Handelskalkulation im Vergleich" sheetId="6" r:id="rId4"/>
    <sheet name="Zuschlags-, Angebotskalkulation" sheetId="2" r:id="rId5"/>
    <sheet name="Angebotsvergleich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2" i="6" l="1"/>
  <c r="G12" i="7" l="1"/>
  <c r="G8" i="7"/>
  <c r="G6" i="7"/>
  <c r="E12" i="7"/>
  <c r="E8" i="7"/>
  <c r="E6" i="7"/>
  <c r="C12" i="7"/>
  <c r="C8" i="7"/>
  <c r="C6" i="7"/>
  <c r="D14" i="6"/>
  <c r="D17" i="6"/>
  <c r="D16" i="6"/>
  <c r="D22" i="6"/>
  <c r="D20" i="6"/>
  <c r="B20" i="6"/>
  <c r="B17" i="6"/>
  <c r="B16" i="6"/>
  <c r="B14" i="6"/>
  <c r="D12" i="6"/>
  <c r="B12" i="6"/>
  <c r="B22" i="6"/>
  <c r="G3" i="7"/>
  <c r="E3" i="7"/>
  <c r="C3" i="7"/>
  <c r="H10" i="7" l="1"/>
  <c r="F10" i="7"/>
  <c r="D10" i="7"/>
  <c r="H5" i="7"/>
  <c r="H6" i="7" s="1"/>
  <c r="F5" i="7"/>
  <c r="F6" i="7" s="1"/>
  <c r="D5" i="7"/>
  <c r="D6" i="7" s="1"/>
  <c r="D7" i="7" l="1"/>
  <c r="D8" i="7" s="1"/>
  <c r="H7" i="7"/>
  <c r="H8" i="7" s="1"/>
  <c r="H9" i="7" s="1"/>
  <c r="H11" i="7" s="1"/>
  <c r="H12" i="7" s="1"/>
  <c r="F7" i="7"/>
  <c r="F8" i="7" s="1"/>
  <c r="I21" i="6"/>
  <c r="G21" i="6"/>
  <c r="G20" i="6" s="1"/>
  <c r="I20" i="6" l="1"/>
  <c r="I22" i="6"/>
  <c r="H13" i="7"/>
  <c r="F9" i="7"/>
  <c r="F11" i="7" s="1"/>
  <c r="F12" i="7" s="1"/>
  <c r="D9" i="7"/>
  <c r="D11" i="7" s="1"/>
  <c r="D12" i="7" s="1"/>
  <c r="D21" i="4"/>
  <c r="G5" i="6"/>
  <c r="E5" i="6"/>
  <c r="B10" i="6"/>
  <c r="B8" i="6"/>
  <c r="B6" i="6"/>
  <c r="D18" i="6"/>
  <c r="I10" i="6"/>
  <c r="G10" i="6"/>
  <c r="E10" i="6"/>
  <c r="D8" i="6"/>
  <c r="D6" i="6"/>
  <c r="E6" i="6" l="1"/>
  <c r="G6" i="6"/>
  <c r="G7" i="6" s="1"/>
  <c r="G8" i="6" s="1"/>
  <c r="I19" i="6"/>
  <c r="F13" i="7"/>
  <c r="D13" i="7"/>
  <c r="D16" i="7" s="1"/>
  <c r="E7" i="6"/>
  <c r="G23" i="6"/>
  <c r="G19" i="6"/>
  <c r="D21" i="5"/>
  <c r="D5" i="5"/>
  <c r="C12" i="5"/>
  <c r="D10" i="5"/>
  <c r="C8" i="5"/>
  <c r="C6" i="5"/>
  <c r="C22" i="5"/>
  <c r="C20" i="5"/>
  <c r="C17" i="5"/>
  <c r="C16" i="5"/>
  <c r="I18" i="6" l="1"/>
  <c r="I15" i="6" s="1"/>
  <c r="E8" i="6"/>
  <c r="E9" i="6" s="1"/>
  <c r="E11" i="6" s="1"/>
  <c r="I17" i="6"/>
  <c r="I16" i="6"/>
  <c r="D20" i="5"/>
  <c r="D19" i="5" s="1"/>
  <c r="D22" i="5"/>
  <c r="D23" i="5" s="1"/>
  <c r="D6" i="5"/>
  <c r="D7" i="5" s="1"/>
  <c r="C18" i="5"/>
  <c r="G18" i="6"/>
  <c r="G15" i="6" s="1"/>
  <c r="G16" i="6"/>
  <c r="G17" i="6"/>
  <c r="D15" i="7"/>
  <c r="G9" i="6"/>
  <c r="G11" i="6" s="1"/>
  <c r="G12" i="6" s="1"/>
  <c r="I14" i="6" l="1"/>
  <c r="I13" i="6" s="1"/>
  <c r="I12" i="6" s="1"/>
  <c r="E12" i="6"/>
  <c r="E13" i="6" s="1"/>
  <c r="D16" i="5"/>
  <c r="D17" i="5"/>
  <c r="D8" i="5"/>
  <c r="D9" i="5" s="1"/>
  <c r="D11" i="5" s="1"/>
  <c r="D12" i="5" s="1"/>
  <c r="D13" i="5" s="1"/>
  <c r="D18" i="5"/>
  <c r="D15" i="5" s="1"/>
  <c r="G13" i="6"/>
  <c r="G14" i="6" s="1"/>
  <c r="F14" i="6" s="1"/>
  <c r="E14" i="6" l="1"/>
  <c r="E15" i="6" s="1"/>
  <c r="D14" i="5"/>
  <c r="C14" i="5" s="1"/>
  <c r="G14" i="5" s="1"/>
  <c r="I11" i="6"/>
  <c r="I9" i="6" s="1"/>
  <c r="I8" i="6" s="1"/>
  <c r="E17" i="6" l="1"/>
  <c r="E16" i="6"/>
  <c r="E18" i="6"/>
  <c r="E19" i="6" s="1"/>
  <c r="E20" i="6" s="1"/>
  <c r="I7" i="6"/>
  <c r="I6" i="6" s="1"/>
  <c r="D10" i="4"/>
  <c r="C22" i="4"/>
  <c r="C20" i="4"/>
  <c r="D20" i="4" s="1"/>
  <c r="C17" i="4"/>
  <c r="C16" i="4"/>
  <c r="C14" i="4"/>
  <c r="C12" i="4"/>
  <c r="C8" i="4"/>
  <c r="C6" i="4"/>
  <c r="E21" i="6" l="1"/>
  <c r="E22" i="6" s="1"/>
  <c r="E23" i="6" s="1"/>
  <c r="D22" i="4"/>
  <c r="D23" i="4" s="1"/>
  <c r="I5" i="6"/>
  <c r="C18" i="4"/>
  <c r="D19" i="4"/>
  <c r="D17" i="4" l="1"/>
  <c r="D16" i="4"/>
  <c r="D18" i="4"/>
  <c r="D15" i="4" s="1"/>
  <c r="D14" i="4" s="1"/>
  <c r="D13" i="4" l="1"/>
  <c r="D12" i="4" s="1"/>
  <c r="D11" i="4" l="1"/>
  <c r="D9" i="4" s="1"/>
  <c r="D8" i="4" s="1"/>
  <c r="D7" i="4" l="1"/>
  <c r="D6" i="4" s="1"/>
  <c r="D5" i="4" l="1"/>
  <c r="C14" i="1" l="1"/>
  <c r="C23" i="2"/>
  <c r="C21" i="2"/>
  <c r="C18" i="2"/>
  <c r="C17" i="2"/>
  <c r="C15" i="2"/>
  <c r="C13" i="2"/>
  <c r="C12" i="2"/>
  <c r="C9" i="2"/>
  <c r="D8" i="2"/>
  <c r="D9" i="2" s="1"/>
  <c r="C6" i="2"/>
  <c r="D5" i="2"/>
  <c r="D6" i="2" s="1"/>
  <c r="C17" i="1"/>
  <c r="C16" i="1"/>
  <c r="C20" i="1"/>
  <c r="C22" i="1"/>
  <c r="C12" i="1"/>
  <c r="D10" i="1"/>
  <c r="C8" i="1"/>
  <c r="C6" i="1"/>
  <c r="D5" i="1"/>
  <c r="D6" i="1" l="1"/>
  <c r="D7" i="1" s="1"/>
  <c r="D8" i="1" s="1"/>
  <c r="C19" i="2"/>
  <c r="C18" i="1"/>
  <c r="D7" i="2"/>
  <c r="D10" i="2"/>
  <c r="D11" i="2" l="1"/>
  <c r="D9" i="1"/>
  <c r="D11" i="1" s="1"/>
  <c r="D12" i="1" l="1"/>
  <c r="D13" i="1" s="1"/>
  <c r="D13" i="2"/>
  <c r="D12" i="2"/>
  <c r="D14" i="1" l="1"/>
  <c r="D15" i="1" s="1"/>
  <c r="D14" i="2"/>
  <c r="D15" i="2" s="1"/>
  <c r="D16" i="2" s="1"/>
  <c r="D18" i="1" l="1"/>
  <c r="D17" i="1"/>
  <c r="D16" i="1"/>
  <c r="D19" i="1"/>
  <c r="D20" i="1" s="1"/>
  <c r="D21" i="1" s="1"/>
  <c r="D22" i="1" s="1"/>
  <c r="D19" i="2"/>
  <c r="D17" i="2"/>
  <c r="D18" i="2"/>
  <c r="D20" i="2" l="1"/>
  <c r="D21" i="2" s="1"/>
  <c r="D22" i="2" s="1"/>
  <c r="D23" i="2" s="1"/>
  <c r="D23" i="1"/>
  <c r="D24" i="2" l="1"/>
  <c r="I23" i="6" l="1"/>
</calcChain>
</file>

<file path=xl/sharedStrings.xml><?xml version="1.0" encoding="utf-8"?>
<sst xmlns="http://schemas.openxmlformats.org/spreadsheetml/2006/main" count="386" uniqueCount="69">
  <si>
    <t>-</t>
  </si>
  <si>
    <t>+</t>
  </si>
  <si>
    <t>=</t>
  </si>
  <si>
    <t>%</t>
  </si>
  <si>
    <t>Selbstkosten</t>
  </si>
  <si>
    <t>Gewinnzuschlag</t>
  </si>
  <si>
    <t>Barverkaufspreis</t>
  </si>
  <si>
    <t>Kundenskonto</t>
  </si>
  <si>
    <t>Zielverkaufspreis</t>
  </si>
  <si>
    <t>Kundenrabatt</t>
  </si>
  <si>
    <t>Umsatzsteuer</t>
  </si>
  <si>
    <t>Bruttoverkaufspreis</t>
  </si>
  <si>
    <t>Vertreterprovision</t>
  </si>
  <si>
    <t>Fertigungsmaterial</t>
  </si>
  <si>
    <t>Fertigungslöhne</t>
  </si>
  <si>
    <t>Materialgemeinkosten</t>
  </si>
  <si>
    <t>Fertigungsgemeinkosten</t>
  </si>
  <si>
    <t>Verwaltungsgemeinkosten</t>
  </si>
  <si>
    <t>Vertriebsgemeinkosten</t>
  </si>
  <si>
    <t>Angebotspreis</t>
  </si>
  <si>
    <t>Materialkosten (MK)</t>
  </si>
  <si>
    <t>Fertigungskosten (FK)</t>
  </si>
  <si>
    <t>Zuschlagssätze</t>
  </si>
  <si>
    <t>Eingaben</t>
  </si>
  <si>
    <t>Listeneinkaufspreis</t>
  </si>
  <si>
    <t>Zieleinkaufspreis</t>
  </si>
  <si>
    <t>Bareinkaufspreis</t>
  </si>
  <si>
    <t>Bezugskosten</t>
  </si>
  <si>
    <t>Bezugspreis</t>
  </si>
  <si>
    <t>Handlungskostenzuschlag</t>
  </si>
  <si>
    <t>Skonto + Provision</t>
  </si>
  <si>
    <t>Nettoverkaufspreis</t>
  </si>
  <si>
    <t>Liefererrabatt</t>
  </si>
  <si>
    <t>Liefererskonto</t>
  </si>
  <si>
    <t>Bezugskosten (je Stück)</t>
  </si>
  <si>
    <t>Handlungskostenzuschlagssatz</t>
  </si>
  <si>
    <t>Handelskalkulation/Vorwärtskalkulation</t>
  </si>
  <si>
    <t>Zuschlagskalkulation/Angebotskalkulation</t>
  </si>
  <si>
    <t>Handelskalkulation/Rückwärtskalkulation</t>
  </si>
  <si>
    <t>Handelskalkulation/Differenzkalkulation</t>
  </si>
  <si>
    <t>Gewinn</t>
  </si>
  <si>
    <t>¡</t>
  </si>
  <si>
    <t>¢</t>
  </si>
  <si>
    <t>Differenzkalkulation</t>
  </si>
  <si>
    <t>Vorwärtskalkulation</t>
  </si>
  <si>
    <t>Rückwärtskalkulation</t>
  </si>
  <si>
    <t>Angebotsvergleich</t>
  </si>
  <si>
    <t>Eingaben Angebot 1</t>
  </si>
  <si>
    <t>Eingaben Angebot 2</t>
  </si>
  <si>
    <t>Eingaben Angebot 3</t>
  </si>
  <si>
    <t>Nettobezugspreis</t>
  </si>
  <si>
    <t>Bruttobezugspreis</t>
  </si>
  <si>
    <t>Günstigstes Angebot:</t>
  </si>
  <si>
    <t>Günstigster Anbieter:</t>
  </si>
  <si>
    <t>Anbieter 1</t>
  </si>
  <si>
    <t>Anbieter 2</t>
  </si>
  <si>
    <t>Anbieter 3</t>
  </si>
  <si>
    <t>C</t>
  </si>
  <si>
    <t>B</t>
  </si>
  <si>
    <t>A</t>
  </si>
  <si>
    <t>EUR</t>
  </si>
  <si>
    <t>Herstellkosten (= MK + FK)</t>
  </si>
  <si>
    <t>v. H.</t>
  </si>
  <si>
    <t>i. H.</t>
  </si>
  <si>
    <t>a. H.</t>
  </si>
  <si>
    <t>von Hundert; reiner Grundwert</t>
  </si>
  <si>
    <t>in Hundert; verminderter Grundwert</t>
  </si>
  <si>
    <t>auf Hundert; vermehrter Grundwert</t>
  </si>
  <si>
    <t>Selbstkostenpreis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</si>
</sst>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PT Sans"/>
      <family val="2"/>
    </font>
    <font>
      <b/>
      <sz val="11"/>
      <color theme="0"/>
      <name val="PT Sans"/>
      <family val="2"/>
    </font>
    <font>
      <b/>
      <sz val="11"/>
      <color theme="1"/>
      <name val="PT Sans"/>
      <family val="2"/>
    </font>
    <font>
      <b/>
      <sz val="11"/>
      <color rgb="FF2B2B2B"/>
      <name val="PT Sans"/>
      <family val="2"/>
    </font>
    <font>
      <sz val="11"/>
      <color rgb="FF2B2B2B"/>
      <name val="PT Sans"/>
      <family val="2"/>
    </font>
    <font>
      <b/>
      <sz val="11"/>
      <name val="PT Sans"/>
      <family val="2"/>
    </font>
    <font>
      <sz val="11"/>
      <name val="PT Sans"/>
      <family val="2"/>
    </font>
    <font>
      <sz val="11"/>
      <color indexed="10"/>
      <name val="PT Sans"/>
      <family val="2"/>
    </font>
    <font>
      <b/>
      <sz val="11"/>
      <color indexed="8"/>
      <name val="PT Sans"/>
      <family val="2"/>
    </font>
    <font>
      <sz val="8"/>
      <name val="PT Sans"/>
      <family val="2"/>
    </font>
    <font>
      <sz val="8"/>
      <color theme="1"/>
      <name val="PT Sans"/>
      <family val="2"/>
    </font>
    <font>
      <b/>
      <sz val="10"/>
      <color rgb="FFFF0000"/>
      <name val="PT Sans"/>
    </font>
    <font>
      <b/>
      <sz val="10"/>
      <color theme="6" tint="-0.249977111117893"/>
      <name val="PT Sans"/>
    </font>
    <font>
      <b/>
      <sz val="10"/>
      <color theme="4"/>
      <name val="PT Sans"/>
    </font>
    <font>
      <b/>
      <sz val="10"/>
      <color theme="1"/>
      <name val="PT Sans"/>
    </font>
    <font>
      <b/>
      <sz val="10"/>
      <name val="PT Sans"/>
    </font>
    <font>
      <b/>
      <sz val="10"/>
      <color indexed="10"/>
      <name val="PT Sans"/>
    </font>
    <font>
      <sz val="16"/>
      <color theme="9"/>
      <name val="Wingdings 3"/>
      <family val="1"/>
      <charset val="2"/>
    </font>
    <font>
      <sz val="11"/>
      <color theme="9"/>
      <name val="PT Sans"/>
      <family val="2"/>
    </font>
    <font>
      <sz val="14"/>
      <color theme="9"/>
      <name val="Wingdings 3"/>
      <family val="1"/>
      <charset val="2"/>
    </font>
    <font>
      <b/>
      <sz val="11"/>
      <color theme="9"/>
      <name val="PT Sans"/>
      <family val="2"/>
    </font>
    <font>
      <sz val="10"/>
      <color rgb="FF2B2B2B"/>
      <name val="PT Sans"/>
      <family val="2"/>
    </font>
    <font>
      <b/>
      <sz val="10"/>
      <color rgb="FF2B2B2B"/>
      <name val="PT Sans"/>
      <family val="2"/>
    </font>
    <font>
      <b/>
      <sz val="10"/>
      <color theme="6" tint="-0.249977111117893"/>
      <name val="PT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8200"/>
        <bgColor theme="9"/>
      </patternFill>
    </fill>
    <fill>
      <patternFill patternType="solid">
        <fgColor rgb="FF00A499"/>
        <bgColor indexed="64"/>
      </patternFill>
    </fill>
    <fill>
      <patternFill patternType="solid">
        <fgColor rgb="FF00F2E1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rgb="FF00A499"/>
      </top>
      <bottom style="thin">
        <color rgb="FF00A499"/>
      </bottom>
      <diagonal/>
    </border>
    <border>
      <left/>
      <right/>
      <top style="thin">
        <color theme="9" tint="0.39997558519241921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rgb="FFFF8200"/>
      </top>
      <bottom style="thin">
        <color rgb="FFFF8200"/>
      </bottom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 style="thin">
        <color rgb="FFFF8200"/>
      </top>
      <bottom style="thin">
        <color rgb="FFFF8200"/>
      </bottom>
      <diagonal/>
    </border>
    <border>
      <left style="medium">
        <color rgb="FFFF8200"/>
      </left>
      <right style="medium">
        <color rgb="FFFF8200"/>
      </right>
      <top style="medium">
        <color rgb="FFFF8200"/>
      </top>
      <bottom style="medium">
        <color rgb="FFFF8200"/>
      </bottom>
      <diagonal/>
    </border>
    <border>
      <left/>
      <right/>
      <top style="thin">
        <color rgb="FFFF8200"/>
      </top>
      <bottom/>
      <diagonal/>
    </border>
    <border>
      <left/>
      <right/>
      <top/>
      <bottom style="thin">
        <color rgb="FFFF8200"/>
      </bottom>
      <diagonal/>
    </border>
    <border>
      <left style="thin">
        <color rgb="FFFF8200"/>
      </left>
      <right/>
      <top style="thin">
        <color rgb="FFFF8200"/>
      </top>
      <bottom/>
      <diagonal/>
    </border>
    <border>
      <left/>
      <right style="thin">
        <color rgb="FFFF8200"/>
      </right>
      <top style="thin">
        <color rgb="FFFF8200"/>
      </top>
      <bottom/>
      <diagonal/>
    </border>
    <border>
      <left style="thin">
        <color rgb="FFFF8200"/>
      </left>
      <right/>
      <top/>
      <bottom style="thin">
        <color rgb="FFFF8200"/>
      </bottom>
      <diagonal/>
    </border>
    <border>
      <left/>
      <right style="thin">
        <color rgb="FFFF8200"/>
      </right>
      <top/>
      <bottom style="thin">
        <color rgb="FFFF8200"/>
      </bottom>
      <diagonal/>
    </border>
    <border>
      <left style="thin">
        <color rgb="FFFF8200"/>
      </left>
      <right/>
      <top/>
      <bottom/>
      <diagonal/>
    </border>
    <border>
      <left/>
      <right style="thin">
        <color rgb="FFFF8200"/>
      </right>
      <top/>
      <bottom/>
      <diagonal/>
    </border>
    <border>
      <left style="thin">
        <color rgb="FFFF8200"/>
      </left>
      <right/>
      <top style="thin">
        <color rgb="FFFF8200"/>
      </top>
      <bottom style="thin">
        <color rgb="FFFF8200"/>
      </bottom>
      <diagonal/>
    </border>
    <border>
      <left/>
      <right style="thin">
        <color rgb="FFFF8200"/>
      </right>
      <top style="thin">
        <color rgb="FFFF8200"/>
      </top>
      <bottom style="thin">
        <color rgb="FFFF8200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ck">
        <color rgb="FFFF8200"/>
      </top>
      <bottom style="thick">
        <color rgb="FFFF8200"/>
      </bottom>
      <diagonal/>
    </border>
    <border>
      <left/>
      <right/>
      <top style="thin">
        <color theme="9" tint="0.39994506668294322"/>
      </top>
      <bottom/>
      <diagonal/>
    </border>
    <border>
      <left/>
      <right/>
      <top style="thick">
        <color rgb="FFFF8200"/>
      </top>
      <bottom style="thick">
        <color rgb="FFFF8200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/>
      <bottom style="thin">
        <color rgb="FF00A49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6">
    <xf numFmtId="0" fontId="0" fillId="0" borderId="0" xfId="0"/>
    <xf numFmtId="0" fontId="2" fillId="0" borderId="0" xfId="0" applyFont="1"/>
    <xf numFmtId="44" fontId="2" fillId="0" borderId="0" xfId="0" applyNumberFormat="1" applyFont="1"/>
    <xf numFmtId="0" fontId="3" fillId="4" borderId="0" xfId="0" applyFont="1" applyFill="1" applyAlignment="1">
      <alignment horizontal="center"/>
    </xf>
    <xf numFmtId="0" fontId="2" fillId="5" borderId="5" xfId="0" applyFont="1" applyFill="1" applyBorder="1"/>
    <xf numFmtId="164" fontId="2" fillId="0" borderId="0" xfId="1" applyNumberFormat="1" applyFont="1"/>
    <xf numFmtId="164" fontId="2" fillId="5" borderId="5" xfId="2" applyNumberFormat="1" applyFont="1" applyFill="1" applyBorder="1"/>
    <xf numFmtId="0" fontId="2" fillId="0" borderId="5" xfId="0" applyFont="1" applyBorder="1"/>
    <xf numFmtId="9" fontId="2" fillId="0" borderId="5" xfId="0" applyNumberFormat="1" applyFont="1" applyBorder="1"/>
    <xf numFmtId="0" fontId="3" fillId="4" borderId="5" xfId="0" applyFont="1" applyFill="1" applyBorder="1" applyAlignment="1">
      <alignment horizontal="center"/>
    </xf>
    <xf numFmtId="44" fontId="3" fillId="4" borderId="5" xfId="1" applyFont="1" applyFill="1" applyBorder="1" applyAlignment="1">
      <alignment horizontal="center"/>
    </xf>
    <xf numFmtId="10" fontId="2" fillId="5" borderId="5" xfId="2" applyNumberFormat="1" applyFont="1" applyFill="1" applyBorder="1"/>
    <xf numFmtId="10" fontId="2" fillId="0" borderId="0" xfId="0" applyNumberFormat="1" applyFont="1"/>
    <xf numFmtId="0" fontId="8" fillId="0" borderId="0" xfId="0" applyFont="1"/>
    <xf numFmtId="164" fontId="2" fillId="0" borderId="0" xfId="0" applyNumberFormat="1" applyFont="1"/>
    <xf numFmtId="0" fontId="2" fillId="0" borderId="0" xfId="0" applyFont="1" applyProtection="1">
      <protection hidden="1"/>
    </xf>
    <xf numFmtId="0" fontId="2" fillId="7" borderId="12" xfId="0" applyFont="1" applyFill="1" applyBorder="1" applyProtection="1">
      <protection hidden="1"/>
    </xf>
    <xf numFmtId="0" fontId="2" fillId="7" borderId="13" xfId="0" applyFont="1" applyFill="1" applyBorder="1" applyProtection="1">
      <protection hidden="1"/>
    </xf>
    <xf numFmtId="0" fontId="2" fillId="7" borderId="8" xfId="0" applyFont="1" applyFill="1" applyBorder="1" applyProtection="1">
      <protection hidden="1"/>
    </xf>
    <xf numFmtId="0" fontId="7" fillId="7" borderId="16" xfId="0" applyFont="1" applyFill="1" applyBorder="1" applyAlignment="1" applyProtection="1">
      <alignment horizontal="center"/>
      <protection hidden="1"/>
    </xf>
    <xf numFmtId="2" fontId="2" fillId="0" borderId="18" xfId="0" applyNumberFormat="1" applyFont="1" applyBorder="1" applyProtection="1">
      <protection hidden="1"/>
    </xf>
    <xf numFmtId="2" fontId="2" fillId="7" borderId="20" xfId="0" applyNumberFormat="1" applyFont="1" applyFill="1" applyBorder="1" applyProtection="1">
      <protection hidden="1"/>
    </xf>
    <xf numFmtId="4" fontId="2" fillId="7" borderId="21" xfId="0" applyNumberFormat="1" applyFont="1" applyFill="1" applyBorder="1" applyProtection="1">
      <protection hidden="1"/>
    </xf>
    <xf numFmtId="0" fontId="4" fillId="0" borderId="0" xfId="0" applyFont="1" applyProtection="1">
      <protection hidden="1"/>
    </xf>
    <xf numFmtId="2" fontId="4" fillId="0" borderId="18" xfId="0" applyNumberFormat="1" applyFont="1" applyBorder="1" applyProtection="1">
      <protection hidden="1"/>
    </xf>
    <xf numFmtId="4" fontId="4" fillId="0" borderId="19" xfId="0" applyNumberFormat="1" applyFont="1" applyBorder="1" applyProtection="1">
      <protection hidden="1"/>
    </xf>
    <xf numFmtId="0" fontId="4" fillId="0" borderId="8" xfId="0" applyFont="1" applyBorder="1" applyProtection="1">
      <protection hidden="1"/>
    </xf>
    <xf numFmtId="0" fontId="4" fillId="7" borderId="8" xfId="0" applyFont="1" applyFill="1" applyBorder="1" applyProtection="1">
      <protection hidden="1"/>
    </xf>
    <xf numFmtId="4" fontId="4" fillId="7" borderId="21" xfId="0" applyNumberFormat="1" applyFont="1" applyFill="1" applyBorder="1" applyProtection="1">
      <protection hidden="1"/>
    </xf>
    <xf numFmtId="10" fontId="2" fillId="0" borderId="5" xfId="0" applyNumberFormat="1" applyFont="1" applyBorder="1"/>
    <xf numFmtId="0" fontId="2" fillId="8" borderId="5" xfId="0" applyFont="1" applyFill="1" applyBorder="1"/>
    <xf numFmtId="2" fontId="2" fillId="5" borderId="5" xfId="2" applyNumberFormat="1" applyFont="1" applyFill="1" applyBorder="1"/>
    <xf numFmtId="2" fontId="2" fillId="0" borderId="0" xfId="0" applyNumberFormat="1" applyFont="1"/>
    <xf numFmtId="2" fontId="2" fillId="8" borderId="5" xfId="2" applyNumberFormat="1" applyFont="1" applyFill="1" applyBorder="1"/>
    <xf numFmtId="4" fontId="2" fillId="0" borderId="0" xfId="0" applyNumberFormat="1" applyFont="1"/>
    <xf numFmtId="4" fontId="2" fillId="0" borderId="0" xfId="1" applyNumberFormat="1" applyFont="1"/>
    <xf numFmtId="4" fontId="2" fillId="5" borderId="5" xfId="2" applyNumberFormat="1" applyFont="1" applyFill="1" applyBorder="1"/>
    <xf numFmtId="4" fontId="2" fillId="0" borderId="5" xfId="0" applyNumberFormat="1" applyFont="1" applyBorder="1"/>
    <xf numFmtId="2" fontId="2" fillId="0" borderId="5" xfId="0" applyNumberFormat="1" applyFont="1" applyBorder="1"/>
    <xf numFmtId="4" fontId="2" fillId="0" borderId="5" xfId="1" applyNumberFormat="1" applyFont="1" applyBorder="1"/>
    <xf numFmtId="4" fontId="2" fillId="5" borderId="5" xfId="1" applyNumberFormat="1" applyFont="1" applyFill="1" applyBorder="1"/>
    <xf numFmtId="2" fontId="2" fillId="0" borderId="5" xfId="2" applyNumberFormat="1" applyFont="1" applyBorder="1"/>
    <xf numFmtId="4" fontId="2" fillId="7" borderId="8" xfId="0" applyNumberFormat="1" applyFont="1" applyFill="1" applyBorder="1" applyProtection="1">
      <protection hidden="1"/>
    </xf>
    <xf numFmtId="2" fontId="2" fillId="0" borderId="0" xfId="0" applyNumberFormat="1" applyFont="1" applyProtection="1">
      <protection hidden="1"/>
    </xf>
    <xf numFmtId="2" fontId="2" fillId="7" borderId="8" xfId="0" applyNumberFormat="1" applyFont="1" applyFill="1" applyBorder="1" applyProtection="1">
      <protection hidden="1"/>
    </xf>
    <xf numFmtId="0" fontId="7" fillId="7" borderId="19" xfId="0" applyFont="1" applyFill="1" applyBorder="1" applyAlignment="1" applyProtection="1">
      <alignment horizontal="center"/>
      <protection hidden="1"/>
    </xf>
    <xf numFmtId="2" fontId="4" fillId="0" borderId="14" xfId="0" applyNumberFormat="1" applyFont="1" applyBorder="1" applyProtection="1">
      <protection hidden="1"/>
    </xf>
    <xf numFmtId="4" fontId="2" fillId="7" borderId="13" xfId="0" applyNumberFormat="1" applyFont="1" applyFill="1" applyBorder="1" applyProtection="1">
      <protection hidden="1"/>
    </xf>
    <xf numFmtId="4" fontId="2" fillId="7" borderId="17" xfId="0" applyNumberFormat="1" applyFont="1" applyFill="1" applyBorder="1" applyProtection="1">
      <protection hidden="1"/>
    </xf>
    <xf numFmtId="2" fontId="4" fillId="7" borderId="16" xfId="0" applyNumberFormat="1" applyFont="1" applyFill="1" applyBorder="1" applyProtection="1">
      <protection hidden="1"/>
    </xf>
    <xf numFmtId="4" fontId="4" fillId="0" borderId="17" xfId="0" applyNumberFormat="1" applyFont="1" applyBorder="1" applyProtection="1">
      <protection hidden="1"/>
    </xf>
    <xf numFmtId="4" fontId="2" fillId="0" borderId="11" xfId="0" applyNumberFormat="1" applyFont="1" applyBorder="1" applyProtection="1">
      <protection hidden="1"/>
    </xf>
    <xf numFmtId="2" fontId="2" fillId="7" borderId="11" xfId="0" applyNumberFormat="1" applyFont="1" applyFill="1" applyBorder="1" applyProtection="1">
      <protection hidden="1"/>
    </xf>
    <xf numFmtId="4" fontId="2" fillId="7" borderId="11" xfId="0" applyNumberFormat="1" applyFont="1" applyFill="1" applyBorder="1" applyProtection="1">
      <protection hidden="1"/>
    </xf>
    <xf numFmtId="0" fontId="13" fillId="7" borderId="26" xfId="0" applyFont="1" applyFill="1" applyBorder="1" applyAlignment="1">
      <alignment horizontal="center"/>
    </xf>
    <xf numFmtId="0" fontId="16" fillId="7" borderId="27" xfId="0" applyFont="1" applyFill="1" applyBorder="1"/>
    <xf numFmtId="0" fontId="16" fillId="7" borderId="28" xfId="0" applyFont="1" applyFill="1" applyBorder="1"/>
    <xf numFmtId="0" fontId="14" fillId="7" borderId="29" xfId="0" applyFont="1" applyFill="1" applyBorder="1" applyAlignment="1">
      <alignment horizontal="center"/>
    </xf>
    <xf numFmtId="0" fontId="16" fillId="7" borderId="0" xfId="0" applyFont="1" applyFill="1" applyBorder="1"/>
    <xf numFmtId="0" fontId="16" fillId="7" borderId="30" xfId="0" applyFont="1" applyFill="1" applyBorder="1"/>
    <xf numFmtId="0" fontId="15" fillId="7" borderId="31" xfId="0" applyFont="1" applyFill="1" applyBorder="1" applyAlignment="1">
      <alignment horizontal="center"/>
    </xf>
    <xf numFmtId="0" fontId="16" fillId="7" borderId="32" xfId="0" applyFont="1" applyFill="1" applyBorder="1"/>
    <xf numFmtId="0" fontId="16" fillId="7" borderId="33" xfId="0" applyFont="1" applyFill="1" applyBorder="1"/>
    <xf numFmtId="0" fontId="19" fillId="0" borderId="0" xfId="0" applyFont="1" applyAlignment="1">
      <alignment horizontal="left" vertical="center"/>
    </xf>
    <xf numFmtId="0" fontId="20" fillId="0" borderId="0" xfId="0" applyFont="1"/>
    <xf numFmtId="0" fontId="21" fillId="0" borderId="0" xfId="0" applyFont="1" applyAlignment="1">
      <alignment horizontal="right" vertical="center"/>
    </xf>
    <xf numFmtId="0" fontId="2" fillId="0" borderId="0" xfId="0" applyFont="1" applyFill="1"/>
    <xf numFmtId="0" fontId="8" fillId="0" borderId="0" xfId="0" applyFont="1" applyFill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13" fillId="0" borderId="0" xfId="0" applyFont="1" applyFill="1" applyAlignment="1">
      <alignment horizontal="right"/>
    </xf>
    <xf numFmtId="0" fontId="17" fillId="0" borderId="0" xfId="0" applyFont="1" applyFill="1" applyAlignment="1">
      <alignment horizontal="right"/>
    </xf>
    <xf numFmtId="2" fontId="18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right"/>
    </xf>
    <xf numFmtId="0" fontId="15" fillId="0" borderId="0" xfId="0" applyFont="1" applyFill="1" applyAlignment="1">
      <alignment horizontal="right"/>
    </xf>
    <xf numFmtId="0" fontId="5" fillId="0" borderId="0" xfId="0" applyFont="1" applyFill="1" applyBorder="1"/>
    <xf numFmtId="0" fontId="6" fillId="0" borderId="0" xfId="0" applyFont="1" applyFill="1" applyBorder="1"/>
    <xf numFmtId="2" fontId="13" fillId="0" borderId="0" xfId="0" applyNumberFormat="1" applyFont="1" applyFill="1" applyBorder="1" applyAlignment="1">
      <alignment horizontal="right"/>
    </xf>
    <xf numFmtId="0" fontId="14" fillId="0" borderId="0" xfId="0" applyFont="1" applyFill="1" applyAlignment="1">
      <alignment horizontal="right"/>
    </xf>
    <xf numFmtId="0" fontId="13" fillId="0" borderId="0" xfId="0" applyFont="1" applyFill="1" applyBorder="1"/>
    <xf numFmtId="0" fontId="17" fillId="0" borderId="0" xfId="0" applyFont="1" applyFill="1" applyBorder="1"/>
    <xf numFmtId="0" fontId="0" fillId="0" borderId="0" xfId="0" applyFill="1"/>
    <xf numFmtId="0" fontId="2" fillId="6" borderId="0" xfId="0" applyFont="1" applyFill="1" applyProtection="1">
      <protection hidden="1"/>
    </xf>
    <xf numFmtId="0" fontId="2" fillId="2" borderId="10" xfId="0" applyFont="1" applyFill="1" applyBorder="1" applyAlignment="1" applyProtection="1">
      <alignment horizontal="center"/>
      <protection hidden="1"/>
    </xf>
    <xf numFmtId="0" fontId="2" fillId="2" borderId="8" xfId="0" applyFont="1" applyFill="1" applyBorder="1" applyAlignment="1" applyProtection="1">
      <alignment horizontal="center"/>
      <protection hidden="1"/>
    </xf>
    <xf numFmtId="0" fontId="2" fillId="0" borderId="9" xfId="0" applyFont="1" applyBorder="1" applyProtection="1">
      <protection hidden="1"/>
    </xf>
    <xf numFmtId="0" fontId="7" fillId="7" borderId="8" xfId="0" applyFont="1" applyFill="1" applyBorder="1" applyProtection="1">
      <protection hidden="1"/>
    </xf>
    <xf numFmtId="0" fontId="7" fillId="7" borderId="8" xfId="0" applyFont="1" applyFill="1" applyBorder="1" applyAlignment="1" applyProtection="1">
      <alignment horizontal="center"/>
      <protection hidden="1"/>
    </xf>
    <xf numFmtId="0" fontId="7" fillId="7" borderId="8" xfId="0" applyFont="1" applyFill="1" applyBorder="1" applyAlignment="1" applyProtection="1">
      <alignment horizontal="right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right"/>
      <protection hidden="1"/>
    </xf>
    <xf numFmtId="2" fontId="8" fillId="0" borderId="0" xfId="0" applyNumberFormat="1" applyFont="1" applyAlignment="1" applyProtection="1">
      <alignment horizontal="center"/>
      <protection hidden="1"/>
    </xf>
    <xf numFmtId="4" fontId="10" fillId="0" borderId="11" xfId="0" applyNumberFormat="1" applyFont="1" applyBorder="1" applyAlignment="1" applyProtection="1">
      <alignment horizontal="right"/>
      <protection locked="0" hidden="1"/>
    </xf>
    <xf numFmtId="4" fontId="8" fillId="0" borderId="0" xfId="0" applyNumberFormat="1" applyFont="1" applyAlignment="1" applyProtection="1">
      <alignment horizontal="right"/>
      <protection hidden="1"/>
    </xf>
    <xf numFmtId="0" fontId="2" fillId="7" borderId="8" xfId="0" quotePrefix="1" applyFont="1" applyFill="1" applyBorder="1" applyProtection="1">
      <protection hidden="1"/>
    </xf>
    <xf numFmtId="0" fontId="8" fillId="7" borderId="8" xfId="0" applyFont="1" applyFill="1" applyBorder="1" applyProtection="1">
      <protection hidden="1"/>
    </xf>
    <xf numFmtId="0" fontId="13" fillId="7" borderId="8" xfId="0" applyFont="1" applyFill="1" applyBorder="1" applyAlignment="1" applyProtection="1">
      <alignment horizontal="right"/>
      <protection hidden="1"/>
    </xf>
    <xf numFmtId="2" fontId="8" fillId="7" borderId="11" xfId="0" applyNumberFormat="1" applyFont="1" applyFill="1" applyBorder="1" applyAlignment="1" applyProtection="1">
      <alignment horizontal="right"/>
      <protection locked="0" hidden="1"/>
    </xf>
    <xf numFmtId="4" fontId="8" fillId="7" borderId="8" xfId="0" applyNumberFormat="1" applyFont="1" applyFill="1" applyBorder="1" applyProtection="1">
      <protection hidden="1"/>
    </xf>
    <xf numFmtId="0" fontId="14" fillId="7" borderId="8" xfId="0" applyFont="1" applyFill="1" applyBorder="1" applyAlignment="1" applyProtection="1">
      <alignment horizontal="right"/>
      <protection hidden="1"/>
    </xf>
    <xf numFmtId="4" fontId="8" fillId="7" borderId="8" xfId="0" applyNumberFormat="1" applyFont="1" applyFill="1" applyBorder="1" applyAlignment="1" applyProtection="1">
      <alignment horizontal="right"/>
      <protection hidden="1"/>
    </xf>
    <xf numFmtId="0" fontId="4" fillId="0" borderId="0" xfId="0" quotePrefix="1" applyFont="1" applyProtection="1">
      <protection hidden="1"/>
    </xf>
    <xf numFmtId="0" fontId="7" fillId="0" borderId="0" xfId="0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2" fontId="7" fillId="0" borderId="0" xfId="0" applyNumberFormat="1" applyFont="1" applyAlignment="1" applyProtection="1">
      <alignment horizontal="right"/>
      <protection hidden="1"/>
    </xf>
    <xf numFmtId="4" fontId="7" fillId="0" borderId="0" xfId="0" applyNumberFormat="1" applyFont="1" applyProtection="1">
      <protection hidden="1"/>
    </xf>
    <xf numFmtId="4" fontId="7" fillId="0" borderId="0" xfId="0" applyNumberFormat="1" applyFont="1" applyAlignment="1" applyProtection="1">
      <alignment horizontal="right"/>
      <protection hidden="1"/>
    </xf>
    <xf numFmtId="2" fontId="8" fillId="7" borderId="8" xfId="0" applyNumberFormat="1" applyFont="1" applyFill="1" applyBorder="1" applyAlignment="1" applyProtection="1">
      <alignment horizontal="right"/>
      <protection hidden="1"/>
    </xf>
    <xf numFmtId="0" fontId="15" fillId="7" borderId="8" xfId="0" applyFont="1" applyFill="1" applyBorder="1" applyAlignment="1" applyProtection="1">
      <alignment horizontal="right"/>
      <protection hidden="1"/>
    </xf>
    <xf numFmtId="0" fontId="17" fillId="0" borderId="0" xfId="0" applyFont="1" applyAlignment="1" applyProtection="1">
      <alignment horizontal="right"/>
      <protection hidden="1"/>
    </xf>
    <xf numFmtId="2" fontId="13" fillId="7" borderId="8" xfId="0" applyNumberFormat="1" applyFont="1" applyFill="1" applyBorder="1" applyAlignment="1" applyProtection="1">
      <alignment horizontal="right"/>
      <protection hidden="1"/>
    </xf>
    <xf numFmtId="2" fontId="18" fillId="7" borderId="8" xfId="0" applyNumberFormat="1" applyFont="1" applyFill="1" applyBorder="1" applyAlignment="1" applyProtection="1">
      <alignment horizontal="right"/>
      <protection hidden="1"/>
    </xf>
    <xf numFmtId="4" fontId="9" fillId="7" borderId="8" xfId="0" applyNumberFormat="1" applyFont="1" applyFill="1" applyBorder="1" applyProtection="1">
      <protection hidden="1"/>
    </xf>
    <xf numFmtId="0" fontId="8" fillId="7" borderId="8" xfId="0" quotePrefix="1" applyFont="1" applyFill="1" applyBorder="1" applyProtection="1">
      <protection hidden="1"/>
    </xf>
    <xf numFmtId="2" fontId="11" fillId="7" borderId="11" xfId="0" applyNumberFormat="1" applyFont="1" applyFill="1" applyBorder="1" applyAlignment="1" applyProtection="1">
      <alignment horizontal="right"/>
      <protection hidden="1"/>
    </xf>
    <xf numFmtId="4" fontId="11" fillId="7" borderId="8" xfId="0" applyNumberFormat="1" applyFont="1" applyFill="1" applyBorder="1" applyAlignment="1" applyProtection="1">
      <alignment horizontal="left"/>
      <protection hidden="1"/>
    </xf>
    <xf numFmtId="0" fontId="17" fillId="7" borderId="8" xfId="0" applyFont="1" applyFill="1" applyBorder="1" applyAlignment="1" applyProtection="1">
      <alignment horizontal="right"/>
      <protection hidden="1"/>
    </xf>
    <xf numFmtId="0" fontId="2" fillId="0" borderId="0" xfId="0" quotePrefix="1" applyFont="1" applyProtection="1">
      <protection hidden="1"/>
    </xf>
    <xf numFmtId="0" fontId="8" fillId="0" borderId="0" xfId="0" quotePrefix="1" applyFont="1" applyProtection="1">
      <protection hidden="1"/>
    </xf>
    <xf numFmtId="2" fontId="11" fillId="0" borderId="11" xfId="0" applyNumberFormat="1" applyFont="1" applyBorder="1" applyAlignment="1" applyProtection="1">
      <alignment horizontal="right"/>
      <protection hidden="1"/>
    </xf>
    <xf numFmtId="4" fontId="11" fillId="0" borderId="0" xfId="0" applyNumberFormat="1" applyFont="1" applyAlignment="1" applyProtection="1">
      <alignment horizontal="left"/>
      <protection hidden="1"/>
    </xf>
    <xf numFmtId="0" fontId="4" fillId="7" borderId="8" xfId="0" quotePrefix="1" applyFont="1" applyFill="1" applyBorder="1" applyProtection="1">
      <protection hidden="1"/>
    </xf>
    <xf numFmtId="0" fontId="25" fillId="7" borderId="8" xfId="0" applyFont="1" applyFill="1" applyBorder="1" applyAlignment="1" applyProtection="1">
      <alignment horizontal="right"/>
      <protection hidden="1"/>
    </xf>
    <xf numFmtId="2" fontId="7" fillId="7" borderId="8" xfId="0" applyNumberFormat="1" applyFont="1" applyFill="1" applyBorder="1" applyAlignment="1" applyProtection="1">
      <alignment horizontal="right"/>
      <protection hidden="1"/>
    </xf>
    <xf numFmtId="4" fontId="7" fillId="7" borderId="8" xfId="0" applyNumberFormat="1" applyFont="1" applyFill="1" applyBorder="1" applyProtection="1">
      <protection hidden="1"/>
    </xf>
    <xf numFmtId="4" fontId="7" fillId="7" borderId="8" xfId="0" applyNumberFormat="1" applyFont="1" applyFill="1" applyBorder="1" applyAlignment="1" applyProtection="1">
      <alignment horizontal="right"/>
      <protection hidden="1"/>
    </xf>
    <xf numFmtId="0" fontId="13" fillId="7" borderId="8" xfId="0" applyFont="1" applyFill="1" applyBorder="1" applyProtection="1">
      <protection hidden="1"/>
    </xf>
    <xf numFmtId="0" fontId="14" fillId="0" borderId="0" xfId="0" applyFont="1" applyAlignment="1" applyProtection="1">
      <alignment horizontal="right"/>
      <protection hidden="1"/>
    </xf>
    <xf numFmtId="4" fontId="8" fillId="0" borderId="0" xfId="0" applyNumberFormat="1" applyFont="1" applyProtection="1">
      <protection hidden="1"/>
    </xf>
    <xf numFmtId="0" fontId="17" fillId="7" borderId="8" xfId="0" applyFont="1" applyFill="1" applyBorder="1" applyProtection="1">
      <protection hidden="1"/>
    </xf>
    <xf numFmtId="0" fontId="17" fillId="7" borderId="8" xfId="0" applyFont="1" applyFill="1" applyBorder="1" applyAlignment="1" applyProtection="1">
      <alignment horizontal="center"/>
      <protection hidden="1"/>
    </xf>
    <xf numFmtId="4" fontId="10" fillId="7" borderId="11" xfId="0" applyNumberFormat="1" applyFont="1" applyFill="1" applyBorder="1" applyAlignment="1" applyProtection="1">
      <alignment horizontal="right"/>
      <protection locked="0" hidden="1"/>
    </xf>
    <xf numFmtId="0" fontId="15" fillId="0" borderId="0" xfId="0" applyFont="1" applyAlignment="1" applyProtection="1">
      <alignment horizontal="right"/>
      <protection hidden="1"/>
    </xf>
    <xf numFmtId="4" fontId="2" fillId="0" borderId="0" xfId="0" applyNumberFormat="1" applyFont="1" applyProtection="1">
      <protection hidden="1"/>
    </xf>
    <xf numFmtId="2" fontId="4" fillId="7" borderId="8" xfId="0" applyNumberFormat="1" applyFont="1" applyFill="1" applyBorder="1" applyProtection="1">
      <protection hidden="1"/>
    </xf>
    <xf numFmtId="4" fontId="4" fillId="7" borderId="8" xfId="0" applyNumberFormat="1" applyFont="1" applyFill="1" applyBorder="1" applyProtection="1">
      <protection hidden="1"/>
    </xf>
    <xf numFmtId="0" fontId="2" fillId="0" borderId="3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2" borderId="3" xfId="0" applyFont="1" applyFill="1" applyBorder="1" applyProtection="1">
      <protection hidden="1"/>
    </xf>
    <xf numFmtId="0" fontId="2" fillId="2" borderId="4" xfId="0" applyFont="1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2" borderId="7" xfId="0" applyFont="1" applyFill="1" applyBorder="1" applyAlignment="1" applyProtection="1">
      <alignment horizontal="center"/>
      <protection hidden="1"/>
    </xf>
    <xf numFmtId="0" fontId="5" fillId="2" borderId="7" xfId="0" applyFont="1" applyFill="1" applyBorder="1" applyProtection="1">
      <protection hidden="1"/>
    </xf>
    <xf numFmtId="2" fontId="2" fillId="2" borderId="4" xfId="0" applyNumberFormat="1" applyFont="1" applyFill="1" applyBorder="1" applyAlignment="1" applyProtection="1">
      <alignment horizontal="right"/>
      <protection hidden="1"/>
    </xf>
    <xf numFmtId="4" fontId="4" fillId="2" borderId="11" xfId="2" applyNumberFormat="1" applyFont="1" applyFill="1" applyBorder="1" applyAlignment="1" applyProtection="1">
      <alignment horizontal="right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6" fillId="0" borderId="2" xfId="0" applyFont="1" applyBorder="1" applyProtection="1">
      <protection hidden="1"/>
    </xf>
    <xf numFmtId="2" fontId="2" fillId="0" borderId="11" xfId="0" applyNumberFormat="1" applyFont="1" applyBorder="1" applyAlignment="1" applyProtection="1">
      <alignment horizontal="right"/>
      <protection hidden="1"/>
    </xf>
    <xf numFmtId="4" fontId="2" fillId="0" borderId="0" xfId="0" applyNumberFormat="1" applyFont="1" applyAlignment="1" applyProtection="1">
      <alignment horizontal="right"/>
      <protection hidden="1"/>
    </xf>
    <xf numFmtId="0" fontId="20" fillId="0" borderId="0" xfId="0" applyFont="1" applyProtection="1">
      <protection hidden="1"/>
    </xf>
    <xf numFmtId="0" fontId="13" fillId="0" borderId="2" xfId="0" applyFont="1" applyBorder="1" applyProtection="1">
      <protection hidden="1"/>
    </xf>
    <xf numFmtId="2" fontId="2" fillId="2" borderId="0" xfId="0" applyNumberFormat="1" applyFont="1" applyFill="1" applyAlignment="1" applyProtection="1">
      <alignment horizontal="right"/>
      <protection hidden="1"/>
    </xf>
    <xf numFmtId="4" fontId="4" fillId="2" borderId="4" xfId="2" applyNumberFormat="1" applyFont="1" applyFill="1" applyBorder="1" applyAlignment="1" applyProtection="1">
      <alignment horizontal="right"/>
      <protection hidden="1"/>
    </xf>
    <xf numFmtId="0" fontId="24" fillId="2" borderId="7" xfId="0" applyFont="1" applyFill="1" applyBorder="1" applyProtection="1">
      <protection hidden="1"/>
    </xf>
    <xf numFmtId="2" fontId="2" fillId="0" borderId="2" xfId="0" applyNumberFormat="1" applyFont="1" applyBorder="1" applyAlignment="1" applyProtection="1">
      <alignment horizontal="right"/>
      <protection hidden="1"/>
    </xf>
    <xf numFmtId="0" fontId="23" fillId="0" borderId="2" xfId="0" applyFont="1" applyBorder="1" applyProtection="1">
      <protection hidden="1"/>
    </xf>
    <xf numFmtId="0" fontId="4" fillId="2" borderId="24" xfId="0" applyFont="1" applyFill="1" applyBorder="1" applyAlignment="1" applyProtection="1">
      <alignment horizontal="center"/>
      <protection hidden="1"/>
    </xf>
    <xf numFmtId="0" fontId="5" fillId="2" borderId="24" xfId="0" applyFont="1" applyFill="1" applyBorder="1" applyProtection="1">
      <protection hidden="1"/>
    </xf>
    <xf numFmtId="0" fontId="24" fillId="2" borderId="24" xfId="0" applyFont="1" applyFill="1" applyBorder="1" applyProtection="1">
      <protection hidden="1"/>
    </xf>
    <xf numFmtId="0" fontId="2" fillId="0" borderId="23" xfId="0" applyFont="1" applyBorder="1" applyAlignment="1" applyProtection="1">
      <alignment horizontal="center"/>
      <protection hidden="1"/>
    </xf>
    <xf numFmtId="0" fontId="6" fillId="0" borderId="25" xfId="0" applyFont="1" applyBorder="1" applyProtection="1">
      <protection hidden="1"/>
    </xf>
    <xf numFmtId="2" fontId="4" fillId="0" borderId="25" xfId="0" applyNumberFormat="1" applyFont="1" applyBorder="1" applyAlignment="1" applyProtection="1">
      <alignment horizontal="right"/>
      <protection hidden="1"/>
    </xf>
    <xf numFmtId="4" fontId="4" fillId="0" borderId="25" xfId="0" applyNumberFormat="1" applyFont="1" applyBorder="1" applyAlignment="1" applyProtection="1">
      <alignment horizontal="right"/>
      <protection hidden="1"/>
    </xf>
    <xf numFmtId="0" fontId="21" fillId="0" borderId="0" xfId="0" applyFont="1" applyAlignment="1" applyProtection="1">
      <alignment horizontal="right" vertical="center"/>
      <protection hidden="1"/>
    </xf>
    <xf numFmtId="0" fontId="22" fillId="0" borderId="0" xfId="0" applyFont="1" applyFill="1" applyProtection="1">
      <protection hidden="1"/>
    </xf>
    <xf numFmtId="0" fontId="23" fillId="0" borderId="25" xfId="0" applyFont="1" applyBorder="1" applyAlignment="1" applyProtection="1">
      <alignment horizontal="center"/>
      <protection hidden="1"/>
    </xf>
    <xf numFmtId="0" fontId="4" fillId="2" borderId="22" xfId="0" applyFont="1" applyFill="1" applyBorder="1" applyAlignment="1" applyProtection="1">
      <alignment horizontal="center"/>
      <protection hidden="1"/>
    </xf>
    <xf numFmtId="0" fontId="5" fillId="2" borderId="22" xfId="0" applyFont="1" applyFill="1" applyBorder="1" applyProtection="1">
      <protection hidden="1"/>
    </xf>
    <xf numFmtId="4" fontId="4" fillId="2" borderId="0" xfId="2" applyNumberFormat="1" applyFont="1" applyFill="1" applyAlignment="1" applyProtection="1">
      <alignment horizontal="right"/>
      <protection hidden="1"/>
    </xf>
    <xf numFmtId="0" fontId="24" fillId="2" borderId="22" xfId="0" applyFont="1" applyFill="1" applyBorder="1" applyProtection="1">
      <protection hidden="1"/>
    </xf>
    <xf numFmtId="2" fontId="12" fillId="0" borderId="11" xfId="0" applyNumberFormat="1" applyFont="1" applyBorder="1" applyAlignment="1" applyProtection="1">
      <alignment horizontal="left"/>
      <protection hidden="1"/>
    </xf>
    <xf numFmtId="4" fontId="12" fillId="0" borderId="0" xfId="0" applyNumberFormat="1" applyFont="1" applyAlignment="1" applyProtection="1">
      <alignment horizontal="left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6" fillId="0" borderId="4" xfId="0" applyFont="1" applyBorder="1" applyProtection="1">
      <protection hidden="1"/>
    </xf>
    <xf numFmtId="2" fontId="2" fillId="0" borderId="0" xfId="0" applyNumberFormat="1" applyFont="1" applyAlignment="1" applyProtection="1">
      <alignment horizontal="right"/>
      <protection hidden="1"/>
    </xf>
    <xf numFmtId="4" fontId="2" fillId="0" borderId="0" xfId="1" applyNumberFormat="1" applyFont="1" applyAlignment="1" applyProtection="1">
      <alignment horizontal="right"/>
      <protection hidden="1"/>
    </xf>
    <xf numFmtId="0" fontId="13" fillId="0" borderId="4" xfId="0" applyFont="1" applyBorder="1" applyProtection="1">
      <protection hidden="1"/>
    </xf>
    <xf numFmtId="4" fontId="2" fillId="2" borderId="4" xfId="2" applyNumberFormat="1" applyFont="1" applyFill="1" applyBorder="1" applyAlignment="1" applyProtection="1">
      <alignment horizontal="right"/>
      <protection hidden="1"/>
    </xf>
    <xf numFmtId="0" fontId="15" fillId="0" borderId="2" xfId="0" applyFont="1" applyBorder="1" applyProtection="1">
      <protection hidden="1"/>
    </xf>
    <xf numFmtId="0" fontId="4" fillId="2" borderId="7" xfId="0" applyFont="1" applyFill="1" applyBorder="1" applyAlignment="1" applyProtection="1">
      <alignment horizontal="right"/>
      <protection hidden="1"/>
    </xf>
    <xf numFmtId="2" fontId="2" fillId="2" borderId="24" xfId="2" applyNumberFormat="1" applyFont="1" applyFill="1" applyBorder="1" applyAlignment="1" applyProtection="1">
      <alignment horizontal="right"/>
      <protection hidden="1"/>
    </xf>
    <xf numFmtId="2" fontId="2" fillId="0" borderId="11" xfId="2" applyNumberFormat="1" applyFont="1" applyBorder="1" applyAlignment="1" applyProtection="1">
      <alignment horizontal="right"/>
      <protection hidden="1"/>
    </xf>
    <xf numFmtId="2" fontId="2" fillId="2" borderId="22" xfId="2" applyNumberFormat="1" applyFont="1" applyFill="1" applyBorder="1" applyAlignment="1" applyProtection="1">
      <alignment horizontal="right"/>
      <protection hidden="1"/>
    </xf>
    <xf numFmtId="2" fontId="2" fillId="2" borderId="7" xfId="2" applyNumberFormat="1" applyFont="1" applyFill="1" applyBorder="1" applyAlignment="1" applyProtection="1">
      <alignment horizontal="right"/>
      <protection hidden="1"/>
    </xf>
    <xf numFmtId="2" fontId="2" fillId="0" borderId="2" xfId="2" applyNumberFormat="1" applyFont="1" applyBorder="1" applyAlignment="1" applyProtection="1">
      <alignment horizontal="right"/>
      <protection hidden="1"/>
    </xf>
    <xf numFmtId="2" fontId="12" fillId="0" borderId="11" xfId="2" applyNumberFormat="1" applyFont="1" applyBorder="1" applyAlignment="1" applyProtection="1">
      <alignment horizontal="left"/>
      <protection hidden="1"/>
    </xf>
    <xf numFmtId="2" fontId="2" fillId="0" borderId="0" xfId="2" applyNumberFormat="1" applyFont="1" applyAlignment="1" applyProtection="1">
      <alignment horizontal="right"/>
      <protection hidden="1"/>
    </xf>
    <xf numFmtId="0" fontId="0" fillId="0" borderId="0" xfId="0" applyProtection="1">
      <protection hidden="1"/>
    </xf>
    <xf numFmtId="2" fontId="4" fillId="2" borderId="24" xfId="2" applyNumberFormat="1" applyFont="1" applyFill="1" applyBorder="1" applyAlignment="1" applyProtection="1">
      <alignment horizontal="right"/>
      <protection hidden="1"/>
    </xf>
    <xf numFmtId="4" fontId="4" fillId="2" borderId="11" xfId="1" applyNumberFormat="1" applyFont="1" applyFill="1" applyBorder="1" applyProtection="1"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6" fillId="0" borderId="7" xfId="0" applyFont="1" applyBorder="1" applyProtection="1">
      <protection hidden="1"/>
    </xf>
    <xf numFmtId="4" fontId="2" fillId="0" borderId="22" xfId="1" applyNumberFormat="1" applyFont="1" applyBorder="1" applyProtection="1">
      <protection hidden="1"/>
    </xf>
    <xf numFmtId="2" fontId="4" fillId="2" borderId="22" xfId="2" applyNumberFormat="1" applyFont="1" applyFill="1" applyBorder="1" applyAlignment="1" applyProtection="1">
      <alignment horizontal="right"/>
      <protection hidden="1"/>
    </xf>
    <xf numFmtId="4" fontId="4" fillId="2" borderId="7" xfId="1" applyNumberFormat="1" applyFont="1" applyFill="1" applyBorder="1" applyProtection="1">
      <protection hidden="1"/>
    </xf>
    <xf numFmtId="4" fontId="2" fillId="0" borderId="7" xfId="1" applyNumberFormat="1" applyFont="1" applyBorder="1" applyProtection="1">
      <protection hidden="1"/>
    </xf>
    <xf numFmtId="2" fontId="4" fillId="2" borderId="7" xfId="2" applyNumberFormat="1" applyFont="1" applyFill="1" applyBorder="1" applyAlignment="1" applyProtection="1">
      <alignment horizontal="right"/>
      <protection hidden="1"/>
    </xf>
    <xf numFmtId="2" fontId="2" fillId="0" borderId="7" xfId="2" applyNumberFormat="1" applyFont="1" applyBorder="1" applyAlignment="1" applyProtection="1">
      <alignment horizontal="right"/>
      <protection hidden="1"/>
    </xf>
    <xf numFmtId="4" fontId="12" fillId="0" borderId="7" xfId="1" applyNumberFormat="1" applyFont="1" applyBorder="1" applyAlignment="1" applyProtection="1">
      <alignment horizontal="left"/>
      <protection hidden="1"/>
    </xf>
    <xf numFmtId="4" fontId="12" fillId="0" borderId="2" xfId="1" applyNumberFormat="1" applyFont="1" applyBorder="1" applyAlignment="1" applyProtection="1">
      <alignment horizontal="left"/>
      <protection hidden="1"/>
    </xf>
    <xf numFmtId="4" fontId="2" fillId="0" borderId="2" xfId="1" applyNumberFormat="1" applyFont="1" applyBorder="1" applyProtection="1">
      <protection hidden="1"/>
    </xf>
    <xf numFmtId="0" fontId="2" fillId="0" borderId="7" xfId="0" applyFont="1" applyBorder="1" applyProtection="1">
      <protection hidden="1"/>
    </xf>
    <xf numFmtId="0" fontId="2" fillId="2" borderId="7" xfId="0" applyFont="1" applyFill="1" applyBorder="1" applyProtection="1">
      <protection hidden="1"/>
    </xf>
    <xf numFmtId="0" fontId="2" fillId="0" borderId="7" xfId="0" applyFont="1" applyBorder="1" applyAlignment="1" applyProtection="1">
      <alignment horizontal="right"/>
      <protection hidden="1"/>
    </xf>
    <xf numFmtId="2" fontId="2" fillId="0" borderId="24" xfId="0" applyNumberFormat="1" applyFont="1" applyBorder="1" applyAlignment="1" applyProtection="1">
      <alignment horizontal="right"/>
      <protection hidden="1"/>
    </xf>
    <xf numFmtId="4" fontId="2" fillId="0" borderId="11" xfId="1" applyNumberFormat="1" applyFont="1" applyBorder="1" applyProtection="1">
      <protection hidden="1"/>
    </xf>
    <xf numFmtId="2" fontId="2" fillId="2" borderId="22" xfId="0" applyNumberFormat="1" applyFont="1" applyFill="1" applyBorder="1" applyAlignment="1" applyProtection="1">
      <alignment horizontal="right"/>
      <protection hidden="1"/>
    </xf>
    <xf numFmtId="4" fontId="4" fillId="2" borderId="24" xfId="1" applyNumberFormat="1" applyFont="1" applyFill="1" applyBorder="1" applyProtection="1">
      <protection hidden="1"/>
    </xf>
    <xf numFmtId="2" fontId="2" fillId="0" borderId="7" xfId="0" applyNumberFormat="1" applyFont="1" applyBorder="1" applyAlignment="1" applyProtection="1">
      <alignment horizontal="right"/>
      <protection hidden="1"/>
    </xf>
    <xf numFmtId="2" fontId="2" fillId="2" borderId="7" xfId="0" applyNumberFormat="1" applyFont="1" applyFill="1" applyBorder="1" applyAlignment="1" applyProtection="1">
      <alignment horizontal="right"/>
      <protection hidden="1"/>
    </xf>
    <xf numFmtId="2" fontId="2" fillId="2" borderId="24" xfId="0" applyNumberFormat="1" applyFont="1" applyFill="1" applyBorder="1" applyAlignment="1" applyProtection="1">
      <alignment horizontal="right"/>
      <protection hidden="1"/>
    </xf>
    <xf numFmtId="2" fontId="2" fillId="0" borderId="22" xfId="0" applyNumberFormat="1" applyFont="1" applyBorder="1" applyProtection="1">
      <protection hidden="1"/>
    </xf>
    <xf numFmtId="2" fontId="2" fillId="2" borderId="7" xfId="0" applyNumberFormat="1" applyFont="1" applyFill="1" applyBorder="1" applyProtection="1">
      <protection hidden="1"/>
    </xf>
    <xf numFmtId="2" fontId="4" fillId="2" borderId="7" xfId="0" applyNumberFormat="1" applyFont="1" applyFill="1" applyBorder="1" applyProtection="1">
      <protection hidden="1"/>
    </xf>
    <xf numFmtId="0" fontId="4" fillId="0" borderId="8" xfId="0" quotePrefix="1" applyFont="1" applyBorder="1" applyProtection="1">
      <protection hidden="1"/>
    </xf>
    <xf numFmtId="2" fontId="2" fillId="0" borderId="11" xfId="0" applyNumberFormat="1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2" fillId="0" borderId="21" xfId="0" applyFont="1" applyBorder="1" applyProtection="1">
      <protection hidden="1"/>
    </xf>
    <xf numFmtId="0" fontId="2" fillId="0" borderId="12" xfId="0" applyFont="1" applyBorder="1" applyProtection="1">
      <protection hidden="1"/>
    </xf>
    <xf numFmtId="0" fontId="2" fillId="0" borderId="13" xfId="0" applyFont="1" applyBorder="1" applyProtection="1">
      <protection hidden="1"/>
    </xf>
    <xf numFmtId="0" fontId="3" fillId="3" borderId="1" xfId="0" applyFont="1" applyFill="1" applyBorder="1" applyAlignment="1" applyProtection="1">
      <alignment horizontal="center"/>
      <protection hidden="1"/>
    </xf>
    <xf numFmtId="0" fontId="3" fillId="3" borderId="2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center"/>
      <protection hidden="1"/>
    </xf>
    <xf numFmtId="0" fontId="2" fillId="2" borderId="2" xfId="0" applyFont="1" applyFill="1" applyBorder="1" applyAlignment="1" applyProtection="1">
      <alignment horizontal="center"/>
      <protection hidden="1"/>
    </xf>
    <xf numFmtId="0" fontId="3" fillId="6" borderId="0" xfId="0" applyFont="1" applyFill="1" applyAlignment="1" applyProtection="1">
      <alignment horizontal="center"/>
      <protection hidden="1"/>
    </xf>
    <xf numFmtId="0" fontId="2" fillId="2" borderId="6" xfId="0" applyFont="1" applyFill="1" applyBorder="1" applyAlignment="1" applyProtection="1">
      <alignment horizontal="center"/>
      <protection hidden="1"/>
    </xf>
    <xf numFmtId="0" fontId="3" fillId="4" borderId="34" xfId="0" applyFont="1" applyFill="1" applyBorder="1" applyAlignment="1">
      <alignment horizontal="center"/>
    </xf>
    <xf numFmtId="0" fontId="7" fillId="7" borderId="14" xfId="0" applyFont="1" applyFill="1" applyBorder="1" applyAlignment="1" applyProtection="1">
      <alignment horizontal="center" vertical="center" wrapText="1"/>
      <protection hidden="1"/>
    </xf>
    <xf numFmtId="0" fontId="7" fillId="7" borderId="15" xfId="0" applyFont="1" applyFill="1" applyBorder="1" applyAlignment="1" applyProtection="1">
      <alignment horizontal="center" vertical="center" wrapText="1"/>
      <protection hidden="1"/>
    </xf>
    <xf numFmtId="0" fontId="4" fillId="0" borderId="13" xfId="0" applyFont="1" applyBorder="1" applyProtection="1">
      <protection hidden="1"/>
    </xf>
    <xf numFmtId="0" fontId="4" fillId="0" borderId="17" xfId="0" applyFont="1" applyBorder="1" applyProtection="1">
      <protection hidden="1"/>
    </xf>
    <xf numFmtId="4" fontId="4" fillId="0" borderId="12" xfId="0" applyNumberFormat="1" applyFont="1" applyBorder="1" applyProtection="1">
      <protection hidden="1"/>
    </xf>
    <xf numFmtId="4" fontId="4" fillId="0" borderId="15" xfId="0" applyNumberFormat="1" applyFont="1" applyBorder="1" applyProtection="1">
      <protection hidden="1"/>
    </xf>
    <xf numFmtId="0" fontId="4" fillId="0" borderId="14" xfId="0" applyFont="1" applyBorder="1" applyProtection="1">
      <protection hidden="1"/>
    </xf>
    <xf numFmtId="0" fontId="4" fillId="0" borderId="12" xfId="0" applyFont="1" applyBorder="1" applyProtection="1">
      <protection hidden="1"/>
    </xf>
    <xf numFmtId="0" fontId="4" fillId="0" borderId="16" xfId="0" applyFont="1" applyBorder="1" applyProtection="1">
      <protection hidden="1"/>
    </xf>
  </cellXfs>
  <cellStyles count="3">
    <cellStyle name="Prozent" xfId="2" builtinId="5"/>
    <cellStyle name="Standard" xfId="0" builtinId="0"/>
    <cellStyle name="Währung" xfId="1" builtinId="4"/>
  </cellStyles>
  <dxfs count="2">
    <dxf>
      <font>
        <b/>
        <i val="0"/>
        <color theme="6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DFFFB"/>
      <color rgb="FF00F2E1"/>
      <color rgb="FFFF8200"/>
      <color rgb="FF00A4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4</xdr:row>
      <xdr:rowOff>66675</xdr:rowOff>
    </xdr:from>
    <xdr:to>
      <xdr:col>6</xdr:col>
      <xdr:colOff>476250</xdr:colOff>
      <xdr:row>20</xdr:row>
      <xdr:rowOff>190500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F49AC210-9FAC-4E0A-A2B7-F3B7B317CE0C}"/>
            </a:ext>
          </a:extLst>
        </xdr:cNvPr>
        <xdr:cNvSpPr>
          <a:spLocks noChangeShapeType="1"/>
        </xdr:cNvSpPr>
      </xdr:nvSpPr>
      <xdr:spPr bwMode="auto">
        <a:xfrm>
          <a:off x="2352675" y="819150"/>
          <a:ext cx="0" cy="32480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66675</xdr:rowOff>
    </xdr:from>
    <xdr:to>
      <xdr:col>6</xdr:col>
      <xdr:colOff>457200</xdr:colOff>
      <xdr:row>20</xdr:row>
      <xdr:rowOff>190500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A0190A82-EE45-4FAB-83E8-DE80460EB824}"/>
            </a:ext>
          </a:extLst>
        </xdr:cNvPr>
        <xdr:cNvSpPr>
          <a:spLocks noChangeShapeType="1"/>
        </xdr:cNvSpPr>
      </xdr:nvSpPr>
      <xdr:spPr bwMode="auto">
        <a:xfrm flipV="1">
          <a:off x="6667500" y="819150"/>
          <a:ext cx="0" cy="32480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66675</xdr:rowOff>
    </xdr:from>
    <xdr:to>
      <xdr:col>6</xdr:col>
      <xdr:colOff>457200</xdr:colOff>
      <xdr:row>13</xdr:row>
      <xdr:rowOff>0</xdr:rowOff>
    </xdr:to>
    <xdr:sp macro="" textlink="">
      <xdr:nvSpPr>
        <xdr:cNvPr id="8" name="Line 1">
          <a:extLst>
            <a:ext uri="{FF2B5EF4-FFF2-40B4-BE49-F238E27FC236}">
              <a16:creationId xmlns:a16="http://schemas.microsoft.com/office/drawing/2014/main" id="{AAE8E88E-0C33-4EAD-814E-D6325ABEE6D9}"/>
            </a:ext>
          </a:extLst>
        </xdr:cNvPr>
        <xdr:cNvSpPr>
          <a:spLocks noChangeShapeType="1"/>
        </xdr:cNvSpPr>
      </xdr:nvSpPr>
      <xdr:spPr bwMode="auto">
        <a:xfrm>
          <a:off x="4933950" y="819150"/>
          <a:ext cx="0" cy="170497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457200</xdr:colOff>
      <xdr:row>14</xdr:row>
      <xdr:rowOff>19050</xdr:rowOff>
    </xdr:from>
    <xdr:to>
      <xdr:col>6</xdr:col>
      <xdr:colOff>457200</xdr:colOff>
      <xdr:row>21</xdr:row>
      <xdr:rowOff>0</xdr:rowOff>
    </xdr:to>
    <xdr:sp macro="" textlink="">
      <xdr:nvSpPr>
        <xdr:cNvPr id="9" name="Line 2">
          <a:extLst>
            <a:ext uri="{FF2B5EF4-FFF2-40B4-BE49-F238E27FC236}">
              <a16:creationId xmlns:a16="http://schemas.microsoft.com/office/drawing/2014/main" id="{453A3779-53BF-46E3-B1D9-1C3B1237CFB1}"/>
            </a:ext>
          </a:extLst>
        </xdr:cNvPr>
        <xdr:cNvSpPr>
          <a:spLocks noChangeShapeType="1"/>
        </xdr:cNvSpPr>
      </xdr:nvSpPr>
      <xdr:spPr bwMode="auto">
        <a:xfrm flipV="1">
          <a:off x="4933950" y="2733675"/>
          <a:ext cx="0" cy="13430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4</xdr:row>
      <xdr:rowOff>66675</xdr:rowOff>
    </xdr:from>
    <xdr:to>
      <xdr:col>5</xdr:col>
      <xdr:colOff>457200</xdr:colOff>
      <xdr:row>13</xdr:row>
      <xdr:rowOff>0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351C5C92-DE5A-4F96-89E5-18A6D7C80829}"/>
            </a:ext>
          </a:extLst>
        </xdr:cNvPr>
        <xdr:cNvSpPr>
          <a:spLocks noChangeShapeType="1"/>
        </xdr:cNvSpPr>
      </xdr:nvSpPr>
      <xdr:spPr bwMode="auto">
        <a:xfrm>
          <a:off x="5029200" y="819150"/>
          <a:ext cx="0" cy="170497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457200</xdr:colOff>
      <xdr:row>14</xdr:row>
      <xdr:rowOff>19050</xdr:rowOff>
    </xdr:from>
    <xdr:to>
      <xdr:col>5</xdr:col>
      <xdr:colOff>457200</xdr:colOff>
      <xdr:row>21</xdr:row>
      <xdr:rowOff>0</xdr:rowOff>
    </xdr:to>
    <xdr:sp macro="" textlink="">
      <xdr:nvSpPr>
        <xdr:cNvPr id="6" name="Line 2">
          <a:extLst>
            <a:ext uri="{FF2B5EF4-FFF2-40B4-BE49-F238E27FC236}">
              <a16:creationId xmlns:a16="http://schemas.microsoft.com/office/drawing/2014/main" id="{2DD5C1E3-7E2F-4AC2-8717-F65C87294ADB}"/>
            </a:ext>
          </a:extLst>
        </xdr:cNvPr>
        <xdr:cNvSpPr>
          <a:spLocks noChangeShapeType="1"/>
        </xdr:cNvSpPr>
      </xdr:nvSpPr>
      <xdr:spPr bwMode="auto">
        <a:xfrm flipV="1">
          <a:off x="5029200" y="2733675"/>
          <a:ext cx="0" cy="13430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457200</xdr:colOff>
      <xdr:row>4</xdr:row>
      <xdr:rowOff>66675</xdr:rowOff>
    </xdr:from>
    <xdr:to>
      <xdr:col>7</xdr:col>
      <xdr:colOff>457200</xdr:colOff>
      <xdr:row>20</xdr:row>
      <xdr:rowOff>190500</xdr:rowOff>
    </xdr:to>
    <xdr:sp macro="" textlink="">
      <xdr:nvSpPr>
        <xdr:cNvPr id="7" name="Line 3">
          <a:extLst>
            <a:ext uri="{FF2B5EF4-FFF2-40B4-BE49-F238E27FC236}">
              <a16:creationId xmlns:a16="http://schemas.microsoft.com/office/drawing/2014/main" id="{3B8776C2-BB90-421B-8641-CE07124A965D}"/>
            </a:ext>
          </a:extLst>
        </xdr:cNvPr>
        <xdr:cNvSpPr>
          <a:spLocks noChangeShapeType="1"/>
        </xdr:cNvSpPr>
      </xdr:nvSpPr>
      <xdr:spPr bwMode="auto">
        <a:xfrm flipV="1">
          <a:off x="6762750" y="819150"/>
          <a:ext cx="0" cy="32480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4</xdr:row>
      <xdr:rowOff>66675</xdr:rowOff>
    </xdr:from>
    <xdr:to>
      <xdr:col>2</xdr:col>
      <xdr:colOff>476250</xdr:colOff>
      <xdr:row>20</xdr:row>
      <xdr:rowOff>190500</xdr:rowOff>
    </xdr:to>
    <xdr:sp macro="" textlink="">
      <xdr:nvSpPr>
        <xdr:cNvPr id="8" name="Line 3">
          <a:extLst>
            <a:ext uri="{FF2B5EF4-FFF2-40B4-BE49-F238E27FC236}">
              <a16:creationId xmlns:a16="http://schemas.microsoft.com/office/drawing/2014/main" id="{A09236AF-2531-4FAE-99EB-ECDDCACA63DF}"/>
            </a:ext>
          </a:extLst>
        </xdr:cNvPr>
        <xdr:cNvSpPr>
          <a:spLocks noChangeShapeType="1"/>
        </xdr:cNvSpPr>
      </xdr:nvSpPr>
      <xdr:spPr bwMode="auto">
        <a:xfrm>
          <a:off x="2447925" y="819150"/>
          <a:ext cx="0" cy="32480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9524</xdr:colOff>
      <xdr:row>23</xdr:row>
      <xdr:rowOff>180975</xdr:rowOff>
    </xdr:from>
    <xdr:to>
      <xdr:col>16</xdr:col>
      <xdr:colOff>19049</xdr:colOff>
      <xdr:row>37</xdr:row>
      <xdr:rowOff>0</xdr:rowOff>
    </xdr:to>
    <xdr:sp macro="" textlink="">
      <xdr:nvSpPr>
        <xdr:cNvPr id="2" name="Legende mit Linie 2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667749" y="4743450"/>
          <a:ext cx="6048375" cy="248602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5508"/>
            <a:gd name="adj6" fmla="val -2258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Vorwärtskalkulation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100"/>
            <a:t>bis</a:t>
          </a:r>
          <a:r>
            <a:rPr lang="de-DE" sz="1100" baseline="0"/>
            <a:t> Barverkaufspreis von Hundert, da alles meins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100" baseline="0"/>
            <a:t>danach bis Nettoverkaufspreis in Hundert, da nur für die Kunden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Differenzkalkulation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100" baseline="0"/>
            <a:t>vom Nettoverkaufspreis bis Barverkaufspreis sowie vom Listeneinkaufspreis bis zum Selbstkostenpreis immer von Hundert, da ich für mich kalkuliere</a:t>
          </a:r>
        </a:p>
        <a:p>
          <a:pPr algn="l"/>
          <a:endParaRPr lang="de-DE" sz="1100" baseline="0"/>
        </a:p>
        <a:p>
          <a:pPr algn="l"/>
          <a:r>
            <a:rPr lang="de-DE" sz="1100" baseline="0"/>
            <a:t>Rückwärtskalkulation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vom Nettoverkaufspreis bis Barverkaufspreis von Hundert, vom Barverkaufspreis bis zum Bezugspreis muss ich auf meine Kosten kommen, also auf Hundert; vom Bareinkaufspreis bis zum Listeneinkaufspreis in Hundert, da dies letztlich zugunsten des Lieferanten ist</a:t>
          </a:r>
          <a:endParaRPr lang="de-DE" sz="1100" baseline="0"/>
        </a:p>
        <a:p>
          <a:pPr algn="l"/>
          <a:r>
            <a:rPr lang="de-DE" sz="1100" baseline="0"/>
            <a:t> 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3"/>
  <sheetViews>
    <sheetView showGridLines="0" showRowColHeaders="0" workbookViewId="0">
      <selection activeCell="J26" sqref="J26"/>
    </sheetView>
  </sheetViews>
  <sheetFormatPr baseColWidth="10" defaultRowHeight="15" x14ac:dyDescent="0.25"/>
  <cols>
    <col min="1" max="1" width="2.42578125" style="1" bestFit="1" customWidth="1"/>
    <col min="2" max="2" width="27.140625" style="1" bestFit="1" customWidth="1"/>
    <col min="3" max="4" width="13" style="1" customWidth="1"/>
    <col min="5" max="5" width="10.7109375" customWidth="1"/>
    <col min="6" max="6" width="2.7109375" customWidth="1"/>
    <col min="7" max="7" width="13" customWidth="1"/>
    <col min="8" max="8" width="2.7109375" style="80" customWidth="1"/>
    <col min="9" max="9" width="10.7109375" style="1" customWidth="1"/>
    <col min="10" max="10" width="31.85546875" style="1" bestFit="1" customWidth="1"/>
    <col min="11" max="11" width="13" style="1" customWidth="1"/>
    <col min="12" max="16384" width="11.42578125" style="1"/>
  </cols>
  <sheetData>
    <row r="1" spans="1:12" ht="15" customHeight="1" x14ac:dyDescent="0.25">
      <c r="A1" s="220" t="s">
        <v>36</v>
      </c>
      <c r="B1" s="221"/>
      <c r="C1" s="221"/>
      <c r="D1" s="221"/>
      <c r="E1" s="15"/>
      <c r="F1" s="15"/>
      <c r="G1" s="15"/>
      <c r="H1" s="66"/>
      <c r="J1" s="3" t="s">
        <v>23</v>
      </c>
      <c r="K1" s="3" t="s">
        <v>60</v>
      </c>
    </row>
    <row r="2" spans="1:12" ht="15" customHeight="1" x14ac:dyDescent="0.25">
      <c r="A2" s="222"/>
      <c r="B2" s="223"/>
      <c r="C2" s="223"/>
      <c r="D2" s="223"/>
      <c r="E2" s="15"/>
      <c r="F2" s="15"/>
      <c r="G2" s="15"/>
      <c r="H2" s="66"/>
      <c r="J2" s="4"/>
      <c r="K2" s="4"/>
    </row>
    <row r="3" spans="1:12" ht="15" customHeight="1" x14ac:dyDescent="0.25">
      <c r="A3" s="135"/>
      <c r="B3" s="136"/>
      <c r="C3" s="136"/>
      <c r="D3" s="136"/>
      <c r="E3" s="15"/>
      <c r="F3" s="15"/>
      <c r="G3" s="15"/>
      <c r="H3" s="66"/>
      <c r="J3" s="7" t="s">
        <v>24</v>
      </c>
      <c r="K3" s="39">
        <v>155.87</v>
      </c>
      <c r="L3"/>
    </row>
    <row r="4" spans="1:12" ht="15" customHeight="1" thickBot="1" x14ac:dyDescent="0.3">
      <c r="A4" s="137"/>
      <c r="B4" s="138"/>
      <c r="C4" s="139" t="s">
        <v>3</v>
      </c>
      <c r="D4" s="139" t="s">
        <v>60</v>
      </c>
      <c r="E4" s="15"/>
      <c r="F4" s="15"/>
      <c r="G4" s="15"/>
      <c r="H4" s="66"/>
      <c r="K4" s="34"/>
      <c r="L4"/>
    </row>
    <row r="5" spans="1:12" ht="15" customHeight="1" thickBot="1" x14ac:dyDescent="0.3">
      <c r="A5" s="179"/>
      <c r="B5" s="141" t="s">
        <v>24</v>
      </c>
      <c r="C5" s="188"/>
      <c r="D5" s="189">
        <f>K3</f>
        <v>155.87</v>
      </c>
      <c r="E5" s="144" t="s">
        <v>41</v>
      </c>
      <c r="F5" s="144"/>
      <c r="G5" s="89"/>
      <c r="H5" s="67"/>
      <c r="J5" s="7" t="s">
        <v>34</v>
      </c>
      <c r="K5" s="39">
        <v>3</v>
      </c>
      <c r="L5"/>
    </row>
    <row r="6" spans="1:12" ht="15" customHeight="1" thickBot="1" x14ac:dyDescent="0.3">
      <c r="A6" s="190" t="s">
        <v>0</v>
      </c>
      <c r="B6" s="191" t="s">
        <v>32</v>
      </c>
      <c r="C6" s="181">
        <f>K8</f>
        <v>30</v>
      </c>
      <c r="D6" s="192">
        <f>ROUND(D5*C6/100,2)</f>
        <v>46.76</v>
      </c>
      <c r="E6" s="149"/>
      <c r="F6" s="149"/>
      <c r="G6" s="95" t="s">
        <v>62</v>
      </c>
      <c r="H6" s="68"/>
      <c r="L6"/>
    </row>
    <row r="7" spans="1:12" ht="15" customHeight="1" thickBot="1" x14ac:dyDescent="0.3">
      <c r="A7" s="140" t="s">
        <v>2</v>
      </c>
      <c r="B7" s="141" t="s">
        <v>25</v>
      </c>
      <c r="C7" s="193"/>
      <c r="D7" s="194">
        <f>D5-D6</f>
        <v>109.11000000000001</v>
      </c>
      <c r="E7" s="149"/>
      <c r="F7" s="149"/>
      <c r="G7" s="102"/>
      <c r="H7" s="69"/>
      <c r="J7" s="3" t="s">
        <v>23</v>
      </c>
      <c r="K7" s="3" t="s">
        <v>3</v>
      </c>
      <c r="L7"/>
    </row>
    <row r="8" spans="1:12" ht="15" customHeight="1" thickBot="1" x14ac:dyDescent="0.3">
      <c r="A8" s="190" t="s">
        <v>0</v>
      </c>
      <c r="B8" s="191" t="s">
        <v>33</v>
      </c>
      <c r="C8" s="181">
        <f>K9</f>
        <v>3</v>
      </c>
      <c r="D8" s="195">
        <f>ROUND(D7*C8/100,2)</f>
        <v>3.27</v>
      </c>
      <c r="E8" s="149"/>
      <c r="F8" s="149"/>
      <c r="G8" s="95" t="s">
        <v>62</v>
      </c>
      <c r="H8" s="68"/>
      <c r="J8" s="4" t="s">
        <v>32</v>
      </c>
      <c r="K8" s="31">
        <v>30</v>
      </c>
    </row>
    <row r="9" spans="1:12" ht="15" customHeight="1" thickBot="1" x14ac:dyDescent="0.3">
      <c r="A9" s="140" t="s">
        <v>2</v>
      </c>
      <c r="B9" s="141" t="s">
        <v>26</v>
      </c>
      <c r="C9" s="196"/>
      <c r="D9" s="194">
        <f>D7-D8</f>
        <v>105.84000000000002</v>
      </c>
      <c r="E9" s="149"/>
      <c r="F9" s="149"/>
      <c r="G9" s="102"/>
      <c r="H9" s="69"/>
      <c r="J9" s="7" t="s">
        <v>33</v>
      </c>
      <c r="K9" s="38">
        <v>3</v>
      </c>
    </row>
    <row r="10" spans="1:12" ht="15" customHeight="1" thickBot="1" x14ac:dyDescent="0.3">
      <c r="A10" s="190" t="s">
        <v>1</v>
      </c>
      <c r="B10" s="191" t="s">
        <v>27</v>
      </c>
      <c r="C10" s="197"/>
      <c r="D10" s="181">
        <f>K5</f>
        <v>3</v>
      </c>
      <c r="E10" s="149"/>
      <c r="F10" s="149"/>
      <c r="G10" s="95"/>
      <c r="H10" s="68"/>
      <c r="J10" s="4" t="s">
        <v>29</v>
      </c>
      <c r="K10" s="31">
        <v>26</v>
      </c>
    </row>
    <row r="11" spans="1:12" ht="15" customHeight="1" thickBot="1" x14ac:dyDescent="0.3">
      <c r="A11" s="140" t="s">
        <v>2</v>
      </c>
      <c r="B11" s="141" t="s">
        <v>28</v>
      </c>
      <c r="C11" s="196"/>
      <c r="D11" s="194">
        <f>D9+D10</f>
        <v>108.84000000000002</v>
      </c>
      <c r="E11" s="149"/>
      <c r="F11" s="149"/>
      <c r="G11" s="102"/>
      <c r="H11" s="69"/>
      <c r="J11" s="7" t="s">
        <v>5</v>
      </c>
      <c r="K11" s="38">
        <v>12</v>
      </c>
    </row>
    <row r="12" spans="1:12" ht="15" customHeight="1" thickBot="1" x14ac:dyDescent="0.3">
      <c r="A12" s="190" t="s">
        <v>1</v>
      </c>
      <c r="B12" s="191" t="s">
        <v>29</v>
      </c>
      <c r="C12" s="181">
        <f>K10</f>
        <v>26</v>
      </c>
      <c r="D12" s="195">
        <f>ROUND(D11*C12/100,2)</f>
        <v>28.3</v>
      </c>
      <c r="E12" s="149"/>
      <c r="F12" s="149"/>
      <c r="G12" s="95" t="s">
        <v>62</v>
      </c>
      <c r="H12" s="68"/>
      <c r="J12" s="4" t="s">
        <v>7</v>
      </c>
      <c r="K12" s="31">
        <v>2</v>
      </c>
    </row>
    <row r="13" spans="1:12" ht="15" customHeight="1" thickBot="1" x14ac:dyDescent="0.3">
      <c r="A13" s="140" t="s">
        <v>2</v>
      </c>
      <c r="B13" s="141" t="s">
        <v>68</v>
      </c>
      <c r="C13" s="196"/>
      <c r="D13" s="194">
        <f>D11+D12</f>
        <v>137.14000000000001</v>
      </c>
      <c r="E13" s="149"/>
      <c r="F13" s="149"/>
      <c r="G13" s="102"/>
      <c r="H13" s="69"/>
      <c r="J13" s="7" t="s">
        <v>12</v>
      </c>
      <c r="K13" s="38">
        <v>2</v>
      </c>
    </row>
    <row r="14" spans="1:12" ht="15" customHeight="1" thickBot="1" x14ac:dyDescent="0.3">
      <c r="A14" s="190" t="s">
        <v>1</v>
      </c>
      <c r="B14" s="191" t="s">
        <v>5</v>
      </c>
      <c r="C14" s="181">
        <f>K11</f>
        <v>12</v>
      </c>
      <c r="D14" s="195">
        <f>ROUND(D13*C14/100,2)</f>
        <v>16.46</v>
      </c>
      <c r="E14" s="149"/>
      <c r="F14" s="149"/>
      <c r="G14" s="109" t="s">
        <v>62</v>
      </c>
      <c r="H14" s="76"/>
      <c r="J14" s="4" t="s">
        <v>9</v>
      </c>
      <c r="K14" s="31">
        <v>20</v>
      </c>
    </row>
    <row r="15" spans="1:12" ht="15" customHeight="1" thickBot="1" x14ac:dyDescent="0.3">
      <c r="A15" s="140" t="s">
        <v>2</v>
      </c>
      <c r="B15" s="141" t="s">
        <v>6</v>
      </c>
      <c r="C15" s="188"/>
      <c r="D15" s="194">
        <f>D13+D14</f>
        <v>153.60000000000002</v>
      </c>
      <c r="E15" s="149"/>
      <c r="F15" s="149"/>
      <c r="G15" s="102"/>
      <c r="H15" s="69"/>
      <c r="J15" s="7" t="s">
        <v>10</v>
      </c>
      <c r="K15" s="38">
        <v>19</v>
      </c>
    </row>
    <row r="16" spans="1:12" ht="15" customHeight="1" thickBot="1" x14ac:dyDescent="0.3">
      <c r="A16" s="190" t="s">
        <v>1</v>
      </c>
      <c r="B16" s="191" t="s">
        <v>7</v>
      </c>
      <c r="C16" s="185">
        <f>K12</f>
        <v>2</v>
      </c>
      <c r="D16" s="198">
        <f>ROUND(D15*C16/(100-C16-C17),2)</f>
        <v>3.2</v>
      </c>
      <c r="E16" s="149"/>
      <c r="F16" s="149"/>
      <c r="G16" s="95"/>
      <c r="H16" s="68"/>
    </row>
    <row r="17" spans="1:15" ht="15" customHeight="1" thickBot="1" x14ac:dyDescent="0.3">
      <c r="A17" s="145" t="s">
        <v>1</v>
      </c>
      <c r="B17" s="146" t="s">
        <v>12</v>
      </c>
      <c r="C17" s="185">
        <f>K13</f>
        <v>2</v>
      </c>
      <c r="D17" s="199">
        <f>ROUND(D15*C17/(100-C17-C16),2)</f>
        <v>3.2</v>
      </c>
      <c r="E17" s="149"/>
      <c r="F17" s="149"/>
      <c r="G17" s="102"/>
      <c r="H17" s="69"/>
    </row>
    <row r="18" spans="1:15" ht="15" customHeight="1" x14ac:dyDescent="0.25">
      <c r="A18" s="172"/>
      <c r="B18" s="173" t="s">
        <v>30</v>
      </c>
      <c r="C18" s="186">
        <f>SUM(C16:C17)</f>
        <v>4</v>
      </c>
      <c r="D18" s="200">
        <f>ROUND(D15*C18/(100-C18),2)</f>
        <v>6.4</v>
      </c>
      <c r="E18" s="149"/>
      <c r="F18" s="149"/>
      <c r="G18" s="126" t="s">
        <v>63</v>
      </c>
      <c r="H18" s="77"/>
      <c r="J18"/>
      <c r="K18"/>
      <c r="L18"/>
      <c r="M18"/>
      <c r="N18"/>
      <c r="O18"/>
    </row>
    <row r="19" spans="1:15" ht="15" customHeight="1" thickBot="1" x14ac:dyDescent="0.3">
      <c r="A19" s="140" t="s">
        <v>2</v>
      </c>
      <c r="B19" s="141" t="s">
        <v>8</v>
      </c>
      <c r="C19" s="196"/>
      <c r="D19" s="194">
        <f>D15+D18</f>
        <v>160.00000000000003</v>
      </c>
      <c r="E19" s="149"/>
      <c r="F19" s="149"/>
      <c r="G19" s="125"/>
      <c r="H19" s="78"/>
      <c r="J19"/>
      <c r="K19"/>
      <c r="L19"/>
      <c r="M19"/>
      <c r="N19"/>
      <c r="O19"/>
    </row>
    <row r="20" spans="1:15" ht="15" customHeight="1" thickBot="1" x14ac:dyDescent="0.3">
      <c r="A20" s="145" t="s">
        <v>1</v>
      </c>
      <c r="B20" s="146" t="s">
        <v>9</v>
      </c>
      <c r="C20" s="181">
        <f>K14</f>
        <v>20</v>
      </c>
      <c r="D20" s="200">
        <f>ROUND(D19*C20/(100-C20),2)</f>
        <v>40</v>
      </c>
      <c r="E20" s="149"/>
      <c r="F20" s="149"/>
      <c r="G20" s="102" t="s">
        <v>62</v>
      </c>
      <c r="H20" s="69"/>
      <c r="J20"/>
      <c r="K20"/>
      <c r="L20"/>
      <c r="M20"/>
      <c r="N20"/>
      <c r="O20"/>
    </row>
    <row r="21" spans="1:15" ht="15" customHeight="1" thickBot="1" x14ac:dyDescent="0.3">
      <c r="A21" s="140" t="s">
        <v>2</v>
      </c>
      <c r="B21" s="141" t="s">
        <v>31</v>
      </c>
      <c r="C21" s="196"/>
      <c r="D21" s="194">
        <f>D19+D20</f>
        <v>200.00000000000003</v>
      </c>
      <c r="E21" s="163" t="s">
        <v>42</v>
      </c>
      <c r="F21" s="163"/>
      <c r="G21" s="128"/>
      <c r="H21" s="79"/>
      <c r="I21" s="54" t="s">
        <v>62</v>
      </c>
      <c r="J21" s="55" t="s">
        <v>65</v>
      </c>
      <c r="K21" s="56"/>
      <c r="L21"/>
      <c r="M21"/>
      <c r="N21"/>
      <c r="O21"/>
    </row>
    <row r="22" spans="1:15" ht="15" customHeight="1" thickBot="1" x14ac:dyDescent="0.3">
      <c r="A22" s="145" t="s">
        <v>1</v>
      </c>
      <c r="B22" s="146" t="s">
        <v>10</v>
      </c>
      <c r="C22" s="181">
        <f>K15</f>
        <v>19</v>
      </c>
      <c r="D22" s="200">
        <f>ROUND(D21*C22/100,2)</f>
        <v>38</v>
      </c>
      <c r="E22" s="15"/>
      <c r="F22" s="15"/>
      <c r="G22" s="131" t="s">
        <v>64</v>
      </c>
      <c r="H22" s="73"/>
      <c r="I22" s="57" t="s">
        <v>63</v>
      </c>
      <c r="J22" s="58" t="s">
        <v>66</v>
      </c>
      <c r="K22" s="59"/>
      <c r="L22"/>
      <c r="M22"/>
      <c r="N22"/>
      <c r="O22"/>
    </row>
    <row r="23" spans="1:15" ht="15" customHeight="1" thickBot="1" x14ac:dyDescent="0.3">
      <c r="A23" s="140" t="s">
        <v>2</v>
      </c>
      <c r="B23" s="141" t="s">
        <v>11</v>
      </c>
      <c r="C23" s="196"/>
      <c r="D23" s="194">
        <f>D21+D22</f>
        <v>238.00000000000003</v>
      </c>
      <c r="E23" s="187"/>
      <c r="F23" s="187"/>
      <c r="G23" s="187"/>
      <c r="I23" s="60" t="s">
        <v>64</v>
      </c>
      <c r="J23" s="61" t="s">
        <v>67</v>
      </c>
      <c r="K23" s="62"/>
      <c r="L23"/>
      <c r="M23"/>
      <c r="N23"/>
      <c r="O23"/>
    </row>
  </sheetData>
  <sheetProtection algorithmName="SHA-512" hashValue="EiI7paAL5Eb7CQHx8IqzL7i6I+p6seB26AlzYPTYkHCf2JHT2q2vVO/Crreejj5p8MH74z0vlfcMj6Y6VlSoLQ==" saltValue="NqiUQsvEB4J3H1YQAnD18w==" spinCount="100000" sheet="1" objects="1" scenarios="1"/>
  <protectedRanges>
    <protectedRange sqref="K3 K5 K8 K9 K10 K11 K12 K13 K14 K15" name="Bereich1"/>
  </protectedRanges>
  <mergeCells count="2">
    <mergeCell ref="A1:D1"/>
    <mergeCell ref="A2:D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23"/>
  <sheetViews>
    <sheetView showGridLines="0" showRowColHeaders="0" workbookViewId="0">
      <selection activeCell="Q15" sqref="Q15"/>
    </sheetView>
  </sheetViews>
  <sheetFormatPr baseColWidth="10" defaultRowHeight="15" x14ac:dyDescent="0.25"/>
  <cols>
    <col min="1" max="1" width="2.42578125" style="1" bestFit="1" customWidth="1"/>
    <col min="2" max="2" width="27.140625" style="1" bestFit="1" customWidth="1"/>
    <col min="3" max="3" width="13" style="1" customWidth="1"/>
    <col min="4" max="4" width="13" style="1" bestFit="1" customWidth="1"/>
    <col min="5" max="5" width="10.7109375" customWidth="1"/>
    <col min="6" max="6" width="2.7109375" customWidth="1"/>
    <col min="7" max="7" width="13" customWidth="1"/>
    <col min="8" max="8" width="2.7109375" customWidth="1"/>
    <col min="9" max="9" width="10.7109375" style="1" customWidth="1"/>
    <col min="10" max="10" width="31.85546875" style="1" bestFit="1" customWidth="1"/>
    <col min="11" max="11" width="13" style="1" customWidth="1"/>
    <col min="12" max="16384" width="11.42578125" style="1"/>
  </cols>
  <sheetData>
    <row r="1" spans="1:12" ht="15" customHeight="1" x14ac:dyDescent="0.25">
      <c r="A1" s="220" t="s">
        <v>38</v>
      </c>
      <c r="B1" s="221"/>
      <c r="C1" s="221"/>
      <c r="D1" s="221"/>
      <c r="E1" s="15"/>
      <c r="F1" s="15"/>
      <c r="G1" s="15"/>
      <c r="H1" s="1"/>
      <c r="J1" s="3" t="s">
        <v>23</v>
      </c>
      <c r="K1" s="3" t="s">
        <v>60</v>
      </c>
    </row>
    <row r="2" spans="1:12" ht="15" customHeight="1" x14ac:dyDescent="0.25">
      <c r="A2" s="222"/>
      <c r="B2" s="223"/>
      <c r="C2" s="223"/>
      <c r="D2" s="223"/>
      <c r="E2" s="15"/>
      <c r="F2" s="15"/>
      <c r="G2" s="15"/>
      <c r="H2" s="1"/>
      <c r="J2" s="4"/>
      <c r="K2" s="4"/>
    </row>
    <row r="3" spans="1:12" ht="15" customHeight="1" x14ac:dyDescent="0.25">
      <c r="A3" s="135"/>
      <c r="B3" s="136"/>
      <c r="C3" s="136"/>
      <c r="D3" s="136"/>
      <c r="E3" s="15"/>
      <c r="F3" s="15"/>
      <c r="G3" s="15"/>
      <c r="H3" s="1"/>
      <c r="J3" s="7" t="s">
        <v>31</v>
      </c>
      <c r="K3" s="39">
        <v>200</v>
      </c>
      <c r="L3"/>
    </row>
    <row r="4" spans="1:12" ht="15" customHeight="1" x14ac:dyDescent="0.25">
      <c r="A4" s="137"/>
      <c r="B4" s="138"/>
      <c r="C4" s="139" t="s">
        <v>3</v>
      </c>
      <c r="D4" s="139" t="s">
        <v>60</v>
      </c>
      <c r="E4" s="15"/>
      <c r="F4" s="15"/>
      <c r="G4" s="15"/>
      <c r="H4" s="1"/>
      <c r="K4" s="34"/>
      <c r="L4"/>
    </row>
    <row r="5" spans="1:12" ht="15" customHeight="1" thickBot="1" x14ac:dyDescent="0.3">
      <c r="A5" s="179"/>
      <c r="B5" s="141" t="s">
        <v>24</v>
      </c>
      <c r="C5" s="180"/>
      <c r="D5" s="152">
        <f>D7+D6</f>
        <v>155.86999999999998</v>
      </c>
      <c r="E5" s="163" t="s">
        <v>42</v>
      </c>
      <c r="F5" s="163"/>
      <c r="G5" s="89"/>
      <c r="H5" s="65"/>
      <c r="J5" s="7" t="s">
        <v>34</v>
      </c>
      <c r="K5" s="39">
        <v>3</v>
      </c>
      <c r="L5"/>
    </row>
    <row r="6" spans="1:12" ht="15" customHeight="1" thickBot="1" x14ac:dyDescent="0.3">
      <c r="A6" s="145" t="s">
        <v>0</v>
      </c>
      <c r="B6" s="146" t="s">
        <v>32</v>
      </c>
      <c r="C6" s="181">
        <f>K8</f>
        <v>30</v>
      </c>
      <c r="D6" s="148">
        <f>ROUND(D7*C6/(100-C6),2)</f>
        <v>46.76</v>
      </c>
      <c r="E6" s="149"/>
      <c r="F6" s="149"/>
      <c r="G6" s="98" t="s">
        <v>63</v>
      </c>
      <c r="H6" s="64"/>
      <c r="L6"/>
    </row>
    <row r="7" spans="1:12" ht="15" customHeight="1" thickBot="1" x14ac:dyDescent="0.3">
      <c r="A7" s="140" t="s">
        <v>2</v>
      </c>
      <c r="B7" s="141" t="s">
        <v>25</v>
      </c>
      <c r="C7" s="182"/>
      <c r="D7" s="152">
        <f>D9+D8</f>
        <v>109.10999999999999</v>
      </c>
      <c r="E7" s="149"/>
      <c r="F7" s="149"/>
      <c r="G7" s="102"/>
      <c r="H7" s="64"/>
      <c r="J7" s="3" t="s">
        <v>23</v>
      </c>
      <c r="K7" s="3" t="s">
        <v>3</v>
      </c>
      <c r="L7"/>
    </row>
    <row r="8" spans="1:12" ht="15" customHeight="1" thickBot="1" x14ac:dyDescent="0.3">
      <c r="A8" s="145" t="s">
        <v>0</v>
      </c>
      <c r="B8" s="146" t="s">
        <v>33</v>
      </c>
      <c r="C8" s="181">
        <f>K9</f>
        <v>3</v>
      </c>
      <c r="D8" s="148">
        <f>ROUND(D9*C8/(100-C8),2)</f>
        <v>3.27</v>
      </c>
      <c r="E8" s="149"/>
      <c r="F8" s="149"/>
      <c r="G8" s="98" t="s">
        <v>63</v>
      </c>
      <c r="H8" s="64"/>
      <c r="J8" s="4" t="s">
        <v>32</v>
      </c>
      <c r="K8" s="31">
        <v>30</v>
      </c>
    </row>
    <row r="9" spans="1:12" ht="15" customHeight="1" thickBot="1" x14ac:dyDescent="0.3">
      <c r="A9" s="140" t="s">
        <v>2</v>
      </c>
      <c r="B9" s="141" t="s">
        <v>26</v>
      </c>
      <c r="C9" s="183"/>
      <c r="D9" s="152">
        <f>D11-D10</f>
        <v>105.83999999999999</v>
      </c>
      <c r="E9" s="149"/>
      <c r="F9" s="149"/>
      <c r="G9" s="102"/>
      <c r="H9" s="64"/>
      <c r="J9" s="1" t="s">
        <v>33</v>
      </c>
      <c r="K9" s="32">
        <v>3</v>
      </c>
    </row>
    <row r="10" spans="1:12" ht="15" customHeight="1" thickBot="1" x14ac:dyDescent="0.3">
      <c r="A10" s="145" t="s">
        <v>1</v>
      </c>
      <c r="B10" s="146" t="s">
        <v>27</v>
      </c>
      <c r="C10" s="184"/>
      <c r="D10" s="181">
        <f>K5</f>
        <v>3</v>
      </c>
      <c r="E10" s="149"/>
      <c r="F10" s="149"/>
      <c r="G10" s="95"/>
      <c r="H10" s="64"/>
      <c r="J10" s="4" t="s">
        <v>29</v>
      </c>
      <c r="K10" s="31">
        <v>26</v>
      </c>
    </row>
    <row r="11" spans="1:12" ht="15" customHeight="1" thickBot="1" x14ac:dyDescent="0.3">
      <c r="A11" s="140" t="s">
        <v>2</v>
      </c>
      <c r="B11" s="141" t="s">
        <v>28</v>
      </c>
      <c r="C11" s="183"/>
      <c r="D11" s="152">
        <f>D13-D12</f>
        <v>108.83999999999999</v>
      </c>
      <c r="E11" s="149"/>
      <c r="F11" s="149"/>
      <c r="G11" s="102"/>
      <c r="H11" s="64"/>
      <c r="J11" s="1" t="s">
        <v>5</v>
      </c>
      <c r="K11" s="32">
        <v>12</v>
      </c>
    </row>
    <row r="12" spans="1:12" ht="15" customHeight="1" thickBot="1" x14ac:dyDescent="0.3">
      <c r="A12" s="145" t="s">
        <v>1</v>
      </c>
      <c r="B12" s="146" t="s">
        <v>29</v>
      </c>
      <c r="C12" s="181">
        <f>K10</f>
        <v>26</v>
      </c>
      <c r="D12" s="148">
        <f>ROUND(D13*C12/(100+C12),2)</f>
        <v>28.3</v>
      </c>
      <c r="E12" s="149"/>
      <c r="F12" s="149"/>
      <c r="G12" s="107" t="s">
        <v>64</v>
      </c>
      <c r="H12" s="64"/>
      <c r="J12" s="4" t="s">
        <v>7</v>
      </c>
      <c r="K12" s="31">
        <v>2</v>
      </c>
    </row>
    <row r="13" spans="1:12" ht="15" customHeight="1" thickBot="1" x14ac:dyDescent="0.3">
      <c r="A13" s="140" t="s">
        <v>2</v>
      </c>
      <c r="B13" s="141" t="s">
        <v>68</v>
      </c>
      <c r="C13" s="183"/>
      <c r="D13" s="152">
        <f>D15-D14</f>
        <v>137.13999999999999</v>
      </c>
      <c r="E13" s="149"/>
      <c r="F13" s="149"/>
      <c r="G13" s="102"/>
      <c r="H13" s="64"/>
      <c r="J13" s="1" t="s">
        <v>12</v>
      </c>
      <c r="K13" s="32">
        <v>2</v>
      </c>
    </row>
    <row r="14" spans="1:12" ht="15" customHeight="1" thickBot="1" x14ac:dyDescent="0.3">
      <c r="A14" s="145" t="s">
        <v>1</v>
      </c>
      <c r="B14" s="146" t="s">
        <v>5</v>
      </c>
      <c r="C14" s="181">
        <f>K11</f>
        <v>12</v>
      </c>
      <c r="D14" s="148">
        <f>ROUND(D15*C14/(100+C14),2)</f>
        <v>16.46</v>
      </c>
      <c r="E14" s="149"/>
      <c r="F14" s="149"/>
      <c r="G14" s="107" t="s">
        <v>64</v>
      </c>
      <c r="H14" s="64"/>
      <c r="J14" s="4" t="s">
        <v>9</v>
      </c>
      <c r="K14" s="31">
        <v>20</v>
      </c>
    </row>
    <row r="15" spans="1:12" ht="15" customHeight="1" thickBot="1" x14ac:dyDescent="0.3">
      <c r="A15" s="140" t="s">
        <v>2</v>
      </c>
      <c r="B15" s="141" t="s">
        <v>6</v>
      </c>
      <c r="C15" s="180"/>
      <c r="D15" s="152">
        <f>D19-D18</f>
        <v>153.6</v>
      </c>
      <c r="E15" s="149"/>
      <c r="F15" s="149"/>
      <c r="G15" s="102"/>
      <c r="H15" s="64"/>
      <c r="J15" s="1" t="s">
        <v>10</v>
      </c>
      <c r="K15" s="32">
        <v>19</v>
      </c>
    </row>
    <row r="16" spans="1:12" ht="15" customHeight="1" thickBot="1" x14ac:dyDescent="0.3">
      <c r="A16" s="145" t="s">
        <v>1</v>
      </c>
      <c r="B16" s="146" t="s">
        <v>7</v>
      </c>
      <c r="C16" s="185">
        <f>K12</f>
        <v>2</v>
      </c>
      <c r="D16" s="171">
        <f>ROUND(D19*C16/100,2)</f>
        <v>3.2</v>
      </c>
      <c r="E16" s="149"/>
      <c r="F16" s="149"/>
      <c r="G16" s="95"/>
      <c r="H16" s="64"/>
    </row>
    <row r="17" spans="1:11" ht="15" customHeight="1" thickBot="1" x14ac:dyDescent="0.3">
      <c r="A17" s="145" t="s">
        <v>1</v>
      </c>
      <c r="B17" s="146" t="s">
        <v>12</v>
      </c>
      <c r="C17" s="185">
        <f>K13</f>
        <v>2</v>
      </c>
      <c r="D17" s="171">
        <f>ROUND(D19*C17/100,2)</f>
        <v>3.2</v>
      </c>
      <c r="E17" s="149"/>
      <c r="F17" s="149"/>
      <c r="G17" s="102"/>
      <c r="H17" s="64"/>
    </row>
    <row r="18" spans="1:11" ht="15" customHeight="1" x14ac:dyDescent="0.25">
      <c r="A18" s="172"/>
      <c r="B18" s="173" t="s">
        <v>30</v>
      </c>
      <c r="C18" s="186">
        <f>SUM(C16:C17)</f>
        <v>4</v>
      </c>
      <c r="D18" s="175">
        <f>ROUND(D19*C18/100,2)</f>
        <v>6.4</v>
      </c>
      <c r="E18" s="149"/>
      <c r="F18" s="149"/>
      <c r="G18" s="102" t="s">
        <v>62</v>
      </c>
      <c r="H18" s="64"/>
    </row>
    <row r="19" spans="1:11" ht="15" customHeight="1" thickBot="1" x14ac:dyDescent="0.3">
      <c r="A19" s="140" t="s">
        <v>2</v>
      </c>
      <c r="B19" s="141" t="s">
        <v>8</v>
      </c>
      <c r="C19" s="183"/>
      <c r="D19" s="152">
        <f>D21-D20</f>
        <v>160</v>
      </c>
      <c r="E19" s="149"/>
      <c r="F19" s="149"/>
      <c r="G19" s="95"/>
      <c r="H19" s="64"/>
    </row>
    <row r="20" spans="1:11" ht="15" customHeight="1" thickBot="1" x14ac:dyDescent="0.3">
      <c r="A20" s="145" t="s">
        <v>1</v>
      </c>
      <c r="B20" s="146" t="s">
        <v>9</v>
      </c>
      <c r="C20" s="181">
        <f>K14</f>
        <v>20</v>
      </c>
      <c r="D20" s="175">
        <f>ROUND(D21*C20/100,2)</f>
        <v>40</v>
      </c>
      <c r="E20" s="149"/>
      <c r="F20" s="149"/>
      <c r="G20" s="102" t="s">
        <v>62</v>
      </c>
      <c r="H20" s="64"/>
    </row>
    <row r="21" spans="1:11" ht="15" customHeight="1" thickBot="1" x14ac:dyDescent="0.3">
      <c r="A21" s="140" t="s">
        <v>2</v>
      </c>
      <c r="B21" s="141" t="s">
        <v>31</v>
      </c>
      <c r="C21" s="183"/>
      <c r="D21" s="143">
        <f>K3</f>
        <v>200</v>
      </c>
      <c r="E21" s="144" t="s">
        <v>41</v>
      </c>
      <c r="F21" s="144"/>
      <c r="G21" s="95"/>
      <c r="H21" s="63"/>
      <c r="I21" s="54" t="s">
        <v>62</v>
      </c>
      <c r="J21" s="55" t="s">
        <v>65</v>
      </c>
      <c r="K21" s="56"/>
    </row>
    <row r="22" spans="1:11" ht="15" customHeight="1" thickBot="1" x14ac:dyDescent="0.3">
      <c r="A22" s="145" t="s">
        <v>1</v>
      </c>
      <c r="B22" s="146" t="s">
        <v>10</v>
      </c>
      <c r="C22" s="181">
        <f>K15</f>
        <v>19</v>
      </c>
      <c r="D22" s="175">
        <f>ROUND(D21*C22/100,2)</f>
        <v>38</v>
      </c>
      <c r="E22" s="15"/>
      <c r="F22" s="15"/>
      <c r="G22" s="131" t="s">
        <v>64</v>
      </c>
      <c r="H22" s="1"/>
      <c r="I22" s="57" t="s">
        <v>63</v>
      </c>
      <c r="J22" s="58" t="s">
        <v>66</v>
      </c>
      <c r="K22" s="59"/>
    </row>
    <row r="23" spans="1:11" ht="15" customHeight="1" thickBot="1" x14ac:dyDescent="0.3">
      <c r="A23" s="140" t="s">
        <v>2</v>
      </c>
      <c r="B23" s="141" t="s">
        <v>11</v>
      </c>
      <c r="C23" s="183"/>
      <c r="D23" s="152">
        <f>D21+D22</f>
        <v>238</v>
      </c>
      <c r="E23" s="187"/>
      <c r="F23" s="187"/>
      <c r="G23" s="187"/>
      <c r="I23" s="60" t="s">
        <v>64</v>
      </c>
      <c r="J23" s="61" t="s">
        <v>67</v>
      </c>
      <c r="K23" s="62"/>
    </row>
  </sheetData>
  <sheetProtection algorithmName="SHA-512" hashValue="/L4afTsun/YXDtgey3B9GTG1Kl0q3hcv1jAeltjb6VvSx0KKu+ovcA9pTVLNG/QqoOR1Pim0uidX0kIwlsnf4w==" saltValue="IBJKA3c7TR160kaa753p3A==" spinCount="100000" sheet="1" objects="1" scenarios="1"/>
  <protectedRanges>
    <protectedRange sqref="K3 K5 K8:K15" name="Bereich1"/>
  </protectedRanges>
  <mergeCells count="2">
    <mergeCell ref="A1:D1"/>
    <mergeCell ref="A2:D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3"/>
  <sheetViews>
    <sheetView showGridLines="0" showRowColHeaders="0" workbookViewId="0">
      <selection activeCell="K9" activeCellId="2" sqref="K3:K4 K6 K9:K16"/>
    </sheetView>
  </sheetViews>
  <sheetFormatPr baseColWidth="10" defaultRowHeight="15" x14ac:dyDescent="0.25"/>
  <cols>
    <col min="1" max="1" width="2.42578125" style="1" bestFit="1" customWidth="1"/>
    <col min="2" max="2" width="27.140625" style="1" bestFit="1" customWidth="1"/>
    <col min="3" max="3" width="13" style="1" customWidth="1"/>
    <col min="4" max="4" width="13" style="1" bestFit="1" customWidth="1"/>
    <col min="5" max="5" width="10.7109375" customWidth="1"/>
    <col min="6" max="6" width="2.7109375" style="1" customWidth="1"/>
    <col min="7" max="7" width="13" style="1" customWidth="1"/>
    <col min="8" max="8" width="2.7109375" style="66" customWidth="1"/>
    <col min="9" max="9" width="10.7109375" style="66" customWidth="1"/>
    <col min="10" max="10" width="31.85546875" style="1" bestFit="1" customWidth="1"/>
    <col min="11" max="11" width="13" style="1" customWidth="1"/>
    <col min="12" max="16384" width="11.42578125" style="1"/>
  </cols>
  <sheetData>
    <row r="1" spans="1:12" ht="15" customHeight="1" x14ac:dyDescent="0.25">
      <c r="A1" s="220" t="s">
        <v>39</v>
      </c>
      <c r="B1" s="221"/>
      <c r="C1" s="221"/>
      <c r="D1" s="221"/>
      <c r="E1" s="15"/>
      <c r="F1" s="15"/>
      <c r="G1" s="15"/>
      <c r="J1" s="3" t="s">
        <v>23</v>
      </c>
      <c r="K1" s="3" t="s">
        <v>60</v>
      </c>
    </row>
    <row r="2" spans="1:12" ht="15" customHeight="1" x14ac:dyDescent="0.25">
      <c r="A2" s="222"/>
      <c r="B2" s="223"/>
      <c r="C2" s="223"/>
      <c r="D2" s="223"/>
      <c r="E2" s="15"/>
      <c r="F2" s="15"/>
      <c r="G2" s="15"/>
      <c r="J2" s="4"/>
      <c r="K2" s="4"/>
    </row>
    <row r="3" spans="1:12" ht="15" customHeight="1" x14ac:dyDescent="0.25">
      <c r="A3" s="135"/>
      <c r="B3" s="136"/>
      <c r="C3" s="136"/>
      <c r="D3" s="136"/>
      <c r="E3" s="15"/>
      <c r="F3" s="15"/>
      <c r="G3" s="15"/>
      <c r="J3" s="1" t="s">
        <v>24</v>
      </c>
      <c r="K3" s="35">
        <v>155.87</v>
      </c>
      <c r="L3"/>
    </row>
    <row r="4" spans="1:12" ht="15" customHeight="1" thickBot="1" x14ac:dyDescent="0.3">
      <c r="A4" s="137"/>
      <c r="B4" s="138"/>
      <c r="C4" s="139" t="s">
        <v>3</v>
      </c>
      <c r="D4" s="139" t="s">
        <v>60</v>
      </c>
      <c r="E4" s="15"/>
      <c r="F4" s="15"/>
      <c r="G4" s="15"/>
      <c r="J4" s="4" t="s">
        <v>31</v>
      </c>
      <c r="K4" s="36">
        <v>200</v>
      </c>
      <c r="L4"/>
    </row>
    <row r="5" spans="1:12" ht="15" customHeight="1" thickBot="1" x14ac:dyDescent="0.3">
      <c r="A5" s="140"/>
      <c r="B5" s="141" t="s">
        <v>24</v>
      </c>
      <c r="C5" s="142"/>
      <c r="D5" s="143">
        <f>K3</f>
        <v>155.87</v>
      </c>
      <c r="E5" s="144" t="s">
        <v>41</v>
      </c>
      <c r="F5" s="15"/>
      <c r="G5" s="141"/>
      <c r="H5" s="74"/>
      <c r="I5" s="67"/>
      <c r="L5"/>
    </row>
    <row r="6" spans="1:12" ht="15" customHeight="1" thickBot="1" x14ac:dyDescent="0.3">
      <c r="A6" s="145" t="s">
        <v>0</v>
      </c>
      <c r="B6" s="146" t="s">
        <v>32</v>
      </c>
      <c r="C6" s="147">
        <f>K9</f>
        <v>30</v>
      </c>
      <c r="D6" s="148">
        <f>ROUND(D5*C6/100,2)</f>
        <v>46.76</v>
      </c>
      <c r="E6" s="149"/>
      <c r="F6" s="15"/>
      <c r="G6" s="150" t="s">
        <v>62</v>
      </c>
      <c r="H6" s="75"/>
      <c r="I6" s="68"/>
      <c r="J6" s="7" t="s">
        <v>34</v>
      </c>
      <c r="K6" s="37">
        <v>3</v>
      </c>
      <c r="L6"/>
    </row>
    <row r="7" spans="1:12" ht="15" customHeight="1" thickBot="1" x14ac:dyDescent="0.3">
      <c r="A7" s="140" t="s">
        <v>2</v>
      </c>
      <c r="B7" s="141" t="s">
        <v>25</v>
      </c>
      <c r="C7" s="151"/>
      <c r="D7" s="152">
        <f>D5-D6</f>
        <v>109.11000000000001</v>
      </c>
      <c r="E7" s="149"/>
      <c r="F7" s="15"/>
      <c r="G7" s="153"/>
      <c r="H7" s="74"/>
      <c r="I7" s="69"/>
      <c r="L7"/>
    </row>
    <row r="8" spans="1:12" ht="15" customHeight="1" thickBot="1" x14ac:dyDescent="0.3">
      <c r="A8" s="145" t="s">
        <v>0</v>
      </c>
      <c r="B8" s="146" t="s">
        <v>33</v>
      </c>
      <c r="C8" s="147">
        <f>K10</f>
        <v>3</v>
      </c>
      <c r="D8" s="148">
        <f>ROUND(D7*C8/100,2)</f>
        <v>3.27</v>
      </c>
      <c r="E8" s="149"/>
      <c r="F8" s="15"/>
      <c r="G8" s="150" t="s">
        <v>62</v>
      </c>
      <c r="H8" s="75"/>
      <c r="I8" s="68"/>
      <c r="J8" s="3" t="s">
        <v>23</v>
      </c>
      <c r="K8" s="3" t="s">
        <v>3</v>
      </c>
    </row>
    <row r="9" spans="1:12" ht="15" customHeight="1" thickBot="1" x14ac:dyDescent="0.3">
      <c r="A9" s="140" t="s">
        <v>2</v>
      </c>
      <c r="B9" s="141" t="s">
        <v>26</v>
      </c>
      <c r="C9" s="142"/>
      <c r="D9" s="152">
        <f>D7-D8</f>
        <v>105.84000000000002</v>
      </c>
      <c r="E9" s="149"/>
      <c r="F9" s="15"/>
      <c r="G9" s="153"/>
      <c r="H9" s="74"/>
      <c r="I9" s="69"/>
      <c r="J9" s="4" t="s">
        <v>32</v>
      </c>
      <c r="K9" s="31">
        <v>30</v>
      </c>
    </row>
    <row r="10" spans="1:12" ht="15" customHeight="1" thickBot="1" x14ac:dyDescent="0.3">
      <c r="A10" s="145" t="s">
        <v>1</v>
      </c>
      <c r="B10" s="146" t="s">
        <v>27</v>
      </c>
      <c r="C10" s="154"/>
      <c r="D10" s="147">
        <f>K6</f>
        <v>3</v>
      </c>
      <c r="E10" s="149"/>
      <c r="F10" s="15"/>
      <c r="G10" s="155"/>
      <c r="H10" s="75"/>
      <c r="I10" s="68"/>
      <c r="J10" s="1" t="s">
        <v>33</v>
      </c>
      <c r="K10" s="32">
        <v>3</v>
      </c>
    </row>
    <row r="11" spans="1:12" ht="15" customHeight="1" thickBot="1" x14ac:dyDescent="0.3">
      <c r="A11" s="140" t="s">
        <v>2</v>
      </c>
      <c r="B11" s="141" t="s">
        <v>28</v>
      </c>
      <c r="C11" s="142"/>
      <c r="D11" s="152">
        <f>D9+D10</f>
        <v>108.84000000000002</v>
      </c>
      <c r="E11" s="149"/>
      <c r="F11" s="15"/>
      <c r="G11" s="153"/>
      <c r="H11" s="74"/>
      <c r="I11" s="69"/>
      <c r="J11" s="4" t="s">
        <v>35</v>
      </c>
      <c r="K11" s="31">
        <v>26</v>
      </c>
    </row>
    <row r="12" spans="1:12" ht="15" customHeight="1" thickBot="1" x14ac:dyDescent="0.3">
      <c r="A12" s="145" t="s">
        <v>1</v>
      </c>
      <c r="B12" s="146" t="s">
        <v>29</v>
      </c>
      <c r="C12" s="147">
        <f>K11</f>
        <v>26</v>
      </c>
      <c r="D12" s="148">
        <f>ROUND(D11*C12/100,2)</f>
        <v>28.3</v>
      </c>
      <c r="E12" s="149"/>
      <c r="F12" s="15"/>
      <c r="G12" s="150" t="s">
        <v>62</v>
      </c>
      <c r="H12" s="75"/>
      <c r="I12" s="68"/>
      <c r="J12" s="1" t="s">
        <v>5</v>
      </c>
      <c r="K12" s="32">
        <v>12</v>
      </c>
    </row>
    <row r="13" spans="1:12" ht="15" customHeight="1" thickBot="1" x14ac:dyDescent="0.3">
      <c r="A13" s="156" t="s">
        <v>2</v>
      </c>
      <c r="B13" s="157" t="s">
        <v>68</v>
      </c>
      <c r="C13" s="142"/>
      <c r="D13" s="152">
        <f>D11+D12</f>
        <v>137.14000000000001</v>
      </c>
      <c r="E13" s="149"/>
      <c r="F13" s="15"/>
      <c r="G13" s="158"/>
      <c r="H13" s="74"/>
      <c r="I13" s="70"/>
      <c r="J13" s="4" t="s">
        <v>7</v>
      </c>
      <c r="K13" s="31">
        <v>2</v>
      </c>
    </row>
    <row r="14" spans="1:12" ht="15" customHeight="1" thickTop="1" thickBot="1" x14ac:dyDescent="0.3">
      <c r="A14" s="159" t="s">
        <v>1</v>
      </c>
      <c r="B14" s="160" t="s">
        <v>40</v>
      </c>
      <c r="C14" s="161">
        <f>ROUND(D14/D13*100,2)</f>
        <v>12</v>
      </c>
      <c r="D14" s="162">
        <f>D15-D13</f>
        <v>16.45999999999998</v>
      </c>
      <c r="E14" s="163" t="s">
        <v>42</v>
      </c>
      <c r="F14" s="164"/>
      <c r="G14" s="165" t="str">
        <f>IF(C14&gt;0,"Gewinn","Verlust")</f>
        <v>Gewinn</v>
      </c>
      <c r="H14" s="75"/>
      <c r="I14" s="71"/>
      <c r="J14" s="1" t="s">
        <v>12</v>
      </c>
      <c r="K14" s="32">
        <v>2</v>
      </c>
    </row>
    <row r="15" spans="1:12" ht="15" customHeight="1" thickTop="1" thickBot="1" x14ac:dyDescent="0.3">
      <c r="A15" s="166" t="s">
        <v>2</v>
      </c>
      <c r="B15" s="167" t="s">
        <v>6</v>
      </c>
      <c r="C15" s="151"/>
      <c r="D15" s="168">
        <f>D19-D18</f>
        <v>153.6</v>
      </c>
      <c r="E15" s="149"/>
      <c r="F15" s="15"/>
      <c r="G15" s="169"/>
      <c r="H15" s="74"/>
      <c r="I15" s="70"/>
      <c r="J15" s="4" t="s">
        <v>9</v>
      </c>
      <c r="K15" s="31">
        <v>20</v>
      </c>
    </row>
    <row r="16" spans="1:12" ht="15" customHeight="1" thickBot="1" x14ac:dyDescent="0.3">
      <c r="A16" s="145" t="s">
        <v>1</v>
      </c>
      <c r="B16" s="146" t="s">
        <v>7</v>
      </c>
      <c r="C16" s="170">
        <f>K13</f>
        <v>2</v>
      </c>
      <c r="D16" s="171">
        <f>ROUND(D19*C16/100,2)</f>
        <v>3.2</v>
      </c>
      <c r="E16" s="149"/>
      <c r="F16" s="15"/>
      <c r="G16" s="155"/>
      <c r="H16" s="75"/>
      <c r="I16" s="72"/>
      <c r="J16" s="7" t="s">
        <v>10</v>
      </c>
      <c r="K16" s="38">
        <v>19</v>
      </c>
    </row>
    <row r="17" spans="1:11" ht="15" customHeight="1" thickBot="1" x14ac:dyDescent="0.3">
      <c r="A17" s="145" t="s">
        <v>1</v>
      </c>
      <c r="B17" s="146" t="s">
        <v>12</v>
      </c>
      <c r="C17" s="170">
        <f>K14</f>
        <v>2</v>
      </c>
      <c r="D17" s="171">
        <f>ROUND(D19*C17/100,2)</f>
        <v>3.2</v>
      </c>
      <c r="E17" s="149"/>
      <c r="F17" s="15"/>
      <c r="G17" s="155"/>
      <c r="H17" s="75"/>
      <c r="I17" s="70"/>
    </row>
    <row r="18" spans="1:11" ht="15" customHeight="1" x14ac:dyDescent="0.25">
      <c r="A18" s="172"/>
      <c r="B18" s="173" t="s">
        <v>30</v>
      </c>
      <c r="C18" s="174">
        <f>SUM(C16:C17)</f>
        <v>4</v>
      </c>
      <c r="D18" s="175">
        <f>ROUND(D19*C18/100,2)</f>
        <v>6.4</v>
      </c>
      <c r="E18" s="149"/>
      <c r="F18" s="15"/>
      <c r="G18" s="176" t="s">
        <v>62</v>
      </c>
      <c r="H18" s="75"/>
      <c r="I18" s="69"/>
    </row>
    <row r="19" spans="1:11" ht="15" customHeight="1" thickBot="1" x14ac:dyDescent="0.3">
      <c r="A19" s="140" t="s">
        <v>2</v>
      </c>
      <c r="B19" s="141" t="s">
        <v>8</v>
      </c>
      <c r="C19" s="142"/>
      <c r="D19" s="177">
        <f>D21-D20</f>
        <v>160</v>
      </c>
      <c r="E19" s="149"/>
      <c r="F19" s="15"/>
      <c r="G19" s="153"/>
      <c r="H19" s="74"/>
      <c r="I19" s="68"/>
    </row>
    <row r="20" spans="1:11" ht="15" customHeight="1" thickBot="1" x14ac:dyDescent="0.3">
      <c r="A20" s="145" t="s">
        <v>1</v>
      </c>
      <c r="B20" s="146" t="s">
        <v>9</v>
      </c>
      <c r="C20" s="147">
        <f>K15</f>
        <v>20</v>
      </c>
      <c r="D20" s="175">
        <f>ROUND(D21*C20/100,2)</f>
        <v>40</v>
      </c>
      <c r="E20" s="149"/>
      <c r="F20" s="15"/>
      <c r="G20" s="150" t="s">
        <v>62</v>
      </c>
      <c r="H20" s="75"/>
      <c r="I20" s="69"/>
    </row>
    <row r="21" spans="1:11" ht="15" customHeight="1" thickBot="1" x14ac:dyDescent="0.3">
      <c r="A21" s="140" t="s">
        <v>2</v>
      </c>
      <c r="B21" s="141" t="s">
        <v>31</v>
      </c>
      <c r="C21" s="142"/>
      <c r="D21" s="143">
        <f>K4</f>
        <v>200</v>
      </c>
      <c r="E21" s="144" t="s">
        <v>41</v>
      </c>
      <c r="F21" s="15"/>
      <c r="G21" s="153"/>
      <c r="H21" s="74"/>
      <c r="I21" s="54" t="s">
        <v>62</v>
      </c>
      <c r="J21" s="55" t="s">
        <v>65</v>
      </c>
      <c r="K21" s="56"/>
    </row>
    <row r="22" spans="1:11" ht="15" customHeight="1" thickBot="1" x14ac:dyDescent="0.3">
      <c r="A22" s="145" t="s">
        <v>1</v>
      </c>
      <c r="B22" s="146" t="s">
        <v>10</v>
      </c>
      <c r="C22" s="147">
        <f>K16</f>
        <v>19</v>
      </c>
      <c r="D22" s="175">
        <f>ROUND(D21*C22/100,2)</f>
        <v>38</v>
      </c>
      <c r="E22" s="15"/>
      <c r="F22" s="15"/>
      <c r="G22" s="178" t="s">
        <v>64</v>
      </c>
      <c r="H22" s="75"/>
      <c r="I22" s="57" t="s">
        <v>63</v>
      </c>
      <c r="J22" s="58" t="s">
        <v>66</v>
      </c>
      <c r="K22" s="59"/>
    </row>
    <row r="23" spans="1:11" ht="15" customHeight="1" thickBot="1" x14ac:dyDescent="0.3">
      <c r="A23" s="140" t="s">
        <v>2</v>
      </c>
      <c r="B23" s="141" t="s">
        <v>11</v>
      </c>
      <c r="C23" s="142"/>
      <c r="D23" s="152">
        <f>D21+D22</f>
        <v>238</v>
      </c>
      <c r="E23" s="15"/>
      <c r="F23" s="15"/>
      <c r="G23" s="141"/>
      <c r="H23" s="74"/>
      <c r="I23" s="60" t="s">
        <v>64</v>
      </c>
      <c r="J23" s="61" t="s">
        <v>67</v>
      </c>
      <c r="K23" s="62"/>
    </row>
  </sheetData>
  <sheetProtection algorithmName="SHA-512" hashValue="QlaJaKzcE0ADBlTA6qoWcbA2ZrH/TavlRYxdITyAiBe3SB6b2NCn+hyanyENqs+cxfc/Uij/Z3nHCsrmtz49kw==" saltValue="xAm2mShbZqVFTlUXskJI/A==" spinCount="100000" sheet="1" objects="1" scenarios="1"/>
  <protectedRanges>
    <protectedRange sqref="K3:K4 K6 K9:K16" name="Bereich1"/>
  </protectedRanges>
  <mergeCells count="2">
    <mergeCell ref="A1:D1"/>
    <mergeCell ref="A2:D2"/>
  </mergeCells>
  <conditionalFormatting sqref="G14">
    <cfRule type="expression" dxfId="1" priority="1">
      <formula>$C$14&lt;=0</formula>
    </cfRule>
    <cfRule type="expression" dxfId="0" priority="2">
      <formula>$C$14&gt;0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35"/>
  <sheetViews>
    <sheetView showGridLines="0" showRowColHeaders="0" tabSelected="1" workbookViewId="0">
      <selection activeCell="I22" sqref="I22"/>
    </sheetView>
  </sheetViews>
  <sheetFormatPr baseColWidth="10" defaultRowHeight="15" x14ac:dyDescent="0.25"/>
  <cols>
    <col min="1" max="1" width="2.42578125" style="1" customWidth="1"/>
    <col min="2" max="2" width="25.7109375" style="1" bestFit="1" customWidth="1"/>
    <col min="3" max="9" width="13" style="1" customWidth="1"/>
    <col min="10" max="10" width="10.7109375" style="1" customWidth="1"/>
    <col min="11" max="11" width="11.42578125" style="1"/>
    <col min="12" max="12" width="31.85546875" style="1" customWidth="1"/>
    <col min="13" max="13" width="13" style="1" customWidth="1"/>
    <col min="14" max="16384" width="11.42578125" style="1"/>
  </cols>
  <sheetData>
    <row r="1" spans="1:13" x14ac:dyDescent="0.25">
      <c r="A1" s="81"/>
      <c r="B1" s="81"/>
      <c r="C1" s="81"/>
      <c r="D1" s="224" t="s">
        <v>44</v>
      </c>
      <c r="E1" s="224"/>
      <c r="F1" s="224" t="s">
        <v>43</v>
      </c>
      <c r="G1" s="224"/>
      <c r="H1" s="224" t="s">
        <v>45</v>
      </c>
      <c r="I1" s="224"/>
      <c r="L1" s="3" t="s">
        <v>23</v>
      </c>
      <c r="M1" s="3" t="s">
        <v>60</v>
      </c>
    </row>
    <row r="2" spans="1:13" x14ac:dyDescent="0.25">
      <c r="A2" s="82"/>
      <c r="B2" s="83"/>
      <c r="C2" s="83"/>
      <c r="D2" s="83"/>
      <c r="E2" s="83"/>
      <c r="F2" s="18"/>
      <c r="G2" s="18"/>
      <c r="H2" s="18"/>
      <c r="I2" s="18"/>
      <c r="L2" s="4"/>
      <c r="M2" s="4"/>
    </row>
    <row r="3" spans="1:13" x14ac:dyDescent="0.25">
      <c r="A3" s="84"/>
      <c r="B3" s="15"/>
      <c r="C3" s="15"/>
      <c r="D3" s="15"/>
      <c r="E3" s="15"/>
      <c r="F3" s="15"/>
      <c r="G3" s="15"/>
      <c r="H3" s="15"/>
      <c r="I3" s="15"/>
      <c r="L3" s="1" t="s">
        <v>24</v>
      </c>
      <c r="M3" s="35">
        <v>155.87</v>
      </c>
    </row>
    <row r="4" spans="1:13" ht="15.75" thickBot="1" x14ac:dyDescent="0.3">
      <c r="A4" s="27"/>
      <c r="B4" s="85"/>
      <c r="C4" s="85"/>
      <c r="D4" s="86" t="s">
        <v>3</v>
      </c>
      <c r="E4" s="86" t="s">
        <v>60</v>
      </c>
      <c r="F4" s="85"/>
      <c r="G4" s="86" t="s">
        <v>60</v>
      </c>
      <c r="H4" s="87"/>
      <c r="I4" s="86" t="s">
        <v>60</v>
      </c>
      <c r="L4" s="4" t="s">
        <v>31</v>
      </c>
      <c r="M4" s="36">
        <v>200</v>
      </c>
    </row>
    <row r="5" spans="1:13" ht="15.75" thickBot="1" x14ac:dyDescent="0.3">
      <c r="A5" s="15"/>
      <c r="B5" s="88" t="s">
        <v>24</v>
      </c>
      <c r="C5" s="89"/>
      <c r="D5" s="90"/>
      <c r="E5" s="91">
        <f>M3</f>
        <v>155.87</v>
      </c>
      <c r="F5" s="89"/>
      <c r="G5" s="91">
        <f>M3</f>
        <v>155.87</v>
      </c>
      <c r="H5" s="89"/>
      <c r="I5" s="92">
        <f>I7+I6</f>
        <v>155.86999999999998</v>
      </c>
      <c r="J5" s="13"/>
      <c r="M5" s="34"/>
    </row>
    <row r="6" spans="1:13" ht="15.75" thickBot="1" x14ac:dyDescent="0.3">
      <c r="A6" s="93" t="s">
        <v>0</v>
      </c>
      <c r="B6" s="94" t="str">
        <f>L9</f>
        <v>Liefererrabatt</v>
      </c>
      <c r="C6" s="95" t="s">
        <v>62</v>
      </c>
      <c r="D6" s="96">
        <f>M9</f>
        <v>30</v>
      </c>
      <c r="E6" s="97">
        <f>ROUND(E5*D6/100,2)</f>
        <v>46.76</v>
      </c>
      <c r="F6" s="95" t="s">
        <v>62</v>
      </c>
      <c r="G6" s="97">
        <f>ROUND(G5*D6/100,2)</f>
        <v>46.76</v>
      </c>
      <c r="H6" s="98" t="s">
        <v>63</v>
      </c>
      <c r="I6" s="99">
        <f>ROUND(I7/(100-D6)*D6,2)</f>
        <v>46.76</v>
      </c>
      <c r="J6" s="13"/>
      <c r="L6" s="4" t="s">
        <v>34</v>
      </c>
      <c r="M6" s="36">
        <v>3</v>
      </c>
    </row>
    <row r="7" spans="1:13" ht="15.75" thickBot="1" x14ac:dyDescent="0.3">
      <c r="A7" s="100" t="s">
        <v>2</v>
      </c>
      <c r="B7" s="101" t="s">
        <v>25</v>
      </c>
      <c r="C7" s="102"/>
      <c r="D7" s="103"/>
      <c r="E7" s="104">
        <f>E5-E6</f>
        <v>109.11000000000001</v>
      </c>
      <c r="F7" s="102"/>
      <c r="G7" s="104">
        <f>G5-G6</f>
        <v>109.11000000000001</v>
      </c>
      <c r="H7" s="102"/>
      <c r="I7" s="105">
        <f>I9+I8</f>
        <v>109.10999999999999</v>
      </c>
      <c r="J7" s="13"/>
    </row>
    <row r="8" spans="1:13" ht="15.75" thickBot="1" x14ac:dyDescent="0.3">
      <c r="A8" s="93" t="s">
        <v>0</v>
      </c>
      <c r="B8" s="94" t="str">
        <f>L10</f>
        <v>Liefererskonto</v>
      </c>
      <c r="C8" s="95" t="s">
        <v>62</v>
      </c>
      <c r="D8" s="96">
        <f>M10</f>
        <v>3</v>
      </c>
      <c r="E8" s="97">
        <f>ROUND(E7*D8/100,2)</f>
        <v>3.27</v>
      </c>
      <c r="F8" s="95" t="s">
        <v>62</v>
      </c>
      <c r="G8" s="97">
        <f>ROUND(G7*D8/100,2)</f>
        <v>3.27</v>
      </c>
      <c r="H8" s="98" t="s">
        <v>63</v>
      </c>
      <c r="I8" s="99">
        <f>ROUND(I9*D8/(100-D8),2)</f>
        <v>3.27</v>
      </c>
      <c r="J8" s="13"/>
      <c r="L8" s="3" t="s">
        <v>23</v>
      </c>
      <c r="M8" s="3" t="s">
        <v>3</v>
      </c>
    </row>
    <row r="9" spans="1:13" ht="15.75" thickBot="1" x14ac:dyDescent="0.3">
      <c r="A9" s="100" t="s">
        <v>2</v>
      </c>
      <c r="B9" s="101" t="s">
        <v>26</v>
      </c>
      <c r="C9" s="102"/>
      <c r="D9" s="103"/>
      <c r="E9" s="104">
        <f>E7-E8</f>
        <v>105.84000000000002</v>
      </c>
      <c r="F9" s="102"/>
      <c r="G9" s="104">
        <f>G7-G8</f>
        <v>105.84000000000002</v>
      </c>
      <c r="H9" s="102"/>
      <c r="I9" s="105">
        <f>I11-I10</f>
        <v>105.83999999999999</v>
      </c>
      <c r="J9" s="13"/>
      <c r="L9" s="4" t="s">
        <v>32</v>
      </c>
      <c r="M9" s="31">
        <v>30</v>
      </c>
    </row>
    <row r="10" spans="1:13" ht="15.75" thickBot="1" x14ac:dyDescent="0.3">
      <c r="A10" s="93" t="s">
        <v>1</v>
      </c>
      <c r="B10" s="94" t="str">
        <f>L6</f>
        <v>Bezugskosten (je Stück)</v>
      </c>
      <c r="C10" s="95"/>
      <c r="D10" s="106"/>
      <c r="E10" s="96">
        <f>M6</f>
        <v>3</v>
      </c>
      <c r="F10" s="95"/>
      <c r="G10" s="96">
        <f>M6</f>
        <v>3</v>
      </c>
      <c r="H10" s="95"/>
      <c r="I10" s="96">
        <f>M6</f>
        <v>3</v>
      </c>
      <c r="J10" s="13"/>
      <c r="L10" s="1" t="s">
        <v>33</v>
      </c>
      <c r="M10" s="32">
        <v>3</v>
      </c>
    </row>
    <row r="11" spans="1:13" ht="15.75" thickBot="1" x14ac:dyDescent="0.3">
      <c r="A11" s="100" t="s">
        <v>2</v>
      </c>
      <c r="B11" s="101" t="s">
        <v>28</v>
      </c>
      <c r="C11" s="102"/>
      <c r="D11" s="103"/>
      <c r="E11" s="104">
        <f>E9+E10</f>
        <v>108.84000000000002</v>
      </c>
      <c r="F11" s="102"/>
      <c r="G11" s="104">
        <f>G9+G10</f>
        <v>108.84000000000002</v>
      </c>
      <c r="H11" s="102"/>
      <c r="I11" s="105">
        <f>I13-I12</f>
        <v>108.83999999999999</v>
      </c>
      <c r="J11" s="13"/>
      <c r="L11" s="4" t="s">
        <v>29</v>
      </c>
      <c r="M11" s="31">
        <v>26</v>
      </c>
    </row>
    <row r="12" spans="1:13" ht="15.75" thickBot="1" x14ac:dyDescent="0.3">
      <c r="A12" s="93" t="s">
        <v>1</v>
      </c>
      <c r="B12" s="94" t="str">
        <f>L11</f>
        <v>Handlungskostenzuschlag</v>
      </c>
      <c r="C12" s="95" t="s">
        <v>62</v>
      </c>
      <c r="D12" s="96">
        <f>M11</f>
        <v>26</v>
      </c>
      <c r="E12" s="97">
        <f>ROUND(E11*D12/100,2)</f>
        <v>28.3</v>
      </c>
      <c r="F12" s="95" t="s">
        <v>62</v>
      </c>
      <c r="G12" s="97">
        <f>ROUND(G11/100*D12,2)</f>
        <v>28.3</v>
      </c>
      <c r="H12" s="107" t="s">
        <v>64</v>
      </c>
      <c r="I12" s="99">
        <f>ROUND(I13/(100+D12)*D12,2)</f>
        <v>28.3</v>
      </c>
      <c r="J12" s="13"/>
      <c r="L12" s="1" t="s">
        <v>5</v>
      </c>
      <c r="M12" s="32">
        <v>12</v>
      </c>
    </row>
    <row r="13" spans="1:13" ht="15.75" thickBot="1" x14ac:dyDescent="0.3">
      <c r="A13" s="100" t="s">
        <v>2</v>
      </c>
      <c r="B13" s="101" t="s">
        <v>68</v>
      </c>
      <c r="C13" s="102"/>
      <c r="D13" s="103"/>
      <c r="E13" s="104">
        <f>E11+E12</f>
        <v>137.14000000000001</v>
      </c>
      <c r="F13" s="108"/>
      <c r="G13" s="104">
        <f>SUM(G11:G12)</f>
        <v>137.14000000000001</v>
      </c>
      <c r="H13" s="102"/>
      <c r="I13" s="105">
        <f>I15-I14</f>
        <v>137.13999999999999</v>
      </c>
      <c r="J13" s="13"/>
      <c r="L13" s="4" t="s">
        <v>7</v>
      </c>
      <c r="M13" s="31">
        <v>2</v>
      </c>
    </row>
    <row r="14" spans="1:13" ht="15.75" thickBot="1" x14ac:dyDescent="0.3">
      <c r="A14" s="93" t="s">
        <v>1</v>
      </c>
      <c r="B14" s="94" t="str">
        <f>L12</f>
        <v>Gewinnzuschlag</v>
      </c>
      <c r="C14" s="109" t="s">
        <v>62</v>
      </c>
      <c r="D14" s="96">
        <f>M12</f>
        <v>12</v>
      </c>
      <c r="E14" s="97">
        <f>ROUND(E13*D14/100,2)</f>
        <v>16.46</v>
      </c>
      <c r="F14" s="110">
        <f>ROUND(G14*100/G13,2)</f>
        <v>12</v>
      </c>
      <c r="G14" s="111">
        <f>G15-G13</f>
        <v>16.45999999999998</v>
      </c>
      <c r="H14" s="107" t="s">
        <v>64</v>
      </c>
      <c r="I14" s="99">
        <f>ROUND(I15*D14/(100+D14),2)</f>
        <v>16.46</v>
      </c>
      <c r="J14" s="13"/>
      <c r="L14" s="1" t="s">
        <v>12</v>
      </c>
      <c r="M14" s="32">
        <v>2</v>
      </c>
    </row>
    <row r="15" spans="1:13" ht="15.75" thickBot="1" x14ac:dyDescent="0.3">
      <c r="A15" s="100" t="s">
        <v>2</v>
      </c>
      <c r="B15" s="101" t="s">
        <v>6</v>
      </c>
      <c r="C15" s="102"/>
      <c r="D15" s="103"/>
      <c r="E15" s="104">
        <f>E13+E14</f>
        <v>153.60000000000002</v>
      </c>
      <c r="F15" s="108"/>
      <c r="G15" s="104">
        <f>G19-G18</f>
        <v>153.6</v>
      </c>
      <c r="H15" s="102"/>
      <c r="I15" s="105">
        <f>I19-I18</f>
        <v>153.6</v>
      </c>
      <c r="J15" s="13"/>
      <c r="L15" s="4" t="s">
        <v>9</v>
      </c>
      <c r="M15" s="31">
        <v>20</v>
      </c>
    </row>
    <row r="16" spans="1:13" ht="15.75" thickBot="1" x14ac:dyDescent="0.3">
      <c r="A16" s="93" t="s">
        <v>1</v>
      </c>
      <c r="B16" s="112" t="str">
        <f>L13</f>
        <v>Kundenskonto</v>
      </c>
      <c r="C16" s="95"/>
      <c r="D16" s="113">
        <f>M13</f>
        <v>2</v>
      </c>
      <c r="E16" s="114">
        <f>ROUND(E15/(100-D16-D17)*D16,2)</f>
        <v>3.2</v>
      </c>
      <c r="F16" s="115"/>
      <c r="G16" s="114">
        <f>ROUND(G19*D16/100,2)</f>
        <v>3.2</v>
      </c>
      <c r="H16" s="95"/>
      <c r="I16" s="114">
        <f>ROUND(I19*D16/100,2)</f>
        <v>3.2</v>
      </c>
      <c r="J16" s="13"/>
      <c r="L16" s="30" t="s">
        <v>10</v>
      </c>
      <c r="M16" s="33">
        <v>19</v>
      </c>
    </row>
    <row r="17" spans="1:13" ht="15.75" thickBot="1" x14ac:dyDescent="0.3">
      <c r="A17" s="116" t="s">
        <v>1</v>
      </c>
      <c r="B17" s="117" t="str">
        <f>L14</f>
        <v>Vertreterprovision</v>
      </c>
      <c r="C17" s="102"/>
      <c r="D17" s="118">
        <f>M14</f>
        <v>2</v>
      </c>
      <c r="E17" s="119">
        <f>ROUND(E15*D17/(100-D17-D16),2)</f>
        <v>3.2</v>
      </c>
      <c r="F17" s="108"/>
      <c r="G17" s="119">
        <f>ROUND(G19*D17/100,2)</f>
        <v>3.2</v>
      </c>
      <c r="H17" s="102"/>
      <c r="I17" s="119">
        <f>ROUND(I19*D17/100,2)</f>
        <v>3.2</v>
      </c>
      <c r="J17" s="13"/>
      <c r="L17"/>
      <c r="M17"/>
    </row>
    <row r="18" spans="1:13" x14ac:dyDescent="0.25">
      <c r="A18" s="120"/>
      <c r="B18" s="85" t="s">
        <v>30</v>
      </c>
      <c r="C18" s="121" t="s">
        <v>63</v>
      </c>
      <c r="D18" s="122">
        <f>D16+D17</f>
        <v>4</v>
      </c>
      <c r="E18" s="123">
        <f>ROUND(E15*D18/(100-D18),2)</f>
        <v>6.4</v>
      </c>
      <c r="F18" s="95" t="s">
        <v>62</v>
      </c>
      <c r="G18" s="123">
        <f>ROUND(G19*D18/100,2)</f>
        <v>6.4</v>
      </c>
      <c r="H18" s="95" t="s">
        <v>62</v>
      </c>
      <c r="I18" s="124">
        <f>ROUND(I19*D18/100,2)</f>
        <v>6.4</v>
      </c>
      <c r="J18" s="13"/>
    </row>
    <row r="19" spans="1:13" ht="15.75" thickBot="1" x14ac:dyDescent="0.3">
      <c r="A19" s="120" t="s">
        <v>2</v>
      </c>
      <c r="B19" s="85" t="s">
        <v>8</v>
      </c>
      <c r="C19" s="125"/>
      <c r="D19" s="122"/>
      <c r="E19" s="123">
        <f>E15+E18</f>
        <v>160.00000000000003</v>
      </c>
      <c r="F19" s="95"/>
      <c r="G19" s="123">
        <f>G21-G20</f>
        <v>160</v>
      </c>
      <c r="H19" s="95"/>
      <c r="I19" s="124">
        <f>I21-I20</f>
        <v>160</v>
      </c>
      <c r="J19" s="13"/>
    </row>
    <row r="20" spans="1:13" ht="15.75" thickBot="1" x14ac:dyDescent="0.3">
      <c r="A20" s="116" t="s">
        <v>1</v>
      </c>
      <c r="B20" s="88" t="str">
        <f>L15</f>
        <v>Kundenrabatt</v>
      </c>
      <c r="C20" s="126" t="s">
        <v>63</v>
      </c>
      <c r="D20" s="96">
        <f>M15</f>
        <v>20</v>
      </c>
      <c r="E20" s="127">
        <f>ROUND((E19/(100-D20)*D20),2)</f>
        <v>40</v>
      </c>
      <c r="F20" s="102" t="s">
        <v>62</v>
      </c>
      <c r="G20" s="127">
        <f>ROUND(G21*D20/100,2)</f>
        <v>40</v>
      </c>
      <c r="H20" s="102" t="s">
        <v>62</v>
      </c>
      <c r="I20" s="92">
        <f>ROUND(I21*D20/100,2)</f>
        <v>40</v>
      </c>
      <c r="J20" s="13"/>
    </row>
    <row r="21" spans="1:13" ht="15.75" thickBot="1" x14ac:dyDescent="0.3">
      <c r="A21" s="120" t="s">
        <v>2</v>
      </c>
      <c r="B21" s="85" t="s">
        <v>31</v>
      </c>
      <c r="C21" s="128"/>
      <c r="D21" s="122"/>
      <c r="E21" s="123">
        <f>E19+E20</f>
        <v>200.00000000000003</v>
      </c>
      <c r="F21" s="129"/>
      <c r="G21" s="130">
        <f>M4</f>
        <v>200</v>
      </c>
      <c r="H21" s="95"/>
      <c r="I21" s="130">
        <f>M4</f>
        <v>200</v>
      </c>
      <c r="J21" s="13"/>
      <c r="K21" s="54" t="s">
        <v>62</v>
      </c>
      <c r="L21" s="55" t="s">
        <v>65</v>
      </c>
      <c r="M21" s="56"/>
    </row>
    <row r="22" spans="1:13" ht="15.75" thickBot="1" x14ac:dyDescent="0.3">
      <c r="A22" s="116" t="s">
        <v>1</v>
      </c>
      <c r="B22" s="15" t="str">
        <f>L16</f>
        <v>Umsatzsteuer</v>
      </c>
      <c r="C22" s="131" t="s">
        <v>64</v>
      </c>
      <c r="D22" s="96">
        <f>M16</f>
        <v>19</v>
      </c>
      <c r="E22" s="132">
        <f>ROUND(E21*$D$22/100,2)</f>
        <v>38</v>
      </c>
      <c r="F22" s="131" t="s">
        <v>64</v>
      </c>
      <c r="G22" s="132">
        <f>ROUND(G21*$D$22/100,2)</f>
        <v>38</v>
      </c>
      <c r="H22" s="131" t="s">
        <v>64</v>
      </c>
      <c r="I22" s="132">
        <f>ROUND(I21*$D$22/100,2)</f>
        <v>38</v>
      </c>
      <c r="J22" s="13"/>
      <c r="K22" s="57" t="s">
        <v>63</v>
      </c>
      <c r="L22" s="58" t="s">
        <v>66</v>
      </c>
      <c r="M22" s="59"/>
    </row>
    <row r="23" spans="1:13" ht="15.75" thickBot="1" x14ac:dyDescent="0.3">
      <c r="A23" s="120" t="s">
        <v>2</v>
      </c>
      <c r="B23" s="27" t="s">
        <v>11</v>
      </c>
      <c r="C23" s="27"/>
      <c r="D23" s="133"/>
      <c r="E23" s="134">
        <f>E21+E22</f>
        <v>238.00000000000003</v>
      </c>
      <c r="F23" s="27"/>
      <c r="G23" s="134">
        <f>G21+G22</f>
        <v>238</v>
      </c>
      <c r="H23" s="27"/>
      <c r="I23" s="134">
        <f>I21+I22</f>
        <v>238</v>
      </c>
      <c r="K23" s="60" t="s">
        <v>64</v>
      </c>
      <c r="L23" s="61" t="s">
        <v>67</v>
      </c>
      <c r="M23" s="62"/>
    </row>
    <row r="31" spans="1:13" x14ac:dyDescent="0.25">
      <c r="G31" s="14"/>
    </row>
    <row r="32" spans="1:13" x14ac:dyDescent="0.25">
      <c r="G32" s="14"/>
    </row>
    <row r="35" spans="7:7" x14ac:dyDescent="0.25">
      <c r="G35" s="14"/>
    </row>
  </sheetData>
  <sheetProtection algorithmName="SHA-512" hashValue="gViGuNp3jn4nOD7I+HTN5fHW+sy6bOz3Oe4jLhiZQ0XhquzN5gUJYcQlP5XNqSEkC5cL3vONZxdCtw5SC41UtQ==" saltValue="xPdkEZw+VYbuiw9Mr/Nxig==" spinCount="100000" sheet="1" objects="1" scenarios="1"/>
  <protectedRanges>
    <protectedRange sqref="M3:M4 M6 M9:M16" name="Bereich1"/>
  </protectedRanges>
  <mergeCells count="3">
    <mergeCell ref="D1:E1"/>
    <mergeCell ref="F1:G1"/>
    <mergeCell ref="H1:I1"/>
  </mergeCells>
  <pageMargins left="0.7" right="0.7" top="0.78740157499999996" bottom="0.78740157499999996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5"/>
  <sheetViews>
    <sheetView showGridLines="0" showRowColHeaders="0" workbookViewId="0">
      <selection activeCell="F20" sqref="F20"/>
    </sheetView>
  </sheetViews>
  <sheetFormatPr baseColWidth="10" defaultRowHeight="15" x14ac:dyDescent="0.25"/>
  <cols>
    <col min="1" max="1" width="2.42578125" customWidth="1"/>
    <col min="2" max="2" width="28.85546875" bestFit="1" customWidth="1"/>
    <col min="3" max="6" width="13" customWidth="1"/>
    <col min="7" max="7" width="31.85546875" customWidth="1"/>
    <col min="8" max="8" width="13" customWidth="1"/>
  </cols>
  <sheetData>
    <row r="1" spans="1:8" s="1" customFormat="1" ht="15" customHeight="1" x14ac:dyDescent="0.25">
      <c r="A1" s="220" t="s">
        <v>37</v>
      </c>
      <c r="B1" s="221"/>
      <c r="C1" s="221"/>
      <c r="D1" s="221"/>
      <c r="E1"/>
      <c r="G1" s="3" t="s">
        <v>23</v>
      </c>
      <c r="H1" s="3" t="s">
        <v>60</v>
      </c>
    </row>
    <row r="2" spans="1:8" s="1" customFormat="1" ht="15" customHeight="1" x14ac:dyDescent="0.25">
      <c r="A2" s="225"/>
      <c r="B2" s="225"/>
      <c r="C2" s="225"/>
      <c r="D2" s="225"/>
      <c r="E2"/>
      <c r="G2" s="4"/>
      <c r="H2" s="4"/>
    </row>
    <row r="3" spans="1:8" s="1" customFormat="1" ht="15" customHeight="1" x14ac:dyDescent="0.25">
      <c r="A3" s="201"/>
      <c r="B3" s="201"/>
      <c r="C3" s="201"/>
      <c r="D3" s="201"/>
      <c r="E3"/>
      <c r="G3" s="7" t="s">
        <v>13</v>
      </c>
      <c r="H3" s="39">
        <v>45</v>
      </c>
    </row>
    <row r="4" spans="1:8" s="1" customFormat="1" ht="15" customHeight="1" thickBot="1" x14ac:dyDescent="0.3">
      <c r="A4" s="202"/>
      <c r="B4" s="202"/>
      <c r="C4" s="140" t="s">
        <v>3</v>
      </c>
      <c r="D4" s="156" t="s">
        <v>60</v>
      </c>
      <c r="E4"/>
      <c r="G4" s="4" t="s">
        <v>14</v>
      </c>
      <c r="H4" s="40">
        <v>42.2</v>
      </c>
    </row>
    <row r="5" spans="1:8" s="1" customFormat="1" ht="15" customHeight="1" thickBot="1" x14ac:dyDescent="0.3">
      <c r="A5" s="203"/>
      <c r="B5" s="191" t="s">
        <v>13</v>
      </c>
      <c r="C5" s="204"/>
      <c r="D5" s="205">
        <f>H3</f>
        <v>45</v>
      </c>
      <c r="E5"/>
      <c r="G5" s="7"/>
      <c r="H5" s="8"/>
    </row>
    <row r="6" spans="1:8" s="1" customFormat="1" ht="15" customHeight="1" thickBot="1" x14ac:dyDescent="0.3">
      <c r="A6" s="203" t="s">
        <v>1</v>
      </c>
      <c r="B6" s="191" t="s">
        <v>15</v>
      </c>
      <c r="C6" s="147">
        <f>H7</f>
        <v>4</v>
      </c>
      <c r="D6" s="192">
        <f>ROUND(D5*C6/100,2)</f>
        <v>1.8</v>
      </c>
      <c r="E6"/>
      <c r="G6" s="9" t="s">
        <v>22</v>
      </c>
      <c r="H6" s="10" t="s">
        <v>3</v>
      </c>
    </row>
    <row r="7" spans="1:8" s="1" customFormat="1" ht="15" customHeight="1" thickBot="1" x14ac:dyDescent="0.3">
      <c r="A7" s="179" t="s">
        <v>2</v>
      </c>
      <c r="B7" s="141" t="s">
        <v>20</v>
      </c>
      <c r="C7" s="206"/>
      <c r="D7" s="207">
        <f>D5+D6</f>
        <v>46.8</v>
      </c>
      <c r="E7"/>
      <c r="G7" s="7" t="s">
        <v>15</v>
      </c>
      <c r="H7" s="41">
        <v>4</v>
      </c>
    </row>
    <row r="8" spans="1:8" s="1" customFormat="1" ht="15" customHeight="1" thickBot="1" x14ac:dyDescent="0.3">
      <c r="A8" s="203"/>
      <c r="B8" s="191" t="s">
        <v>14</v>
      </c>
      <c r="C8" s="208"/>
      <c r="D8" s="205">
        <f>H4</f>
        <v>42.2</v>
      </c>
      <c r="E8"/>
      <c r="G8" s="4" t="s">
        <v>16</v>
      </c>
      <c r="H8" s="31">
        <v>50</v>
      </c>
    </row>
    <row r="9" spans="1:8" s="1" customFormat="1" ht="15" customHeight="1" thickBot="1" x14ac:dyDescent="0.3">
      <c r="A9" s="203" t="s">
        <v>1</v>
      </c>
      <c r="B9" s="191" t="s">
        <v>16</v>
      </c>
      <c r="C9" s="147">
        <f>H8</f>
        <v>50</v>
      </c>
      <c r="D9" s="192">
        <f>ROUND(D8*C9/100,2)</f>
        <v>21.1</v>
      </c>
      <c r="E9"/>
      <c r="G9" s="7" t="s">
        <v>17</v>
      </c>
      <c r="H9" s="41">
        <v>10</v>
      </c>
    </row>
    <row r="10" spans="1:8" s="1" customFormat="1" ht="15" customHeight="1" x14ac:dyDescent="0.25">
      <c r="A10" s="179" t="s">
        <v>2</v>
      </c>
      <c r="B10" s="141" t="s">
        <v>21</v>
      </c>
      <c r="C10" s="209"/>
      <c r="D10" s="194">
        <f>SUM(D8:D9)</f>
        <v>63.300000000000004</v>
      </c>
      <c r="E10"/>
      <c r="G10" s="4" t="s">
        <v>18</v>
      </c>
      <c r="H10" s="31">
        <v>10</v>
      </c>
    </row>
    <row r="11" spans="1:8" s="1" customFormat="1" ht="15" customHeight="1" thickBot="1" x14ac:dyDescent="0.3">
      <c r="A11" s="179" t="s">
        <v>2</v>
      </c>
      <c r="B11" s="141" t="s">
        <v>61</v>
      </c>
      <c r="C11" s="209"/>
      <c r="D11" s="194">
        <f>D7+D10</f>
        <v>110.1</v>
      </c>
      <c r="E11"/>
      <c r="G11" s="7" t="s">
        <v>5</v>
      </c>
      <c r="H11" s="41">
        <v>12</v>
      </c>
    </row>
    <row r="12" spans="1:8" s="1" customFormat="1" ht="15" customHeight="1" thickBot="1" x14ac:dyDescent="0.3">
      <c r="A12" s="203" t="s">
        <v>1</v>
      </c>
      <c r="B12" s="191" t="s">
        <v>17</v>
      </c>
      <c r="C12" s="147">
        <f>H9</f>
        <v>10</v>
      </c>
      <c r="D12" s="195">
        <f>ROUND(D11*C12/100,2)</f>
        <v>11.01</v>
      </c>
      <c r="E12"/>
      <c r="G12" s="4" t="s">
        <v>7</v>
      </c>
      <c r="H12" s="31">
        <v>2</v>
      </c>
    </row>
    <row r="13" spans="1:8" s="1" customFormat="1" ht="15" customHeight="1" thickBot="1" x14ac:dyDescent="0.3">
      <c r="A13" s="203" t="s">
        <v>1</v>
      </c>
      <c r="B13" s="191" t="s">
        <v>18</v>
      </c>
      <c r="C13" s="147">
        <f>H10</f>
        <v>10</v>
      </c>
      <c r="D13" s="195">
        <f>ROUND(D11*C13/100,2)</f>
        <v>11.01</v>
      </c>
      <c r="E13"/>
      <c r="G13" s="7" t="s">
        <v>12</v>
      </c>
      <c r="H13" s="41">
        <v>2</v>
      </c>
    </row>
    <row r="14" spans="1:8" s="1" customFormat="1" ht="15" customHeight="1" thickBot="1" x14ac:dyDescent="0.3">
      <c r="A14" s="179" t="s">
        <v>2</v>
      </c>
      <c r="B14" s="141" t="s">
        <v>4</v>
      </c>
      <c r="C14" s="209"/>
      <c r="D14" s="194">
        <f>D11+D12+D13</f>
        <v>132.12</v>
      </c>
      <c r="E14"/>
      <c r="G14" s="4" t="s">
        <v>9</v>
      </c>
      <c r="H14" s="31">
        <v>20</v>
      </c>
    </row>
    <row r="15" spans="1:8" s="1" customFormat="1" ht="15" customHeight="1" thickBot="1" x14ac:dyDescent="0.3">
      <c r="A15" s="203" t="s">
        <v>1</v>
      </c>
      <c r="B15" s="191" t="s">
        <v>5</v>
      </c>
      <c r="C15" s="147">
        <f>H11</f>
        <v>12</v>
      </c>
      <c r="D15" s="195">
        <f>ROUND(D14*C15/100,2)</f>
        <v>15.85</v>
      </c>
      <c r="E15"/>
      <c r="G15" s="7" t="s">
        <v>10</v>
      </c>
      <c r="H15" s="41">
        <v>19</v>
      </c>
    </row>
    <row r="16" spans="1:8" s="1" customFormat="1" ht="15" customHeight="1" thickBot="1" x14ac:dyDescent="0.3">
      <c r="A16" s="179" t="s">
        <v>2</v>
      </c>
      <c r="B16" s="141" t="s">
        <v>6</v>
      </c>
      <c r="C16" s="210"/>
      <c r="D16" s="194">
        <f>D14+D15</f>
        <v>147.97</v>
      </c>
      <c r="E16"/>
    </row>
    <row r="17" spans="1:8" s="1" customFormat="1" ht="15" customHeight="1" thickBot="1" x14ac:dyDescent="0.3">
      <c r="A17" s="203" t="s">
        <v>1</v>
      </c>
      <c r="B17" s="191" t="s">
        <v>7</v>
      </c>
      <c r="C17" s="170">
        <f>H12</f>
        <v>2</v>
      </c>
      <c r="D17" s="198">
        <f>ROUND(D16*C17/(100-C17-C18),2)</f>
        <v>3.08</v>
      </c>
      <c r="E17"/>
    </row>
    <row r="18" spans="1:8" s="1" customFormat="1" ht="15" customHeight="1" thickBot="1" x14ac:dyDescent="0.3">
      <c r="A18" s="203" t="s">
        <v>1</v>
      </c>
      <c r="B18" s="191" t="s">
        <v>12</v>
      </c>
      <c r="C18" s="170">
        <f>H13</f>
        <v>2</v>
      </c>
      <c r="D18" s="198">
        <f>ROUND(D16*C18/(100-C18-C17),2)</f>
        <v>3.08</v>
      </c>
      <c r="E18"/>
    </row>
    <row r="19" spans="1:8" s="1" customFormat="1" ht="15" customHeight="1" x14ac:dyDescent="0.25">
      <c r="A19" s="203"/>
      <c r="B19" s="191" t="s">
        <v>30</v>
      </c>
      <c r="C19" s="211">
        <f>C17+C18</f>
        <v>4</v>
      </c>
      <c r="D19" s="195">
        <f>ROUND(D16*C19/(100-C19),2)</f>
        <v>6.17</v>
      </c>
      <c r="E19"/>
    </row>
    <row r="20" spans="1:8" s="1" customFormat="1" ht="15" customHeight="1" thickBot="1" x14ac:dyDescent="0.3">
      <c r="A20" s="179" t="s">
        <v>2</v>
      </c>
      <c r="B20" s="141" t="s">
        <v>8</v>
      </c>
      <c r="C20" s="212"/>
      <c r="D20" s="194">
        <f>D16+D17+D18</f>
        <v>154.13000000000002</v>
      </c>
      <c r="E20"/>
      <c r="G20" s="2"/>
    </row>
    <row r="21" spans="1:8" s="1" customFormat="1" ht="15" customHeight="1" thickBot="1" x14ac:dyDescent="0.3">
      <c r="A21" s="203" t="s">
        <v>1</v>
      </c>
      <c r="B21" s="191" t="s">
        <v>9</v>
      </c>
      <c r="C21" s="147">
        <f>H14</f>
        <v>20</v>
      </c>
      <c r="D21" s="195">
        <f>ROUND(D20*C21/(100-C21),2)</f>
        <v>38.53</v>
      </c>
      <c r="E21"/>
    </row>
    <row r="22" spans="1:8" s="1" customFormat="1" ht="15" customHeight="1" thickBot="1" x14ac:dyDescent="0.3">
      <c r="A22" s="179" t="s">
        <v>2</v>
      </c>
      <c r="B22" s="141" t="s">
        <v>19</v>
      </c>
      <c r="C22" s="212"/>
      <c r="D22" s="194">
        <f>D20+D21</f>
        <v>192.66000000000003</v>
      </c>
      <c r="E22" s="65" t="s">
        <v>42</v>
      </c>
    </row>
    <row r="23" spans="1:8" s="1" customFormat="1" ht="15" customHeight="1" thickBot="1" x14ac:dyDescent="0.3">
      <c r="A23" s="203" t="s">
        <v>1</v>
      </c>
      <c r="B23" s="191" t="s">
        <v>10</v>
      </c>
      <c r="C23" s="147">
        <f>H15</f>
        <v>19</v>
      </c>
      <c r="D23" s="195">
        <f>ROUND(D22*C23/100,2)</f>
        <v>36.61</v>
      </c>
      <c r="E23"/>
      <c r="H23" s="34"/>
    </row>
    <row r="24" spans="1:8" s="1" customFormat="1" ht="15" customHeight="1" x14ac:dyDescent="0.25">
      <c r="A24" s="179" t="s">
        <v>2</v>
      </c>
      <c r="B24" s="141" t="s">
        <v>11</v>
      </c>
      <c r="C24" s="213"/>
      <c r="D24" s="194">
        <f>D22+D23</f>
        <v>229.27000000000004</v>
      </c>
      <c r="E24"/>
      <c r="H24" s="34"/>
    </row>
    <row r="25" spans="1:8" s="1" customFormat="1" ht="15" customHeight="1" x14ac:dyDescent="0.25">
      <c r="E25"/>
    </row>
  </sheetData>
  <sheetProtection algorithmName="SHA-512" hashValue="SjRvbZrlt3cGqum3UZw0Kd5K4iemG72yJoDQS59HT4o0FZUhV5GLIwz57G5yxrE4TkfS0apBCUuMVq6q1oQv1g==" saltValue="KBJsWOxO3SKoHsLK7m6rOw==" spinCount="100000" sheet="1" objects="1" scenarios="1"/>
  <protectedRanges>
    <protectedRange sqref="H3:H4 H7:H15" name="Bereich1"/>
  </protectedRanges>
  <mergeCells count="2">
    <mergeCell ref="A1:D1"/>
    <mergeCell ref="A2:D2"/>
  </mergeCells>
  <pageMargins left="0.7" right="0.7" top="0.78740157499999996" bottom="0.78740157499999996" header="0.3" footer="0.3"/>
  <pageSetup paperSize="9" orientation="portrait" horizontalDpi="300" verticalDpi="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5"/>
  <sheetViews>
    <sheetView showGridLines="0" showRowColHeaders="0" workbookViewId="0">
      <selection activeCell="H25" sqref="H25"/>
    </sheetView>
  </sheetViews>
  <sheetFormatPr baseColWidth="10" defaultRowHeight="15" x14ac:dyDescent="0.25"/>
  <cols>
    <col min="1" max="1" width="2.42578125" style="1" customWidth="1"/>
    <col min="2" max="2" width="20.140625" style="1" bestFit="1" customWidth="1"/>
    <col min="3" max="8" width="13" style="1" customWidth="1"/>
    <col min="9" max="10" width="11.42578125" style="1"/>
    <col min="11" max="12" width="31.85546875" style="1" customWidth="1"/>
    <col min="13" max="16384" width="11.42578125" style="1"/>
  </cols>
  <sheetData>
    <row r="1" spans="1:12" x14ac:dyDescent="0.25">
      <c r="A1" s="224" t="s">
        <v>46</v>
      </c>
      <c r="B1" s="224"/>
      <c r="C1" s="224"/>
      <c r="D1" s="224"/>
      <c r="E1" s="224"/>
      <c r="F1" s="224"/>
      <c r="G1" s="224"/>
      <c r="H1" s="224"/>
      <c r="K1" s="226" t="s">
        <v>47</v>
      </c>
      <c r="L1" s="226"/>
    </row>
    <row r="2" spans="1:12" x14ac:dyDescent="0.25">
      <c r="A2" s="15"/>
      <c r="B2" s="15"/>
      <c r="C2" s="15"/>
      <c r="D2" s="15"/>
      <c r="E2" s="15"/>
      <c r="F2" s="15"/>
      <c r="G2" s="15"/>
      <c r="H2" s="15"/>
      <c r="K2" s="4" t="s">
        <v>54</v>
      </c>
      <c r="L2" s="4" t="s">
        <v>59</v>
      </c>
    </row>
    <row r="3" spans="1:12" x14ac:dyDescent="0.25">
      <c r="A3" s="16"/>
      <c r="B3" s="16"/>
      <c r="C3" s="227" t="str">
        <f>L2</f>
        <v>A</v>
      </c>
      <c r="D3" s="228"/>
      <c r="E3" s="227" t="str">
        <f>L11</f>
        <v>B</v>
      </c>
      <c r="F3" s="228"/>
      <c r="G3" s="227" t="str">
        <f>L20</f>
        <v>C</v>
      </c>
      <c r="H3" s="228"/>
      <c r="K3" s="1" t="s">
        <v>24</v>
      </c>
      <c r="L3" s="5">
        <v>155</v>
      </c>
    </row>
    <row r="4" spans="1:12" ht="15.75" thickBot="1" x14ac:dyDescent="0.3">
      <c r="A4" s="17"/>
      <c r="B4" s="17"/>
      <c r="C4" s="19" t="s">
        <v>3</v>
      </c>
      <c r="D4" s="45" t="s">
        <v>60</v>
      </c>
      <c r="E4" s="19" t="s">
        <v>3</v>
      </c>
      <c r="F4" s="45" t="s">
        <v>60</v>
      </c>
      <c r="G4" s="19" t="s">
        <v>3</v>
      </c>
      <c r="H4" s="45" t="s">
        <v>60</v>
      </c>
      <c r="K4" s="4" t="s">
        <v>32</v>
      </c>
      <c r="L4" s="11">
        <v>0.1</v>
      </c>
    </row>
    <row r="5" spans="1:12" ht="15.75" thickBot="1" x14ac:dyDescent="0.3">
      <c r="A5" s="15"/>
      <c r="B5" s="15" t="s">
        <v>24</v>
      </c>
      <c r="C5" s="20"/>
      <c r="D5" s="51">
        <f>L3</f>
        <v>155</v>
      </c>
      <c r="E5" s="43"/>
      <c r="F5" s="51">
        <f>L12</f>
        <v>160</v>
      </c>
      <c r="G5" s="43"/>
      <c r="H5" s="51">
        <f>L21</f>
        <v>145</v>
      </c>
      <c r="K5" s="1" t="s">
        <v>33</v>
      </c>
      <c r="L5" s="12">
        <v>0</v>
      </c>
    </row>
    <row r="6" spans="1:12" ht="15.75" thickBot="1" x14ac:dyDescent="0.3">
      <c r="A6" s="93" t="s">
        <v>0</v>
      </c>
      <c r="B6" s="18" t="s">
        <v>32</v>
      </c>
      <c r="C6" s="52">
        <f>L4*100</f>
        <v>10</v>
      </c>
      <c r="D6" s="47">
        <f>ROUND(D5*C6/100,2)</f>
        <v>15.5</v>
      </c>
      <c r="E6" s="52">
        <f>L13*100</f>
        <v>15</v>
      </c>
      <c r="F6" s="47">
        <f>ROUND(F5*E6/100,2)</f>
        <v>24</v>
      </c>
      <c r="G6" s="52">
        <f>L22*100</f>
        <v>0</v>
      </c>
      <c r="H6" s="48">
        <f>ROUND(H5*G6/100,2)</f>
        <v>0</v>
      </c>
      <c r="K6" s="4" t="s">
        <v>34</v>
      </c>
      <c r="L6" s="6">
        <v>3</v>
      </c>
    </row>
    <row r="7" spans="1:12" ht="15.75" thickBot="1" x14ac:dyDescent="0.3">
      <c r="A7" s="100" t="s">
        <v>2</v>
      </c>
      <c r="B7" s="23" t="s">
        <v>25</v>
      </c>
      <c r="C7" s="24"/>
      <c r="D7" s="25">
        <f>D5-D6</f>
        <v>139.5</v>
      </c>
      <c r="E7" s="24"/>
      <c r="F7" s="25">
        <f>F5-F6</f>
        <v>136</v>
      </c>
      <c r="G7" s="24"/>
      <c r="H7" s="25">
        <f>H5-H6</f>
        <v>145</v>
      </c>
      <c r="K7" s="7" t="s">
        <v>10</v>
      </c>
      <c r="L7" s="29">
        <v>0.19</v>
      </c>
    </row>
    <row r="8" spans="1:12" ht="15.75" thickBot="1" x14ac:dyDescent="0.3">
      <c r="A8" s="93" t="s">
        <v>0</v>
      </c>
      <c r="B8" s="18" t="s">
        <v>33</v>
      </c>
      <c r="C8" s="52">
        <f>L5*100</f>
        <v>0</v>
      </c>
      <c r="D8" s="42">
        <f>ROUND(D7*C8/100,2)</f>
        <v>0</v>
      </c>
      <c r="E8" s="52">
        <f>L14*100</f>
        <v>2</v>
      </c>
      <c r="F8" s="42">
        <f>ROUND(F7*E8/100,2)</f>
        <v>2.72</v>
      </c>
      <c r="G8" s="52">
        <f>L23*100</f>
        <v>3</v>
      </c>
      <c r="H8" s="22">
        <f>ROUND(H7*G8/100,2)</f>
        <v>4.3499999999999996</v>
      </c>
      <c r="K8"/>
      <c r="L8"/>
    </row>
    <row r="9" spans="1:12" ht="15.75" thickBot="1" x14ac:dyDescent="0.3">
      <c r="A9" s="100" t="s">
        <v>2</v>
      </c>
      <c r="B9" s="23" t="s">
        <v>26</v>
      </c>
      <c r="C9" s="24"/>
      <c r="D9" s="25">
        <f>D7-D8</f>
        <v>139.5</v>
      </c>
      <c r="E9" s="24"/>
      <c r="F9" s="25">
        <f>F7-F8</f>
        <v>133.28</v>
      </c>
      <c r="G9" s="24"/>
      <c r="H9" s="25">
        <f>H7-H8</f>
        <v>140.65</v>
      </c>
      <c r="K9"/>
      <c r="L9"/>
    </row>
    <row r="10" spans="1:12" ht="15.75" thickBot="1" x14ac:dyDescent="0.3">
      <c r="A10" s="93" t="s">
        <v>1</v>
      </c>
      <c r="B10" s="18" t="s">
        <v>27</v>
      </c>
      <c r="C10" s="21"/>
      <c r="D10" s="53">
        <f>L6</f>
        <v>3</v>
      </c>
      <c r="E10" s="44"/>
      <c r="F10" s="53">
        <f>L15</f>
        <v>1.5</v>
      </c>
      <c r="G10" s="44"/>
      <c r="H10" s="53">
        <f>L24</f>
        <v>0</v>
      </c>
      <c r="K10" s="226" t="s">
        <v>48</v>
      </c>
      <c r="L10" s="226"/>
    </row>
    <row r="11" spans="1:12" ht="15.75" thickBot="1" x14ac:dyDescent="0.3">
      <c r="A11" s="214" t="s">
        <v>2</v>
      </c>
      <c r="B11" s="26" t="s">
        <v>50</v>
      </c>
      <c r="C11" s="46"/>
      <c r="D11" s="50">
        <f>D9+D10</f>
        <v>142.5</v>
      </c>
      <c r="E11" s="46"/>
      <c r="F11" s="50">
        <f>F9+F10</f>
        <v>134.78</v>
      </c>
      <c r="G11" s="46"/>
      <c r="H11" s="50">
        <f>H9+H10</f>
        <v>140.65</v>
      </c>
      <c r="K11" s="4" t="s">
        <v>55</v>
      </c>
      <c r="L11" s="4" t="s">
        <v>58</v>
      </c>
    </row>
    <row r="12" spans="1:12" ht="15.75" thickBot="1" x14ac:dyDescent="0.3">
      <c r="A12" s="116" t="s">
        <v>1</v>
      </c>
      <c r="B12" s="15" t="s">
        <v>10</v>
      </c>
      <c r="C12" s="215">
        <f>L7*100</f>
        <v>19</v>
      </c>
      <c r="D12" s="216">
        <f>ROUND(D11*C12/100,2)</f>
        <v>27.08</v>
      </c>
      <c r="E12" s="215">
        <f>L16*100</f>
        <v>19</v>
      </c>
      <c r="F12" s="216">
        <f>ROUND(F11*E12/100,2)</f>
        <v>25.61</v>
      </c>
      <c r="G12" s="215">
        <f>L25*100</f>
        <v>19</v>
      </c>
      <c r="H12" s="217">
        <f>ROUND(H11*G12/100,2)</f>
        <v>26.72</v>
      </c>
      <c r="K12" s="1" t="s">
        <v>24</v>
      </c>
      <c r="L12" s="5">
        <v>160</v>
      </c>
    </row>
    <row r="13" spans="1:12" x14ac:dyDescent="0.25">
      <c r="A13" s="120" t="s">
        <v>2</v>
      </c>
      <c r="B13" s="27" t="s">
        <v>51</v>
      </c>
      <c r="C13" s="49"/>
      <c r="D13" s="28">
        <f>D11+D12</f>
        <v>169.57999999999998</v>
      </c>
      <c r="E13" s="49"/>
      <c r="F13" s="28">
        <f>F11+F12</f>
        <v>160.38999999999999</v>
      </c>
      <c r="G13" s="49"/>
      <c r="H13" s="28">
        <f>H11+H12</f>
        <v>167.37</v>
      </c>
      <c r="K13" s="4" t="s">
        <v>32</v>
      </c>
      <c r="L13" s="11">
        <v>0.15</v>
      </c>
    </row>
    <row r="14" spans="1:12" x14ac:dyDescent="0.25">
      <c r="A14" s="15"/>
      <c r="B14" s="15"/>
      <c r="C14" s="15"/>
      <c r="D14" s="15"/>
      <c r="E14" s="15"/>
      <c r="F14" s="15"/>
      <c r="G14" s="15"/>
      <c r="H14" s="15"/>
      <c r="K14" s="1" t="s">
        <v>33</v>
      </c>
      <c r="L14" s="12">
        <v>0.02</v>
      </c>
    </row>
    <row r="15" spans="1:12" x14ac:dyDescent="0.25">
      <c r="A15" s="233" t="s">
        <v>52</v>
      </c>
      <c r="B15" s="234"/>
      <c r="C15" s="218"/>
      <c r="D15" s="231">
        <f>MIN(D13,F13,H13)</f>
        <v>160.38999999999999</v>
      </c>
      <c r="E15" s="231"/>
      <c r="F15" s="231"/>
      <c r="G15" s="231"/>
      <c r="H15" s="232"/>
      <c r="K15" s="4" t="s">
        <v>34</v>
      </c>
      <c r="L15" s="6">
        <v>1.5</v>
      </c>
    </row>
    <row r="16" spans="1:12" x14ac:dyDescent="0.25">
      <c r="A16" s="235" t="s">
        <v>53</v>
      </c>
      <c r="B16" s="229"/>
      <c r="C16" s="219"/>
      <c r="D16" s="229" t="str">
        <f>IF(D13=MIN(D13,F13,H13),C$3,IF(F13=MIN(D13,F13,H13),E$3,G$3))</f>
        <v>B</v>
      </c>
      <c r="E16" s="229"/>
      <c r="F16" s="229"/>
      <c r="G16" s="229"/>
      <c r="H16" s="230"/>
      <c r="K16" s="7" t="s">
        <v>10</v>
      </c>
      <c r="L16" s="29">
        <v>0.19</v>
      </c>
    </row>
    <row r="19" spans="11:12" x14ac:dyDescent="0.25">
      <c r="K19" s="226" t="s">
        <v>49</v>
      </c>
      <c r="L19" s="226"/>
    </row>
    <row r="20" spans="11:12" x14ac:dyDescent="0.25">
      <c r="K20" s="4" t="s">
        <v>56</v>
      </c>
      <c r="L20" s="4" t="s">
        <v>57</v>
      </c>
    </row>
    <row r="21" spans="11:12" x14ac:dyDescent="0.25">
      <c r="K21" s="1" t="s">
        <v>24</v>
      </c>
      <c r="L21" s="5">
        <v>145</v>
      </c>
    </row>
    <row r="22" spans="11:12" x14ac:dyDescent="0.25">
      <c r="K22" s="4" t="s">
        <v>32</v>
      </c>
      <c r="L22" s="11">
        <v>0</v>
      </c>
    </row>
    <row r="23" spans="11:12" x14ac:dyDescent="0.25">
      <c r="K23" s="1" t="s">
        <v>33</v>
      </c>
      <c r="L23" s="12">
        <v>0.03</v>
      </c>
    </row>
    <row r="24" spans="11:12" x14ac:dyDescent="0.25">
      <c r="K24" s="4" t="s">
        <v>34</v>
      </c>
      <c r="L24" s="6">
        <v>0</v>
      </c>
    </row>
    <row r="25" spans="11:12" x14ac:dyDescent="0.25">
      <c r="K25" s="7" t="s">
        <v>10</v>
      </c>
      <c r="L25" s="29">
        <v>0.19</v>
      </c>
    </row>
  </sheetData>
  <sheetProtection algorithmName="SHA-512" hashValue="Nm8SKo3ZP4uJsoEgSp0fH3bPyexnA6lKG4OOGaj8T0LPntCbJubNXB6KWgk7Bv6ZVEhMVqV6oEs6WgH04BU0Dg==" saltValue="cQOj351VkkdDMNdJG73QEA==" spinCount="100000" sheet="1" objects="1" scenarios="1"/>
  <protectedRanges>
    <protectedRange sqref="L3:L7 L12:L16 L21:L25" name="Bereich1"/>
  </protectedRanges>
  <mergeCells count="11">
    <mergeCell ref="K1:L1"/>
    <mergeCell ref="K10:L10"/>
    <mergeCell ref="K19:L19"/>
    <mergeCell ref="A1:H1"/>
    <mergeCell ref="C3:D3"/>
    <mergeCell ref="E3:F3"/>
    <mergeCell ref="G3:H3"/>
    <mergeCell ref="D16:H16"/>
    <mergeCell ref="D15:H15"/>
    <mergeCell ref="A15:B15"/>
    <mergeCell ref="A16:B16"/>
  </mergeCells>
  <pageMargins left="0.7" right="0.7" top="0.78740157499999996" bottom="0.78740157499999996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Handels-, Vorwärtskalkulation</vt:lpstr>
      <vt:lpstr>Handels-, Rückwärtskalkulation</vt:lpstr>
      <vt:lpstr>Handels-, Differenzkalkulation</vt:lpstr>
      <vt:lpstr>Handelskalkulation im Vergleich</vt:lpstr>
      <vt:lpstr>Zuschlags-, Angebotskalkulation</vt:lpstr>
      <vt:lpstr>Angebotsvergleich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Gorontzy, Thomas</cp:lastModifiedBy>
  <cp:lastPrinted>2017-10-16T08:16:14Z</cp:lastPrinted>
  <dcterms:created xsi:type="dcterms:W3CDTF">2015-11-19T18:24:07Z</dcterms:created>
  <dcterms:modified xsi:type="dcterms:W3CDTF">2026-06-22T12:37:45Z</dcterms:modified>
</cp:coreProperties>
</file>