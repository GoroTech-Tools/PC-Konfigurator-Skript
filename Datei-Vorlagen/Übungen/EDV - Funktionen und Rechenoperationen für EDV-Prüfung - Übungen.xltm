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DieseArbeitsmappe"/>
  <mc:AlternateContent xmlns:mc="http://schemas.openxmlformats.org/markup-compatibility/2006">
    <mc:Choice Requires="x15">
      <x15ac:absPath xmlns:x15ac="http://schemas.microsoft.com/office/spreadsheetml/2010/11/ac" url="G:\Dokumentenvorlagen\Übungen\"/>
    </mc:Choice>
  </mc:AlternateContent>
  <xr:revisionPtr revIDLastSave="0" documentId="13_ncr:1_{596D6304-D7B8-4DCE-ADD0-08217F20DBA1}" xr6:coauthVersionLast="47" xr6:coauthVersionMax="47" xr10:uidLastSave="{00000000-0000-0000-0000-000000000000}"/>
  <bookViews>
    <workbookView xWindow="-120" yWindow="-120" windowWidth="29040" windowHeight="15720" tabRatio="938" xr2:uid="{00000000-000D-0000-FFFF-FFFF00000000}"/>
  </bookViews>
  <sheets>
    <sheet name="Übersicht" sheetId="17" r:id="rId1"/>
    <sheet name="Einfache Berechnungen 1" sheetId="2" r:id="rId2"/>
    <sheet name="Einfache Berechnungen 2" sheetId="4" r:id="rId3"/>
    <sheet name="Funktionen" sheetId="3" r:id="rId4"/>
    <sheet name="Bezüge" sheetId="8" r:id="rId5"/>
    <sheet name="Wenn 1" sheetId="6" r:id="rId6"/>
    <sheet name="Wenn 2" sheetId="5" r:id="rId7"/>
    <sheet name="Wenn 3" sheetId="7" r:id="rId8"/>
    <sheet name="Wenn 4" sheetId="10" r:id="rId9"/>
    <sheet name="Wenn 5" sheetId="25" r:id="rId10"/>
    <sheet name="Wenn UndOder 1" sheetId="23" r:id="rId11"/>
    <sheet name="Wenn UndOder 2" sheetId="24" r:id="rId12"/>
    <sheet name="Wenn UndOder 3" sheetId="26" r:id="rId13"/>
    <sheet name="Wenn Multitalent" sheetId="31" r:id="rId14"/>
    <sheet name="Tage und Zeiten" sheetId="9" r:id="rId15"/>
    <sheet name="Jahre und Zeiten" sheetId="27" r:id="rId16"/>
    <sheet name="SVerweis 1" sheetId="11" r:id="rId17"/>
    <sheet name="SVerweis 2" sheetId="12" r:id="rId18"/>
    <sheet name="SVerweis 3" sheetId="13" r:id="rId19"/>
    <sheet name="ABC-Analyse #" sheetId="28" r:id="rId20"/>
    <sheet name="Angebotsvergleich #" sheetId="14" r:id="rId21"/>
    <sheet name="BAB #" sheetId="20" r:id="rId22"/>
    <sheet name="Lagerbestände #" sheetId="15" r:id="rId23"/>
    <sheet name="Optimale Bestellmenge #" sheetId="29" r:id="rId24"/>
    <sheet name="Statistik I #" sheetId="21" r:id="rId25"/>
    <sheet name="Statistik I-Hilfstabelle" sheetId="22" r:id="rId26"/>
  </sheets>
  <definedNames>
    <definedName name="_xleta.AND" hidden="1" xlm="1">#NAME?</definedName>
    <definedName name="_xleta.OR"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2" i="31" l="1" a="1"/>
  <c r="AA12" i="31"/>
  <c r="AA13" i="31" a="1"/>
  <c r="AA13" i="31" s="1"/>
  <c r="AA14" i="31" a="1"/>
  <c r="AA14" i="31"/>
  <c r="AA15" i="31" a="1"/>
  <c r="AA15" i="31"/>
  <c r="AA16" i="31" a="1"/>
  <c r="AA16" i="31" s="1"/>
  <c r="AA17" i="31" a="1"/>
  <c r="AA17" i="31" s="1"/>
  <c r="AA18" i="31" a="1"/>
  <c r="AA18" i="31" s="1"/>
  <c r="AA19" i="31" a="1"/>
  <c r="AA19" i="31"/>
  <c r="AA11" i="31" a="1"/>
  <c r="AA11" i="31" s="1"/>
  <c r="Z12" i="31"/>
  <c r="Z13" i="31"/>
  <c r="Z14" i="31"/>
  <c r="Z15" i="31"/>
  <c r="Z16" i="31"/>
  <c r="Z17" i="31"/>
  <c r="Z18" i="31"/>
  <c r="Z19" i="31"/>
  <c r="Z11" i="31"/>
  <c r="Y12" i="31" a="1"/>
  <c r="Y12" i="31" s="1"/>
  <c r="Y13" i="31" a="1"/>
  <c r="Y13" i="31" s="1"/>
  <c r="Y14" i="31" a="1"/>
  <c r="Y14" i="31" s="1"/>
  <c r="Y15" i="31" a="1"/>
  <c r="Y15" i="31" s="1"/>
  <c r="Y16" i="31" a="1"/>
  <c r="Y16" i="31" s="1"/>
  <c r="Y17" i="31" a="1"/>
  <c r="Y17" i="31" s="1"/>
  <c r="Y18" i="31" a="1"/>
  <c r="Y18" i="31" s="1"/>
  <c r="Y19" i="31" a="1"/>
  <c r="Y19" i="31" s="1"/>
  <c r="Y11" i="31" a="1"/>
  <c r="Y11" i="31" s="1"/>
  <c r="X12" i="31" a="1"/>
  <c r="X12" i="31" s="1"/>
  <c r="X13" i="31" a="1"/>
  <c r="X13" i="31" s="1"/>
  <c r="X14" i="31" a="1"/>
  <c r="X14" i="31" s="1"/>
  <c r="X15" i="31" a="1"/>
  <c r="X15" i="31" s="1"/>
  <c r="X16" i="31" a="1"/>
  <c r="X16" i="31" s="1"/>
  <c r="X17" i="31" a="1"/>
  <c r="X17" i="31" s="1"/>
  <c r="X18" i="31" a="1"/>
  <c r="X18" i="31" s="1"/>
  <c r="X19" i="31" a="1"/>
  <c r="X19" i="31" s="1"/>
  <c r="X11" i="31" a="1"/>
  <c r="X11" i="31" s="1"/>
  <c r="W12" i="31"/>
  <c r="W13" i="31"/>
  <c r="W14" i="31"/>
  <c r="W15" i="31"/>
  <c r="W16" i="31"/>
  <c r="W17" i="31"/>
  <c r="W18" i="31"/>
  <c r="W19" i="31"/>
  <c r="W11" i="31"/>
  <c r="V12" i="31"/>
  <c r="V13" i="31"/>
  <c r="V14" i="31"/>
  <c r="V15" i="31"/>
  <c r="V16" i="31"/>
  <c r="V17" i="31"/>
  <c r="V18" i="31"/>
  <c r="V19" i="31"/>
  <c r="V11" i="31"/>
  <c r="U12" i="31"/>
  <c r="U13" i="31"/>
  <c r="U14" i="31"/>
  <c r="U15" i="31"/>
  <c r="U16" i="31"/>
  <c r="U17" i="31"/>
  <c r="U18" i="31"/>
  <c r="U19" i="31"/>
  <c r="U11" i="31"/>
  <c r="T12" i="31"/>
  <c r="T13" i="31"/>
  <c r="T14" i="31"/>
  <c r="T15" i="31"/>
  <c r="T16" i="31"/>
  <c r="T17" i="31"/>
  <c r="T18" i="31"/>
  <c r="T19" i="31"/>
  <c r="T11" i="31"/>
  <c r="S12" i="31"/>
  <c r="S13" i="31"/>
  <c r="S14" i="31"/>
  <c r="S15" i="31"/>
  <c r="S16" i="31"/>
  <c r="S17" i="31"/>
  <c r="S18" i="31"/>
  <c r="S19" i="31"/>
  <c r="S11" i="31"/>
  <c r="R12" i="31"/>
  <c r="R13" i="31"/>
  <c r="R14" i="31"/>
  <c r="R15" i="31"/>
  <c r="R16" i="31"/>
  <c r="R17" i="31"/>
  <c r="R18" i="31"/>
  <c r="R19" i="31"/>
  <c r="R11" i="31"/>
  <c r="P6" i="24"/>
  <c r="P7" i="24"/>
  <c r="P8" i="24"/>
  <c r="P9" i="24"/>
  <c r="P10" i="24"/>
  <c r="P11" i="24"/>
  <c r="P12" i="24"/>
  <c r="P13" i="24"/>
  <c r="P5" i="24"/>
  <c r="J22" i="26" l="1"/>
  <c r="J20" i="26"/>
  <c r="J25" i="26"/>
  <c r="J24" i="26"/>
  <c r="J23" i="26"/>
  <c r="J21" i="26"/>
  <c r="J19" i="26"/>
  <c r="L27" i="26"/>
  <c r="P20" i="26" l="1"/>
  <c r="P22" i="26"/>
  <c r="P24" i="26"/>
  <c r="P25" i="26"/>
  <c r="L21" i="26"/>
  <c r="P21" i="26" s="1"/>
  <c r="L23" i="26"/>
  <c r="P23" i="26" s="1"/>
  <c r="L19" i="26"/>
  <c r="Q19" i="26" l="1"/>
  <c r="P19" i="26"/>
  <c r="Q19" i="29" l="1"/>
  <c r="Q18" i="29"/>
  <c r="O19" i="29"/>
  <c r="O18" i="29"/>
  <c r="R18" i="29" s="1"/>
  <c r="S18" i="29" s="1"/>
  <c r="P30" i="29"/>
  <c r="P29" i="29"/>
  <c r="P28" i="29"/>
  <c r="P27" i="29"/>
  <c r="P26" i="29"/>
  <c r="P25" i="29"/>
  <c r="P24" i="29"/>
  <c r="P23" i="29"/>
  <c r="P22" i="29"/>
  <c r="P21" i="29"/>
  <c r="P20" i="29"/>
  <c r="P19" i="29"/>
  <c r="R19" i="29"/>
  <c r="S19" i="29" s="1"/>
  <c r="P18" i="29"/>
  <c r="A20" i="29"/>
  <c r="O20" i="29" s="1"/>
  <c r="R20" i="29" s="1"/>
  <c r="S20" i="29" s="1"/>
  <c r="Q20" i="29" l="1"/>
  <c r="T19" i="29"/>
  <c r="T18" i="29"/>
  <c r="T20" i="29"/>
  <c r="A21" i="29"/>
  <c r="Q21" i="29" l="1"/>
  <c r="O21" i="29"/>
  <c r="R21" i="29" s="1"/>
  <c r="S21" i="29" s="1"/>
  <c r="A22" i="29"/>
  <c r="T21" i="29" l="1"/>
  <c r="Q22" i="29"/>
  <c r="O22" i="29"/>
  <c r="R22" i="29" s="1"/>
  <c r="S22" i="29" s="1"/>
  <c r="A23" i="29"/>
  <c r="O23" i="29" l="1"/>
  <c r="R23" i="29" s="1"/>
  <c r="S23" i="29" s="1"/>
  <c r="T23" i="29" s="1"/>
  <c r="Q23" i="29"/>
  <c r="T22" i="29"/>
  <c r="A24" i="29"/>
  <c r="Q24" i="29" l="1"/>
  <c r="O24" i="29"/>
  <c r="R24" i="29" s="1"/>
  <c r="S24" i="29" s="1"/>
  <c r="A25" i="29"/>
  <c r="T24" i="29" l="1"/>
  <c r="Q25" i="29"/>
  <c r="O25" i="29"/>
  <c r="R25" i="29" s="1"/>
  <c r="S25" i="29" s="1"/>
  <c r="A26" i="29"/>
  <c r="Q26" i="29" l="1"/>
  <c r="O26" i="29"/>
  <c r="R26" i="29" s="1"/>
  <c r="S26" i="29" s="1"/>
  <c r="T25" i="29"/>
  <c r="A27" i="29"/>
  <c r="O27" i="29" l="1"/>
  <c r="R27" i="29" s="1"/>
  <c r="S27" i="29" s="1"/>
  <c r="Q27" i="29"/>
  <c r="T27" i="29" s="1"/>
  <c r="T26" i="29"/>
  <c r="A28" i="29"/>
  <c r="O28" i="29" l="1"/>
  <c r="R28" i="29" s="1"/>
  <c r="S28" i="29" s="1"/>
  <c r="Q28" i="29"/>
  <c r="A29" i="29"/>
  <c r="T28" i="29" l="1"/>
  <c r="Q29" i="29"/>
  <c r="O29" i="29"/>
  <c r="R29" i="29" s="1"/>
  <c r="S29" i="29" s="1"/>
  <c r="A30" i="29"/>
  <c r="Q30" i="29" l="1"/>
  <c r="O30" i="29"/>
  <c r="R30" i="29" s="1"/>
  <c r="S30" i="29" s="1"/>
  <c r="T29" i="29"/>
  <c r="O8" i="28"/>
  <c r="O9" i="28"/>
  <c r="O10" i="28"/>
  <c r="O11" i="28"/>
  <c r="O12" i="28"/>
  <c r="O13" i="28"/>
  <c r="O14" i="28"/>
  <c r="O15" i="28"/>
  <c r="O16" i="28"/>
  <c r="O7" i="28"/>
  <c r="P8" i="28" l="1"/>
  <c r="Q8" i="28" s="1"/>
  <c r="P16" i="28"/>
  <c r="Q16" i="28" s="1"/>
  <c r="P9" i="28"/>
  <c r="Q9" i="28" s="1"/>
  <c r="P7" i="28"/>
  <c r="Q7" i="28" s="1"/>
  <c r="P10" i="28"/>
  <c r="Q10" i="28" s="1"/>
  <c r="P11" i="28"/>
  <c r="Q11" i="28" s="1"/>
  <c r="P12" i="28"/>
  <c r="Q12" i="28" s="1"/>
  <c r="P13" i="28"/>
  <c r="Q13" i="28" s="1"/>
  <c r="P14" i="28"/>
  <c r="Q14" i="28" s="1"/>
  <c r="P15" i="28"/>
  <c r="Q15" i="28" s="1"/>
  <c r="U27" i="29"/>
  <c r="T30" i="29"/>
  <c r="O11" i="27"/>
  <c r="C12" i="27"/>
  <c r="C13" i="27"/>
  <c r="C14" i="27"/>
  <c r="C11" i="27"/>
  <c r="P17" i="28" l="1"/>
  <c r="U30" i="29"/>
  <c r="U19" i="29"/>
  <c r="U20" i="29"/>
  <c r="U18" i="29"/>
  <c r="U22" i="29"/>
  <c r="U21" i="29"/>
  <c r="O15" i="29"/>
  <c r="U28" i="29"/>
  <c r="U25" i="29"/>
  <c r="U26" i="29"/>
  <c r="U24" i="29"/>
  <c r="U23" i="29"/>
  <c r="U29" i="29"/>
  <c r="R7" i="28"/>
  <c r="R10" i="28"/>
  <c r="R12" i="28"/>
  <c r="R11" i="28"/>
  <c r="R9" i="28"/>
  <c r="R8" i="28"/>
  <c r="R13" i="28"/>
  <c r="R14" i="28"/>
  <c r="R16" i="28"/>
  <c r="R15" i="28"/>
  <c r="O13" i="27"/>
  <c r="O14" i="27"/>
  <c r="A22" i="27" s="1"/>
  <c r="O12" i="27"/>
  <c r="P6" i="26"/>
  <c r="P7" i="26"/>
  <c r="P8" i="26"/>
  <c r="P9" i="26"/>
  <c r="P10" i="26"/>
  <c r="P5" i="26"/>
  <c r="A2" i="15" l="1"/>
  <c r="S9" i="28" l="1"/>
  <c r="S10" i="28"/>
  <c r="S11" i="28"/>
  <c r="S12" i="28"/>
  <c r="S8" i="28"/>
  <c r="S13" i="28"/>
  <c r="S14" i="28"/>
  <c r="S15" i="28"/>
  <c r="S16" i="28"/>
  <c r="S7" i="28"/>
  <c r="R17" i="28"/>
  <c r="P7" i="23"/>
  <c r="P6" i="23"/>
  <c r="P5" i="23"/>
  <c r="P19" i="23"/>
  <c r="P20" i="23"/>
  <c r="P21" i="23"/>
  <c r="P18" i="23"/>
  <c r="P12" i="23"/>
  <c r="P13" i="23"/>
  <c r="P14" i="23"/>
  <c r="P11" i="23"/>
  <c r="D13" i="25"/>
  <c r="D12" i="25"/>
  <c r="D11" i="25"/>
  <c r="D10" i="25"/>
  <c r="D9" i="25"/>
  <c r="D8" i="25"/>
  <c r="D7" i="25"/>
  <c r="D6" i="25"/>
  <c r="D5" i="25"/>
  <c r="D4" i="25"/>
  <c r="D15" i="25"/>
  <c r="H3" i="25" s="1"/>
  <c r="A53" i="17"/>
  <c r="P34" i="21"/>
  <c r="P33" i="21"/>
  <c r="P22" i="21"/>
  <c r="P24" i="21"/>
  <c r="P21" i="21"/>
  <c r="P6" i="21"/>
  <c r="P7" i="21"/>
  <c r="P8" i="21"/>
  <c r="P9" i="21"/>
  <c r="P10" i="21"/>
  <c r="P11" i="21"/>
  <c r="P12" i="21"/>
  <c r="P13" i="21"/>
  <c r="P14" i="21"/>
  <c r="P15" i="21"/>
  <c r="P5" i="21"/>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35" i="21"/>
  <c r="Q57" i="7"/>
  <c r="Q58" i="7"/>
  <c r="Q59" i="7"/>
  <c r="Q60" i="7"/>
  <c r="Q61" i="7"/>
  <c r="Q62" i="7"/>
  <c r="Q63" i="7"/>
  <c r="Q64" i="7"/>
  <c r="Q65" i="7"/>
  <c r="Q66" i="7"/>
  <c r="Q67" i="7"/>
  <c r="Q68" i="7"/>
  <c r="Q69" i="7"/>
  <c r="Q70" i="7"/>
  <c r="Q71" i="7"/>
  <c r="Q56" i="7"/>
  <c r="P36" i="6"/>
  <c r="P34" i="6"/>
  <c r="P35" i="6"/>
  <c r="P37" i="6"/>
  <c r="P38" i="6"/>
  <c r="P39" i="6"/>
  <c r="P40" i="6"/>
  <c r="P41" i="6"/>
  <c r="P42" i="6"/>
  <c r="P43" i="6"/>
  <c r="P44" i="6"/>
  <c r="P45" i="6"/>
  <c r="P33" i="6"/>
  <c r="P19" i="6"/>
  <c r="P20" i="6"/>
  <c r="P21" i="6"/>
  <c r="P22" i="6"/>
  <c r="P23" i="6"/>
  <c r="P24" i="6"/>
  <c r="P25" i="6"/>
  <c r="P26" i="6"/>
  <c r="P27" i="6"/>
  <c r="P28" i="6"/>
  <c r="P29" i="6"/>
  <c r="P30" i="6"/>
  <c r="P18" i="6"/>
  <c r="P4" i="6"/>
  <c r="P5" i="6"/>
  <c r="P6" i="6"/>
  <c r="P7" i="6"/>
  <c r="P8" i="6"/>
  <c r="P9" i="6"/>
  <c r="P10" i="6"/>
  <c r="P11" i="6"/>
  <c r="P12" i="6"/>
  <c r="P13" i="6"/>
  <c r="P14" i="6"/>
  <c r="P15" i="6"/>
  <c r="P3" i="6"/>
  <c r="Q58" i="3"/>
  <c r="E53" i="8"/>
  <c r="I9" i="15"/>
  <c r="F18" i="15"/>
  <c r="B19" i="15"/>
  <c r="C19" i="15"/>
  <c r="D19" i="15"/>
  <c r="E19" i="15"/>
  <c r="A9" i="15"/>
  <c r="I12" i="15"/>
  <c r="E33" i="13"/>
  <c r="D33" i="13"/>
  <c r="D32" i="13"/>
  <c r="E32" i="13"/>
  <c r="D31" i="13"/>
  <c r="E31" i="13"/>
  <c r="D30" i="13"/>
  <c r="E30" i="13"/>
  <c r="D29" i="13"/>
  <c r="E29" i="13"/>
  <c r="D28" i="13"/>
  <c r="E28" i="13"/>
  <c r="D27" i="13"/>
  <c r="E27" i="13"/>
  <c r="E28" i="12"/>
  <c r="E27" i="12"/>
  <c r="E26" i="12"/>
  <c r="D28" i="12"/>
  <c r="D27" i="12"/>
  <c r="D26" i="12"/>
  <c r="E25" i="12"/>
  <c r="E24" i="12"/>
  <c r="E23" i="12"/>
  <c r="D25" i="12"/>
  <c r="D24" i="12"/>
  <c r="D23" i="12"/>
  <c r="E22" i="12"/>
  <c r="D22" i="12"/>
  <c r="A57" i="3"/>
  <c r="A56" i="3"/>
  <c r="A55" i="3"/>
  <c r="A54" i="3"/>
  <c r="A53" i="3"/>
  <c r="A52" i="3"/>
  <c r="A51" i="3"/>
  <c r="A50" i="3"/>
  <c r="A49" i="3"/>
  <c r="A48" i="3"/>
  <c r="A47" i="3"/>
  <c r="A46" i="3"/>
  <c r="A45" i="3"/>
  <c r="A44" i="3"/>
  <c r="P59" i="4"/>
  <c r="Q56" i="4"/>
  <c r="Q57" i="4"/>
  <c r="Q58" i="4"/>
  <c r="Q55" i="4"/>
  <c r="P50" i="4"/>
  <c r="Q47" i="4"/>
  <c r="Q48" i="4"/>
  <c r="Q49" i="4"/>
  <c r="Q46" i="4"/>
  <c r="Q37" i="4"/>
  <c r="Q38" i="4"/>
  <c r="Q36" i="4"/>
  <c r="Q39" i="4" s="1"/>
  <c r="P39" i="4"/>
  <c r="E38" i="4"/>
  <c r="E37" i="4"/>
  <c r="E36" i="4"/>
  <c r="A38" i="4"/>
  <c r="A37" i="4"/>
  <c r="A36" i="4"/>
  <c r="P26" i="4"/>
  <c r="P27" i="4"/>
  <c r="P28" i="4"/>
  <c r="P29" i="4"/>
  <c r="P30" i="4"/>
  <c r="P31" i="4"/>
  <c r="P25" i="4"/>
  <c r="Q18" i="4"/>
  <c r="Q19" i="4"/>
  <c r="Q17" i="4"/>
  <c r="Q20" i="4" s="1"/>
  <c r="P18" i="4"/>
  <c r="R18" i="4" s="1"/>
  <c r="P19" i="4"/>
  <c r="R19" i="4" s="1"/>
  <c r="P17" i="4"/>
  <c r="R17" i="4" s="1"/>
  <c r="Q41" i="4" l="1"/>
  <c r="Q50" i="4"/>
  <c r="P35" i="21"/>
  <c r="T7" i="28"/>
  <c r="T9" i="28"/>
  <c r="T8" i="28"/>
  <c r="P10" i="25"/>
  <c r="P11" i="25"/>
  <c r="P5" i="25"/>
  <c r="P13" i="25"/>
  <c r="P6" i="25"/>
  <c r="P7" i="25"/>
  <c r="P8" i="25"/>
  <c r="P9" i="25"/>
  <c r="P12" i="25"/>
  <c r="P4" i="25"/>
  <c r="Q59" i="4"/>
  <c r="P16" i="21"/>
  <c r="P23" i="21"/>
  <c r="P25" i="21" s="1"/>
  <c r="D23" i="20"/>
  <c r="F22" i="20"/>
  <c r="F23" i="20" s="1"/>
  <c r="G22" i="20"/>
  <c r="G23" i="20" s="1"/>
  <c r="E23" i="20"/>
  <c r="Q60" i="4"/>
  <c r="Q61" i="4" s="1"/>
  <c r="R20" i="4"/>
  <c r="I13" i="15"/>
  <c r="P29" i="20"/>
  <c r="Q29" i="20" s="1"/>
  <c r="P27" i="20"/>
  <c r="Q27" i="20" s="1"/>
  <c r="Q11" i="20"/>
  <c r="R11" i="20"/>
  <c r="S11" i="20"/>
  <c r="P11" i="20"/>
  <c r="S10" i="20"/>
  <c r="Q10" i="20"/>
  <c r="R10" i="20"/>
  <c r="P10" i="20"/>
  <c r="R13" i="15"/>
  <c r="R14" i="15"/>
  <c r="R15" i="15"/>
  <c r="R16" i="15"/>
  <c r="R12" i="15"/>
  <c r="P13" i="15"/>
  <c r="Q13" i="15" s="1"/>
  <c r="P22" i="15" s="1"/>
  <c r="R22" i="15" s="1"/>
  <c r="P14" i="15"/>
  <c r="Q14" i="15" s="1"/>
  <c r="P23" i="15" s="1"/>
  <c r="R23" i="15" s="1"/>
  <c r="P15" i="15"/>
  <c r="Q15" i="15" s="1"/>
  <c r="P24" i="15" s="1"/>
  <c r="R24" i="15" s="1"/>
  <c r="P16" i="15"/>
  <c r="Q16" i="15" s="1"/>
  <c r="P25" i="15" s="1"/>
  <c r="Q25" i="15" s="1"/>
  <c r="P12" i="15"/>
  <c r="Q12" i="15" s="1"/>
  <c r="P21" i="15" s="1"/>
  <c r="R21" i="15" s="1"/>
  <c r="Q15" i="14"/>
  <c r="Q16" i="14" s="1"/>
  <c r="Q17" i="14" s="1"/>
  <c r="R15" i="14"/>
  <c r="R16" i="14" s="1"/>
  <c r="R17" i="14" s="1"/>
  <c r="R20" i="14"/>
  <c r="P18" i="20" l="1"/>
  <c r="Q18" i="20"/>
  <c r="S18" i="20"/>
  <c r="T10" i="28"/>
  <c r="Q20" i="14"/>
  <c r="Q11" i="25"/>
  <c r="Q7" i="25"/>
  <c r="Q10" i="25"/>
  <c r="Q6" i="25"/>
  <c r="Q13" i="25"/>
  <c r="Q12" i="25"/>
  <c r="Q9" i="25"/>
  <c r="Q8" i="25"/>
  <c r="Q5" i="25"/>
  <c r="Q4" i="25"/>
  <c r="R19" i="20"/>
  <c r="Q34" i="21"/>
  <c r="Q33" i="21"/>
  <c r="Q24" i="21"/>
  <c r="P24" i="14"/>
  <c r="Q19" i="20"/>
  <c r="Q20" i="20"/>
  <c r="Q23" i="20" s="1"/>
  <c r="S20" i="20"/>
  <c r="P33" i="20" s="1"/>
  <c r="Q33" i="20" s="1"/>
  <c r="P19" i="20"/>
  <c r="P20" i="20" s="1"/>
  <c r="S19" i="20"/>
  <c r="I14" i="15"/>
  <c r="R18" i="20"/>
  <c r="Q24" i="15"/>
  <c r="Q23" i="15"/>
  <c r="Q21" i="15"/>
  <c r="Q22" i="15"/>
  <c r="R25" i="15"/>
  <c r="R18" i="14"/>
  <c r="R19" i="14" s="1"/>
  <c r="R21" i="14" s="1"/>
  <c r="R22" i="14" s="1"/>
  <c r="Q18" i="14"/>
  <c r="Q19" i="14" s="1"/>
  <c r="R20" i="20" l="1"/>
  <c r="T11" i="28"/>
  <c r="Q21" i="14"/>
  <c r="Q22" i="14" s="1"/>
  <c r="P30" i="20"/>
  <c r="Q30" i="20" s="1"/>
  <c r="Q21" i="21"/>
  <c r="Q25" i="21" s="1"/>
  <c r="Q23" i="21"/>
  <c r="Q22" i="21"/>
  <c r="R21" i="21"/>
  <c r="P28" i="20"/>
  <c r="Q28" i="20" s="1"/>
  <c r="P23" i="20"/>
  <c r="I15" i="15"/>
  <c r="I16" i="15" s="1"/>
  <c r="I17" i="15" s="1"/>
  <c r="P32" i="20"/>
  <c r="Q32" i="20" s="1"/>
  <c r="R22" i="20"/>
  <c r="P20" i="14"/>
  <c r="P15" i="14"/>
  <c r="Q28" i="13"/>
  <c r="Q29" i="13"/>
  <c r="Q30" i="13"/>
  <c r="Q31" i="13"/>
  <c r="Q32" i="13"/>
  <c r="Q33" i="13"/>
  <c r="Q27" i="13"/>
  <c r="P28" i="13"/>
  <c r="P29" i="13"/>
  <c r="P30" i="13"/>
  <c r="P31" i="13"/>
  <c r="P32" i="13"/>
  <c r="P33" i="13"/>
  <c r="P27" i="13"/>
  <c r="Q16" i="13"/>
  <c r="R16" i="13"/>
  <c r="Q17" i="13"/>
  <c r="R17" i="13"/>
  <c r="Q18" i="13"/>
  <c r="R18" i="13"/>
  <c r="Q19" i="13"/>
  <c r="R19" i="13"/>
  <c r="Q20" i="13"/>
  <c r="R20" i="13"/>
  <c r="P17" i="13"/>
  <c r="P18" i="13"/>
  <c r="P19" i="13"/>
  <c r="P20" i="13"/>
  <c r="P16" i="13"/>
  <c r="T12" i="28" l="1"/>
  <c r="T13" i="28"/>
  <c r="R28" i="13"/>
  <c r="R32" i="13"/>
  <c r="R24" i="21"/>
  <c r="R23" i="21"/>
  <c r="R22" i="21"/>
  <c r="I18" i="15"/>
  <c r="R33" i="13"/>
  <c r="R31" i="13"/>
  <c r="R30" i="13"/>
  <c r="R29" i="13"/>
  <c r="R27" i="13"/>
  <c r="S22" i="20"/>
  <c r="S23" i="20" s="1"/>
  <c r="P31" i="20"/>
  <c r="R23" i="20"/>
  <c r="P16" i="14"/>
  <c r="P17" i="14" s="1"/>
  <c r="Q23" i="12"/>
  <c r="Q24" i="12"/>
  <c r="Q25" i="12"/>
  <c r="Q26" i="12"/>
  <c r="Q27" i="12"/>
  <c r="Q28" i="12"/>
  <c r="Q22" i="12"/>
  <c r="P23" i="12"/>
  <c r="P24" i="12"/>
  <c r="P25" i="12"/>
  <c r="P26" i="12"/>
  <c r="P27" i="12"/>
  <c r="P28" i="12"/>
  <c r="P22" i="12"/>
  <c r="P7" i="12"/>
  <c r="Q7" i="12" s="1"/>
  <c r="P8" i="12"/>
  <c r="Q8" i="12" s="1"/>
  <c r="P9" i="12"/>
  <c r="Q9" i="12" s="1"/>
  <c r="P10" i="12"/>
  <c r="Q10" i="12" s="1"/>
  <c r="P11" i="12"/>
  <c r="Q11" i="12" s="1"/>
  <c r="P6" i="12"/>
  <c r="Q6" i="12" s="1"/>
  <c r="R27" i="12" l="1"/>
  <c r="R25" i="12"/>
  <c r="R23" i="12"/>
  <c r="R22" i="12"/>
  <c r="I19" i="15"/>
  <c r="R26" i="12"/>
  <c r="R28" i="12"/>
  <c r="R24" i="12"/>
  <c r="P34" i="20"/>
  <c r="Q31" i="20"/>
  <c r="P18" i="14"/>
  <c r="P22" i="11"/>
  <c r="Q22" i="11" s="1"/>
  <c r="P23" i="11"/>
  <c r="Q23" i="11" s="1"/>
  <c r="P24" i="11"/>
  <c r="Q24" i="11" s="1"/>
  <c r="P25" i="11"/>
  <c r="Q25" i="11" s="1"/>
  <c r="P26" i="11"/>
  <c r="Q26" i="11" s="1"/>
  <c r="P27" i="11"/>
  <c r="Q27" i="11" s="1"/>
  <c r="P21" i="11"/>
  <c r="Q21" i="11" s="1"/>
  <c r="P8" i="11"/>
  <c r="P9" i="11"/>
  <c r="P10" i="11"/>
  <c r="P11" i="11"/>
  <c r="P12" i="11"/>
  <c r="P7" i="11"/>
  <c r="T14" i="28" l="1"/>
  <c r="I20" i="15"/>
  <c r="I21" i="15" s="1"/>
  <c r="I22" i="15" s="1"/>
  <c r="P19" i="14"/>
  <c r="P21" i="14" s="1"/>
  <c r="P22" i="14" s="1"/>
  <c r="P25" i="14" s="1"/>
  <c r="P27" i="14" s="1"/>
  <c r="Q39" i="9"/>
  <c r="Q40" i="9"/>
  <c r="Q41" i="9"/>
  <c r="Q42" i="9"/>
  <c r="Q38" i="9"/>
  <c r="P38" i="9"/>
  <c r="P39" i="9" s="1"/>
  <c r="P40" i="9" s="1"/>
  <c r="P41" i="9" s="1"/>
  <c r="P42" i="9" s="1"/>
  <c r="P43" i="9" s="1"/>
  <c r="P44" i="9" s="1"/>
  <c r="Q22" i="9"/>
  <c r="Q23" i="9"/>
  <c r="Q24" i="9"/>
  <c r="Q25" i="9"/>
  <c r="Q21" i="9"/>
  <c r="P24" i="9"/>
  <c r="P25" i="9"/>
  <c r="P26" i="9"/>
  <c r="P27" i="9"/>
  <c r="P23" i="9"/>
  <c r="Q10" i="9"/>
  <c r="Q11" i="9"/>
  <c r="Q12" i="9"/>
  <c r="Q13" i="9"/>
  <c r="Q9" i="9"/>
  <c r="C13" i="9"/>
  <c r="C12" i="9"/>
  <c r="C11" i="9"/>
  <c r="C10" i="9"/>
  <c r="C9" i="9"/>
  <c r="B13" i="9"/>
  <c r="B12" i="9"/>
  <c r="B11" i="9"/>
  <c r="B10" i="9"/>
  <c r="B9" i="9"/>
  <c r="F6" i="9"/>
  <c r="A6" i="9"/>
  <c r="Q20" i="10"/>
  <c r="Q21" i="10"/>
  <c r="Q22" i="10"/>
  <c r="Q23" i="10"/>
  <c r="Q19" i="10"/>
  <c r="Q7" i="10"/>
  <c r="Q8" i="10"/>
  <c r="Q9" i="10"/>
  <c r="Q10" i="10"/>
  <c r="Q11" i="10"/>
  <c r="Q6" i="10"/>
  <c r="P7" i="10"/>
  <c r="P8" i="10"/>
  <c r="P9" i="10"/>
  <c r="P10" i="10"/>
  <c r="P11" i="10"/>
  <c r="P12" i="10"/>
  <c r="P13" i="10"/>
  <c r="P14" i="10"/>
  <c r="P15" i="10"/>
  <c r="P16" i="10"/>
  <c r="P17" i="10"/>
  <c r="P18" i="10"/>
  <c r="P19" i="10"/>
  <c r="P20" i="10"/>
  <c r="P21" i="10"/>
  <c r="P22" i="10"/>
  <c r="P6" i="10"/>
  <c r="R60" i="8"/>
  <c r="Q57" i="8"/>
  <c r="Q58" i="8"/>
  <c r="Q59" i="8"/>
  <c r="Q60" i="8"/>
  <c r="Q56" i="8"/>
  <c r="P62" i="8"/>
  <c r="R57" i="8" s="1"/>
  <c r="P61" i="8"/>
  <c r="Q26" i="9" l="1"/>
  <c r="T15" i="28"/>
  <c r="Q14" i="9"/>
  <c r="P28" i="9"/>
  <c r="I23" i="15"/>
  <c r="R59" i="8"/>
  <c r="R58" i="8"/>
  <c r="R56" i="8"/>
  <c r="P13" i="9"/>
  <c r="P11" i="9"/>
  <c r="P10" i="9"/>
  <c r="P12" i="9"/>
  <c r="P9" i="9"/>
  <c r="T44" i="8"/>
  <c r="T45" i="8"/>
  <c r="T46" i="8"/>
  <c r="T43" i="8"/>
  <c r="S44" i="8"/>
  <c r="S45" i="8"/>
  <c r="S46" i="8"/>
  <c r="S43" i="8"/>
  <c r="P48" i="8"/>
  <c r="P49" i="8" s="1"/>
  <c r="Q42" i="8"/>
  <c r="Q43" i="8"/>
  <c r="Q44" i="8"/>
  <c r="Q45" i="8"/>
  <c r="Q46" i="8"/>
  <c r="Q47" i="8"/>
  <c r="Q41" i="8"/>
  <c r="Q33" i="8"/>
  <c r="S29" i="8"/>
  <c r="R25" i="8"/>
  <c r="S25" i="8" s="1"/>
  <c r="R26" i="8"/>
  <c r="S26" i="8" s="1"/>
  <c r="R27" i="8"/>
  <c r="S27" i="8" s="1"/>
  <c r="R28" i="8"/>
  <c r="S28" i="8" s="1"/>
  <c r="R29" i="8"/>
  <c r="R30" i="8"/>
  <c r="S30" i="8" s="1"/>
  <c r="R31" i="8"/>
  <c r="S31" i="8" s="1"/>
  <c r="R32" i="8"/>
  <c r="S32" i="8" s="1"/>
  <c r="R24" i="8"/>
  <c r="S24" i="8" s="1"/>
  <c r="P25" i="8"/>
  <c r="P26" i="8"/>
  <c r="P27" i="8"/>
  <c r="P24" i="8"/>
  <c r="Q11" i="8"/>
  <c r="Q12" i="8"/>
  <c r="Q13" i="8"/>
  <c r="Q14" i="8"/>
  <c r="Q15" i="8"/>
  <c r="Q16" i="8"/>
  <c r="Q10" i="8"/>
  <c r="T16" i="28" l="1"/>
  <c r="Q48" i="8"/>
  <c r="Q49" i="8" s="1"/>
  <c r="Q50" i="8" s="1"/>
  <c r="I24" i="15"/>
  <c r="S33" i="8"/>
  <c r="R33" i="8"/>
  <c r="C34" i="20"/>
  <c r="Q34" i="20" s="1"/>
  <c r="I25" i="15" l="1"/>
  <c r="B16" i="20"/>
  <c r="I26" i="15" l="1"/>
  <c r="P9" i="8"/>
  <c r="P13" i="8"/>
  <c r="P8" i="8"/>
  <c r="P14" i="8"/>
  <c r="P11" i="8"/>
  <c r="P10" i="8"/>
  <c r="P16" i="8"/>
  <c r="P15" i="8"/>
  <c r="P12" i="8"/>
  <c r="C47" i="17"/>
  <c r="B47" i="17"/>
  <c r="D46" i="17"/>
  <c r="E46" i="17" s="1"/>
  <c r="E47" i="17" s="1"/>
  <c r="I27" i="15" l="1"/>
  <c r="D47" i="17"/>
  <c r="D9" i="14"/>
  <c r="I28" i="15" l="1"/>
  <c r="F42" i="9"/>
  <c r="F41" i="9"/>
  <c r="F40" i="9"/>
  <c r="F39" i="9"/>
  <c r="F38" i="9"/>
  <c r="F23" i="10"/>
  <c r="F22" i="10"/>
  <c r="F21" i="10"/>
  <c r="F20" i="10"/>
  <c r="F19" i="10"/>
  <c r="R41" i="9" l="1"/>
  <c r="R39" i="9"/>
  <c r="R40" i="9"/>
  <c r="R42" i="9"/>
  <c r="R38" i="9"/>
  <c r="R22" i="10"/>
  <c r="S22" i="10" s="1"/>
  <c r="R20" i="10"/>
  <c r="S20" i="10" s="1"/>
  <c r="R23" i="10"/>
  <c r="S23" i="10" s="1"/>
  <c r="R21" i="10"/>
  <c r="S21" i="10" s="1"/>
  <c r="R19" i="10"/>
  <c r="S19" i="10" s="1"/>
  <c r="I29" i="15"/>
  <c r="I30"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Dr. T</author>
  </authors>
  <commentList>
    <comment ref="K9" authorId="0" shapeId="0" xr:uid="{00000000-0006-0000-0D00-000001000000}">
      <text>
        <r>
          <rPr>
            <sz val="9"/>
            <color indexed="81"/>
            <rFont val="Segoe UI"/>
            <family val="2"/>
          </rPr>
          <t>Das ist doch irgendwie verrückt, oder?!
Bei genauerer Betrachtung ist es jedoch einfach: Der Vergleich H9&lt;G9 stimmt entweder, oder er stimmt nicht. Wenn er stimmt, dann ermittelt Excel WAHR, wenn nicht, dann FALSCH. Wenn man weiß, dass WAHR gleich 1 ist und FALSCH gleich 0 ist, dann wird 'ein Schuh draus'?!</t>
        </r>
      </text>
    </comment>
    <comment ref="C38" authorId="0" shapeId="0" xr:uid="{00000000-0006-0000-0D00-000002000000}">
      <text>
        <r>
          <rPr>
            <sz val="9"/>
            <color indexed="81"/>
            <rFont val="Segoe UI"/>
            <family val="2"/>
          </rPr>
          <t>Wie ist das noch? Ein Tag hat 24 Stunden, eine Stunde 60 Minuten?!
Wenn man in Excel mit Uhrzeiten arbeitet und diese in Zahlen umwandeln möchte, hilft diese Überlegung?!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<sst xmlns="http://schemas.openxmlformats.org/spreadsheetml/2006/main" count="1652" uniqueCount="933">
  <si>
    <t>Rechnen</t>
  </si>
  <si>
    <t>Summe</t>
  </si>
  <si>
    <t>Differenz</t>
  </si>
  <si>
    <t>Produkt</t>
  </si>
  <si>
    <t>Quotient</t>
  </si>
  <si>
    <t>Theaterkarten</t>
  </si>
  <si>
    <t>Platz</t>
  </si>
  <si>
    <t>Preis</t>
  </si>
  <si>
    <t>Stück</t>
  </si>
  <si>
    <t>Einnahmen</t>
  </si>
  <si>
    <t>Loge</t>
  </si>
  <si>
    <t>Parkett vorne</t>
  </si>
  <si>
    <t>Parkett hinten</t>
  </si>
  <si>
    <t>Galerie</t>
  </si>
  <si>
    <t>Stehplatz</t>
  </si>
  <si>
    <t>Gesamt</t>
  </si>
  <si>
    <t>Auftritt</t>
  </si>
  <si>
    <t>Gage für Band</t>
  </si>
  <si>
    <t>Kosten für Bandbus</t>
  </si>
  <si>
    <t>Anzahl Musiker</t>
  </si>
  <si>
    <t>Gage pro Musiker</t>
  </si>
  <si>
    <t>Teeservice</t>
  </si>
  <si>
    <t>Artikel</t>
  </si>
  <si>
    <t>Einzelpreis</t>
  </si>
  <si>
    <t>Gesamtpreis</t>
  </si>
  <si>
    <t>Kanne</t>
  </si>
  <si>
    <t>Stövchen</t>
  </si>
  <si>
    <t>Tasse</t>
  </si>
  <si>
    <t>Untertasse</t>
  </si>
  <si>
    <t>Teller</t>
  </si>
  <si>
    <t>Kuchentablett</t>
  </si>
  <si>
    <t>Zuckerdose</t>
  </si>
  <si>
    <t>Milchkännchen</t>
  </si>
  <si>
    <t>Kerzenhalter</t>
  </si>
  <si>
    <t>Berechnen Sie aus den Zellen die Gesamtpreise.
Kopieren Sie die Formel durch Ziehen nach unten.
Für den Betrag verwenden Sie die Autosumme.</t>
  </si>
  <si>
    <t>Wohnungen</t>
  </si>
  <si>
    <t>Wohnfläche</t>
  </si>
  <si>
    <t>Miete</t>
  </si>
  <si>
    <t>Badstraße</t>
  </si>
  <si>
    <t>Schillerstraße</t>
  </si>
  <si>
    <t>Seestraße</t>
  </si>
  <si>
    <t>Opernplatz</t>
  </si>
  <si>
    <t>Rathausplatz</t>
  </si>
  <si>
    <t>Schlossallee</t>
  </si>
  <si>
    <t>Boden</t>
  </si>
  <si>
    <t>Packungsinhalt</t>
  </si>
  <si>
    <t>Packungspreis</t>
  </si>
  <si>
    <t>Fliesen "Neapel"</t>
  </si>
  <si>
    <t>Fliesen "Orient"</t>
  </si>
  <si>
    <t>Parkett Buche</t>
  </si>
  <si>
    <t>Parkett Nuss</t>
  </si>
  <si>
    <t>Laminat</t>
  </si>
  <si>
    <t>Unterlegmatte</t>
  </si>
  <si>
    <t>Ausgaben</t>
  </si>
  <si>
    <t>Datum</t>
  </si>
  <si>
    <t>Art</t>
  </si>
  <si>
    <t>Betrag</t>
  </si>
  <si>
    <t>Supermarkt</t>
  </si>
  <si>
    <t>Tanken</t>
  </si>
  <si>
    <t>Arbeit</t>
  </si>
  <si>
    <t>Stundenlohn</t>
  </si>
  <si>
    <t>Stunden</t>
  </si>
  <si>
    <t>Lohn</t>
  </si>
  <si>
    <t>Telefoncenter</t>
  </si>
  <si>
    <t>Gärtnerei</t>
  </si>
  <si>
    <t>Mitarbeiter</t>
  </si>
  <si>
    <t>Berger</t>
  </si>
  <si>
    <t>Meier</t>
  </si>
  <si>
    <t>pro Monat</t>
  </si>
  <si>
    <t>pro Jahr</t>
  </si>
  <si>
    <t>Wohnung</t>
  </si>
  <si>
    <t>Büro</t>
  </si>
  <si>
    <t>Lagerraum</t>
  </si>
  <si>
    <t>Garagenplatz</t>
  </si>
  <si>
    <t>Jacke</t>
  </si>
  <si>
    <t>Hose</t>
  </si>
  <si>
    <t>Pullover</t>
  </si>
  <si>
    <t>Blazer</t>
  </si>
  <si>
    <t>Kleid</t>
  </si>
  <si>
    <t>T-Shirt</t>
  </si>
  <si>
    <t>Anzug</t>
  </si>
  <si>
    <t>Addieren, subtrahieren, multiplizieren und dividieren Sie für jede Zeile Zahl 1 mit Zahl 2. Arbeiten sie hierbei mit Zellbezügen und nutzen sie die Möglichkeit, Formeln durch Ziehen zu kopieren.</t>
  </si>
  <si>
    <t>Angebot Website</t>
  </si>
  <si>
    <t>Tätigkeit</t>
  </si>
  <si>
    <t>Stundensatz</t>
  </si>
  <si>
    <t>Zeit in h</t>
  </si>
  <si>
    <t>Consulting</t>
  </si>
  <si>
    <t>Bildbearbeitung</t>
  </si>
  <si>
    <t>HTML</t>
  </si>
  <si>
    <t>Programmierung</t>
  </si>
  <si>
    <t>Büroausstattung</t>
  </si>
  <si>
    <t>Netto gesamt</t>
  </si>
  <si>
    <t>Brutto gesamt</t>
  </si>
  <si>
    <t>PCs</t>
  </si>
  <si>
    <t>Schreibtische</t>
  </si>
  <si>
    <t>Sessel</t>
  </si>
  <si>
    <t>Nettopreis</t>
  </si>
  <si>
    <t>1.</t>
  </si>
  <si>
    <t>Marion Jones</t>
  </si>
  <si>
    <t>USA</t>
  </si>
  <si>
    <t>2.</t>
  </si>
  <si>
    <t>Ekaterini Thanou</t>
  </si>
  <si>
    <t>GRE</t>
  </si>
  <si>
    <t>3.</t>
  </si>
  <si>
    <t>Tanya Lawrence</t>
  </si>
  <si>
    <t>JAM</t>
  </si>
  <si>
    <t>4.</t>
  </si>
  <si>
    <t>Merlene Ottey</t>
  </si>
  <si>
    <t>5.</t>
  </si>
  <si>
    <t>Zhanna Pintusevich</t>
  </si>
  <si>
    <t>UKR</t>
  </si>
  <si>
    <t>6.</t>
  </si>
  <si>
    <t>Chandra Sturrup</t>
  </si>
  <si>
    <t>BAH</t>
  </si>
  <si>
    <t>7.</t>
  </si>
  <si>
    <t>Sevatheda Fynes</t>
  </si>
  <si>
    <t>8.</t>
  </si>
  <si>
    <t>Debbie Ferguson</t>
  </si>
  <si>
    <t>schlechteste Zeit:</t>
  </si>
  <si>
    <t>Zahl der Läuferinnen:</t>
  </si>
  <si>
    <t>Ins Ziel gekommen:</t>
  </si>
  <si>
    <t>Name</t>
  </si>
  <si>
    <t>Thema</t>
  </si>
  <si>
    <t>Note</t>
  </si>
  <si>
    <t>Feuerstein Fred</t>
  </si>
  <si>
    <t>Die Dinosaurier</t>
  </si>
  <si>
    <t>Müller Manfred</t>
  </si>
  <si>
    <t>Konrad Lorenz</t>
  </si>
  <si>
    <t>Berger Herbert</t>
  </si>
  <si>
    <t>Reptilien</t>
  </si>
  <si>
    <t>Lindner Petra</t>
  </si>
  <si>
    <t>Meeressäuger</t>
  </si>
  <si>
    <t>Huber Christine</t>
  </si>
  <si>
    <t>Evolution Mensch</t>
  </si>
  <si>
    <t>Strasser Marianne</t>
  </si>
  <si>
    <t>Meiose/Mitose</t>
  </si>
  <si>
    <t>Siener Nadja</t>
  </si>
  <si>
    <t>Gregor Mendel</t>
  </si>
  <si>
    <t>Gross Michael</t>
  </si>
  <si>
    <t>Erbkrankheiten</t>
  </si>
  <si>
    <t>Juarez Velerie</t>
  </si>
  <si>
    <t>Drogen</t>
  </si>
  <si>
    <t>Kubitschek Thomas</t>
  </si>
  <si>
    <t>Immunsystem</t>
  </si>
  <si>
    <t>Lang Sylvia</t>
  </si>
  <si>
    <t>Alternative Energiequellen</t>
  </si>
  <si>
    <t>Schrott Hans</t>
  </si>
  <si>
    <t>Problem Müll</t>
  </si>
  <si>
    <t>Schlosser Karl</t>
  </si>
  <si>
    <t>Regenwälder</t>
  </si>
  <si>
    <t>Einstein Albert</t>
  </si>
  <si>
    <t>sexuelle Schlüsselreize</t>
  </si>
  <si>
    <t>Umsatz</t>
  </si>
  <si>
    <t>Meier Karl</t>
  </si>
  <si>
    <t>Huber Sebastian</t>
  </si>
  <si>
    <t>Berger Manuela</t>
  </si>
  <si>
    <t>Gruber Franz</t>
  </si>
  <si>
    <t>Svenson Lars</t>
  </si>
  <si>
    <t>Schwarz Sabine</t>
  </si>
  <si>
    <t>Wagner Julia</t>
  </si>
  <si>
    <t>Böck Stefan</t>
  </si>
  <si>
    <t>Muster Herbert</t>
  </si>
  <si>
    <t>Johnson Steve</t>
  </si>
  <si>
    <t>Sanders Flora</t>
  </si>
  <si>
    <t>Herrmann Petra</t>
  </si>
  <si>
    <t>Frank Peter</t>
  </si>
  <si>
    <t>Lang Iris</t>
  </si>
  <si>
    <t>Seidel Anton</t>
  </si>
  <si>
    <t>Weinert Christian</t>
  </si>
  <si>
    <t>Lohse Joachim</t>
  </si>
  <si>
    <t>Just Eduard</t>
  </si>
  <si>
    <t>Lechner Elisabeth</t>
  </si>
  <si>
    <t>Janovits Renate</t>
  </si>
  <si>
    <t>Tischler Hubert</t>
  </si>
  <si>
    <t>Kraus Michael</t>
  </si>
  <si>
    <t>Trotz Sigrid</t>
  </si>
  <si>
    <t>Weingartner Johannes</t>
  </si>
  <si>
    <t>Stolz Werner</t>
  </si>
  <si>
    <t>Zach Volker</t>
  </si>
  <si>
    <t>Vogel Angelika</t>
  </si>
  <si>
    <t>Kaindl Ingrid</t>
  </si>
  <si>
    <t>Markovic Thomas</t>
  </si>
  <si>
    <t>Schneider Harald</t>
  </si>
  <si>
    <t>Grahl Andreas</t>
  </si>
  <si>
    <t>Czech Ludwig</t>
  </si>
  <si>
    <t>Wimmer Georg</t>
  </si>
  <si>
    <t>Rausch Josef</t>
  </si>
  <si>
    <t>Kilian Viktor</t>
  </si>
  <si>
    <t>Fischer Florian</t>
  </si>
  <si>
    <t>Bergmann Christa</t>
  </si>
  <si>
    <t>Doppler Walter</t>
  </si>
  <si>
    <t>Köstner Renate</t>
  </si>
  <si>
    <t>Joost Richard</t>
  </si>
  <si>
    <t>Zelinka Olga</t>
  </si>
  <si>
    <t>Graf Anita</t>
  </si>
  <si>
    <t>Ertle Gabriela</t>
  </si>
  <si>
    <t>Gerlach Heinz</t>
  </si>
  <si>
    <t>Prummer Astrid</t>
  </si>
  <si>
    <t>Mühlbauer Norbert</t>
  </si>
  <si>
    <t>Hofherr Andreas</t>
  </si>
  <si>
    <t>Schmidt Ulrich</t>
  </si>
  <si>
    <t>Sentürk Aslan</t>
  </si>
  <si>
    <t>Stuck Klaus</t>
  </si>
  <si>
    <t>Wittmann Helmut</t>
  </si>
  <si>
    <t>Gärtner Martin</t>
  </si>
  <si>
    <t>Menzinger Gerhard</t>
  </si>
  <si>
    <t>Kraus Robert</t>
  </si>
  <si>
    <t>Stocker Katja</t>
  </si>
  <si>
    <t>Riegler Franziska</t>
  </si>
  <si>
    <t>Ulrich Dieter</t>
  </si>
  <si>
    <t>Zöllner Marion</t>
  </si>
  <si>
    <t>Schäfer Silvio</t>
  </si>
  <si>
    <t>Riedl Katarina</t>
  </si>
  <si>
    <t>Zimmermann Roswita</t>
  </si>
  <si>
    <t>Knecht Wilhelm</t>
  </si>
  <si>
    <t>Schiller Renate</t>
  </si>
  <si>
    <t>Oswald Maria</t>
  </si>
  <si>
    <t>Özkan Mehmed</t>
  </si>
  <si>
    <t>Brunner Birgit</t>
  </si>
  <si>
    <t>Riedel Volker</t>
  </si>
  <si>
    <t>Lux Johanna</t>
  </si>
  <si>
    <t>Wimmer Agnes</t>
  </si>
  <si>
    <t>Sommer Jan</t>
  </si>
  <si>
    <t>Rehm Jürgen</t>
  </si>
  <si>
    <t>Neumann Daniela</t>
  </si>
  <si>
    <t>Ab einem Umsatz von 80.000,00 € -&gt; "Beförderung!"
Ab einem Umsatz von 50.000,00 € -&gt; "Prämie!"
Unter einem Umsatz von 15.000,00 € -&gt; "Kontrolle!"
Ansonsten "Ok"</t>
  </si>
  <si>
    <t>Prämie</t>
  </si>
  <si>
    <t>Auszahlung</t>
  </si>
  <si>
    <t>Deutsch</t>
  </si>
  <si>
    <t>Geschichte</t>
  </si>
  <si>
    <t>Englisch</t>
  </si>
  <si>
    <t>Mathematik</t>
  </si>
  <si>
    <t>Durchschnitt</t>
  </si>
  <si>
    <t>Versetzung</t>
  </si>
  <si>
    <t>Huber</t>
  </si>
  <si>
    <t>Gruber</t>
  </si>
  <si>
    <t>Schwarz</t>
  </si>
  <si>
    <t>Wagner</t>
  </si>
  <si>
    <t>Böck</t>
  </si>
  <si>
    <t>Jelinek</t>
  </si>
  <si>
    <t>Sacher</t>
  </si>
  <si>
    <t>Kogelmann</t>
  </si>
  <si>
    <t>Willert</t>
  </si>
  <si>
    <t>Höfner</t>
  </si>
  <si>
    <t>Markovic</t>
  </si>
  <si>
    <t>Rennert</t>
  </si>
  <si>
    <t>Kraus</t>
  </si>
  <si>
    <t>Reiter</t>
  </si>
  <si>
    <t>Klasse 9b</t>
  </si>
  <si>
    <t>Euro</t>
  </si>
  <si>
    <t>USD</t>
  </si>
  <si>
    <t>Leistungsorientierte Bezahlung</t>
  </si>
  <si>
    <t>Grundgehalt</t>
  </si>
  <si>
    <t>Provision</t>
  </si>
  <si>
    <t>Steiner</t>
  </si>
  <si>
    <t>Frank</t>
  </si>
  <si>
    <t>Möbius</t>
  </si>
  <si>
    <t>Hofer</t>
  </si>
  <si>
    <t>Schlussverkauf</t>
  </si>
  <si>
    <t>Alles minus</t>
  </si>
  <si>
    <t>Fussboden</t>
  </si>
  <si>
    <t>Verschnitt:</t>
  </si>
  <si>
    <t>Raum</t>
  </si>
  <si>
    <t>Belag</t>
  </si>
  <si>
    <t>Fläche</t>
  </si>
  <si>
    <t>Fläche inkl. Verschnitt</t>
  </si>
  <si>
    <t>Raumpreis</t>
  </si>
  <si>
    <t>Küche</t>
  </si>
  <si>
    <t>Fliesen</t>
  </si>
  <si>
    <t>Bad</t>
  </si>
  <si>
    <t>WC</t>
  </si>
  <si>
    <t>Flur</t>
  </si>
  <si>
    <t>Diele</t>
  </si>
  <si>
    <t>Parkett</t>
  </si>
  <si>
    <t>Wohnzimmer</t>
  </si>
  <si>
    <t>Schlafzimmer</t>
  </si>
  <si>
    <t>Teppich</t>
  </si>
  <si>
    <t>Arbeitszimmer</t>
  </si>
  <si>
    <t>Kinderzimmer</t>
  </si>
  <si>
    <t>Gehalt vorher</t>
  </si>
  <si>
    <t>Gehalt nachher</t>
  </si>
  <si>
    <t>Weiss</t>
  </si>
  <si>
    <t>Lang</t>
  </si>
  <si>
    <t>Gross</t>
  </si>
  <si>
    <t>Müller</t>
  </si>
  <si>
    <t>Gesamt/Monat</t>
  </si>
  <si>
    <t>Lohnkostendifferenz / Jahr</t>
  </si>
  <si>
    <t>Gesamt/Jahr</t>
  </si>
  <si>
    <t>Menge</t>
  </si>
  <si>
    <t>Rabatt</t>
  </si>
  <si>
    <t>Orangensaft</t>
  </si>
  <si>
    <t>Traubensaft</t>
  </si>
  <si>
    <t>Mineral</t>
  </si>
  <si>
    <t>Cola</t>
  </si>
  <si>
    <t>Ab 10 Stück</t>
  </si>
  <si>
    <t>Ab 100 Stück</t>
  </si>
  <si>
    <t>Fröhlich</t>
  </si>
  <si>
    <t>Ziel</t>
  </si>
  <si>
    <t>Anreise</t>
  </si>
  <si>
    <t>Abreise</t>
  </si>
  <si>
    <t>Übernachtungen</t>
  </si>
  <si>
    <t>Venedig</t>
  </si>
  <si>
    <t>Paris</t>
  </si>
  <si>
    <t>Kreta</t>
  </si>
  <si>
    <t>Lanzarote</t>
  </si>
  <si>
    <t>Sizilien</t>
  </si>
  <si>
    <t>1. Berechnen Sie die Arbeitszeit.</t>
  </si>
  <si>
    <t>2. Berechnen Sie die Gesamtstunden.</t>
  </si>
  <si>
    <t>3. Formatieren Sie die Gesamtstunden im Format [h]:mm</t>
  </si>
  <si>
    <t>Tag</t>
  </si>
  <si>
    <t>Beginn</t>
  </si>
  <si>
    <t>Ende</t>
  </si>
  <si>
    <t>Montag</t>
  </si>
  <si>
    <t>Dienstag</t>
  </si>
  <si>
    <t>Mittwoch</t>
  </si>
  <si>
    <t>Donnerstag</t>
  </si>
  <si>
    <t>Freitag</t>
  </si>
  <si>
    <t>1. Berechnen Sie den Lohn pro Tag.
2. Berechnen Sie den Wochenlohn.</t>
  </si>
  <si>
    <t>Sommerfest</t>
  </si>
  <si>
    <t>Programm</t>
  </si>
  <si>
    <t>Dauer in Minuten</t>
  </si>
  <si>
    <t>Live Musik</t>
  </si>
  <si>
    <t>Umbau</t>
  </si>
  <si>
    <t>Gewinnspiel</t>
  </si>
  <si>
    <t>Eröffnung</t>
  </si>
  <si>
    <t>Preisliste Waschmaschinen</t>
  </si>
  <si>
    <t>Marke</t>
  </si>
  <si>
    <t>Typ</t>
  </si>
  <si>
    <t>AEG</t>
  </si>
  <si>
    <t>76600 LAVAMAT</t>
  </si>
  <si>
    <t>Whirlpool</t>
  </si>
  <si>
    <t>AWM 6141</t>
  </si>
  <si>
    <t>Miele</t>
  </si>
  <si>
    <t>W451</t>
  </si>
  <si>
    <t>1045 EL LAVAMAT</t>
  </si>
  <si>
    <t>Elin</t>
  </si>
  <si>
    <t>WA A 100 E</t>
  </si>
  <si>
    <t xml:space="preserve"> nicht lagernd </t>
  </si>
  <si>
    <t>Eudora</t>
  </si>
  <si>
    <t>WA 755</t>
  </si>
  <si>
    <t>W 2260 WPS</t>
  </si>
  <si>
    <t>Bosch</t>
  </si>
  <si>
    <t>WFL 2800</t>
  </si>
  <si>
    <t>WFO 32 42</t>
  </si>
  <si>
    <t>100 Meter Lauf</t>
  </si>
  <si>
    <t>weiß nicht...</t>
  </si>
  <si>
    <t>hmm...</t>
  </si>
  <si>
    <t>Tja...</t>
  </si>
  <si>
    <t>mal sehn...</t>
  </si>
  <si>
    <t>Rechnungsdatum</t>
  </si>
  <si>
    <t>heutiges Datum</t>
  </si>
  <si>
    <t>fällig seit Tagen</t>
  </si>
  <si>
    <t>Die folgenden Rechnungen wurden noch nicht bezahlt!
• Ermitteln Sie das heutige Datum mit einer Funktion.
• Wieviel Tage sind seit der Rechnungstellung vergangen?</t>
  </si>
  <si>
    <t>Armbanduhr</t>
  </si>
  <si>
    <t>Weinflasche</t>
  </si>
  <si>
    <t>KundenNr</t>
  </si>
  <si>
    <t>Auftragswert</t>
  </si>
  <si>
    <t>Werbegeschenk</t>
  </si>
  <si>
    <t>Fischer</t>
  </si>
  <si>
    <t>Grahl</t>
  </si>
  <si>
    <t>Gerlach</t>
  </si>
  <si>
    <t>Hofherr</t>
  </si>
  <si>
    <t>Doppler</t>
  </si>
  <si>
    <t>Bergmann</t>
  </si>
  <si>
    <t>Czech</t>
  </si>
  <si>
    <t>Herrmann</t>
  </si>
  <si>
    <t>Brunner</t>
  </si>
  <si>
    <t>Ertle</t>
  </si>
  <si>
    <t>Graf</t>
  </si>
  <si>
    <t>Gärtner</t>
  </si>
  <si>
    <t>Auftragswert 5.000,00 € oder mehr:</t>
  </si>
  <si>
    <t>Auftragswert unter 5.000,00 €:</t>
  </si>
  <si>
    <t xml:space="preserve">Mitarbeiter </t>
  </si>
  <si>
    <t>Provision (Betrag)</t>
  </si>
  <si>
    <t>Lutz</t>
  </si>
  <si>
    <t>Hermann</t>
  </si>
  <si>
    <t>Provision bei Umsatz weniger als 20.000,00 €:</t>
  </si>
  <si>
    <t>Provision bei Umsatz ab 20.000,00 €:</t>
  </si>
  <si>
    <t>Mahnung</t>
  </si>
  <si>
    <t>1. Mahnung</t>
  </si>
  <si>
    <t>2. Mahnung</t>
  </si>
  <si>
    <t>Kunden, die mehr als 30 Tage nicht bezahlt haben:</t>
  </si>
  <si>
    <t>Kunden, die mehr als 60 Tage nicht bezahlt haben:</t>
  </si>
  <si>
    <t>Mitglieder</t>
  </si>
  <si>
    <t>Mitgliedszeit in Monaten</t>
  </si>
  <si>
    <t>Karl Heinz</t>
  </si>
  <si>
    <t>Anneliese Armkraft</t>
  </si>
  <si>
    <t>Girlinde Rosenthal</t>
  </si>
  <si>
    <t>Ignatz Walters</t>
  </si>
  <si>
    <t>Arnold Weisenegger</t>
  </si>
  <si>
    <t>Ruppert Rücken</t>
  </si>
  <si>
    <t>Schweißband</t>
  </si>
  <si>
    <t>Handtuch Limited Edition</t>
  </si>
  <si>
    <t>Trinkflasche Limited Edition</t>
  </si>
  <si>
    <t>500 g Eiweißpulver</t>
  </si>
  <si>
    <t>Traingshandschuhe</t>
  </si>
  <si>
    <t>Sporttasche Limited Edition</t>
  </si>
  <si>
    <t>2 Monate gratis Mitgliedschaft</t>
  </si>
  <si>
    <t>Geschenkkorb</t>
  </si>
  <si>
    <t>Welche Prämie bekommen die Mitglieder im Fitnessstudio?</t>
  </si>
  <si>
    <t>Verkaufte Stück</t>
  </si>
  <si>
    <t>Gesamtumsatz</t>
  </si>
  <si>
    <t>Aker</t>
  </si>
  <si>
    <t>Sumsang</t>
  </si>
  <si>
    <t>Boguatti</t>
  </si>
  <si>
    <t>Popel</t>
  </si>
  <si>
    <t>Aik</t>
  </si>
  <si>
    <t>Kartman</t>
  </si>
  <si>
    <t>Buteris</t>
  </si>
  <si>
    <t xml:space="preserve">Fehltage </t>
  </si>
  <si>
    <t>Gesamtlohn</t>
  </si>
  <si>
    <t>Herr Bubitsch</t>
  </si>
  <si>
    <t xml:space="preserve">Frau Gaan </t>
  </si>
  <si>
    <t>Frau Elinberger</t>
  </si>
  <si>
    <t>Herr Fuchs</t>
  </si>
  <si>
    <t>Herr Neubauer</t>
  </si>
  <si>
    <t>Herr Morina</t>
  </si>
  <si>
    <t xml:space="preserve">Fehltage  </t>
  </si>
  <si>
    <t>Lohnabzug</t>
  </si>
  <si>
    <t>8.50%</t>
  </si>
  <si>
    <t>Zimmer</t>
  </si>
  <si>
    <t>Preis pro Übernachtung</t>
  </si>
  <si>
    <t>Check-IN</t>
  </si>
  <si>
    <t>Check-OUT</t>
  </si>
  <si>
    <t>Tage insgesamt</t>
  </si>
  <si>
    <t>Übernachtungskosten</t>
  </si>
  <si>
    <t>Herr Adam</t>
  </si>
  <si>
    <t>Einzelzimmer</t>
  </si>
  <si>
    <t>Frau Bajrami</t>
  </si>
  <si>
    <t>Luxus-Suite</t>
  </si>
  <si>
    <t>Frau Bertold</t>
  </si>
  <si>
    <t>Doppelzimmer</t>
  </si>
  <si>
    <t>Herr Gök</t>
  </si>
  <si>
    <t>Herr Hofer</t>
  </si>
  <si>
    <t>Suite</t>
  </si>
  <si>
    <t>Frau Zug</t>
  </si>
  <si>
    <t>Herr Obama</t>
  </si>
  <si>
    <t>Präsidenten-Suite</t>
  </si>
  <si>
    <t>Wie viel Euro müssen die Gäste bezahlen?</t>
  </si>
  <si>
    <t>Spediteur</t>
  </si>
  <si>
    <t>Frachtkosten</t>
  </si>
  <si>
    <t>Transport in Kilo</t>
  </si>
  <si>
    <t>Spackner</t>
  </si>
  <si>
    <t>Fetz</t>
  </si>
  <si>
    <t>Randwerke</t>
  </si>
  <si>
    <t>BD</t>
  </si>
  <si>
    <t>Move AG</t>
  </si>
  <si>
    <t>XLA GmbH</t>
  </si>
  <si>
    <t>Toto Loto AG</t>
  </si>
  <si>
    <t>Hupfil KG</t>
  </si>
  <si>
    <t>Auto</t>
  </si>
  <si>
    <t>Von</t>
  </si>
  <si>
    <t>Bis</t>
  </si>
  <si>
    <t>Tage Insgesamt</t>
  </si>
  <si>
    <t>Elisabeth</t>
  </si>
  <si>
    <t>Mercedes SLS</t>
  </si>
  <si>
    <t>Jaqueline</t>
  </si>
  <si>
    <t>Audi R8</t>
  </si>
  <si>
    <t>Maria</t>
  </si>
  <si>
    <t>BMW M6</t>
  </si>
  <si>
    <t>Christoph</t>
  </si>
  <si>
    <t>Lamborghini Aventador</t>
  </si>
  <si>
    <t>Daniel</t>
  </si>
  <si>
    <t>Audi RS6</t>
  </si>
  <si>
    <t>Josef</t>
  </si>
  <si>
    <t>Mercedes C350 AMG</t>
  </si>
  <si>
    <t>Pavian</t>
  </si>
  <si>
    <t>Lamborghini Murcielago</t>
  </si>
  <si>
    <t>Kosten/Tag</t>
  </si>
  <si>
    <t>BMW M4</t>
  </si>
  <si>
    <t>Welche Kosten sind für den jeweiligen Kunden entstanden? Berechnen Sie mithilfe des SVERWEIS.</t>
  </si>
  <si>
    <t>Angebotsvergleich für farbiges Kopierpapier</t>
  </si>
  <si>
    <t>Artikel-Nummer</t>
  </si>
  <si>
    <t>Anbieter</t>
  </si>
  <si>
    <t>Daten aus dem Angebot</t>
  </si>
  <si>
    <t>Berechnung</t>
  </si>
  <si>
    <t xml:space="preserve"> * Listeneinkaufspreis je Einheit</t>
  </si>
  <si>
    <t>= Listeneinkaufspreis (gesamt)</t>
  </si>
  <si>
    <t>-  Rabatt</t>
  </si>
  <si>
    <t>= Zieleinkaufspreis</t>
  </si>
  <si>
    <t>-  Skonto</t>
  </si>
  <si>
    <t>= Bareinkaufspreis</t>
  </si>
  <si>
    <t>+ Bezugskosten</t>
  </si>
  <si>
    <t>= Bezugspreis gesamt</t>
  </si>
  <si>
    <t>= Bezugspreis je Einheit</t>
  </si>
  <si>
    <t>Günstigster Anbieter</t>
  </si>
  <si>
    <t>Günstigster Angebotspreis</t>
  </si>
  <si>
    <t>Alter Einstandspreis</t>
  </si>
  <si>
    <t>Abweichung</t>
  </si>
  <si>
    <t>Artikelnummer</t>
  </si>
  <si>
    <t>Anfangsbestand in Stück</t>
  </si>
  <si>
    <t>Schlussbestand in Stück</t>
  </si>
  <si>
    <t>Artikel-Nr.</t>
  </si>
  <si>
    <t>Schlussbestände in Stück</t>
  </si>
  <si>
    <t>Maßnahmen ergreifen</t>
  </si>
  <si>
    <t>Abgänge
in Stück</t>
  </si>
  <si>
    <t>Zugänge
in Stück</t>
  </si>
  <si>
    <t>Anzahl an
Verkäufen</t>
  </si>
  <si>
    <t>Tabellenblattname</t>
  </si>
  <si>
    <t>Funktionen</t>
  </si>
  <si>
    <t>Bezüge</t>
  </si>
  <si>
    <t>Funktionen &amp; Lerninhalt</t>
  </si>
  <si>
    <t>Uhrzeit</t>
  </si>
  <si>
    <t>Startzeit</t>
  </si>
  <si>
    <t>Endzeit</t>
  </si>
  <si>
    <t>+1 Tag
(= 24 Stunden)</t>
  </si>
  <si>
    <t>Dezimalzahl</t>
  </si>
  <si>
    <t>1. Kopieren Sie die Formeln aus der obigen Tabelle.
2. Ändern Sie Formeln und Formate so, dass die Stunden
    als Dezimalzahlen mit einer Nachkommastelle angezeigt werden.</t>
  </si>
  <si>
    <t>Füllen Sie die untere Tabelle mithilfe des SVERWEIS aus. Formatieren Sie richtig.</t>
  </si>
  <si>
    <t xml:space="preserve">Normales Gehalt = 2.500,00 €
Wenn Umsatz 50.000,00 € oder mehr,
zusätzlich 3,5% des über 50.000,00 € liegenden Umsatzanteils. </t>
  </si>
  <si>
    <t>Rabatte</t>
  </si>
  <si>
    <t>Anmerkung</t>
  </si>
  <si>
    <t>Miete pro m²</t>
  </si>
  <si>
    <t>Von der Bandgage werden die Buskosten abgezogen. Der Rest teilt sich durch die Zahl der Musiker.</t>
  </si>
  <si>
    <t>Preis pro m²</t>
  </si>
  <si>
    <t>Ausgaben gesamt</t>
  </si>
  <si>
    <t>Bilanz (Einnahmen minus Ausgaben)</t>
  </si>
  <si>
    <t>Einnahmen gesamt</t>
  </si>
  <si>
    <t>USt</t>
  </si>
  <si>
    <t>Ergebnisse</t>
  </si>
  <si>
    <t>Berechnen Sie die Ergebnisse jeweils für den gesamten Bereich!</t>
  </si>
  <si>
    <t>Anzahl der nicht leeren Zellen</t>
  </si>
  <si>
    <t>Anzahl der Zahlen</t>
  </si>
  <si>
    <t>Anzahlen der Zellen mit Text</t>
  </si>
  <si>
    <t>Größter Wert</t>
  </si>
  <si>
    <t>Kleinster Wert</t>
  </si>
  <si>
    <t>Anzahl Referate</t>
  </si>
  <si>
    <t>Notendurchschnitt</t>
  </si>
  <si>
    <r>
      <rPr>
        <b/>
        <sz val="10"/>
        <rFont val="Arial"/>
        <family val="2"/>
      </rPr>
      <t xml:space="preserve">Anmerkung:
</t>
    </r>
    <r>
      <rPr>
        <sz val="10"/>
        <rFont val="Arial"/>
        <family val="2"/>
      </rPr>
      <t>Laut DIN5008 darf die Einheit, die in der Spaltenbeschriftung bereits vorhanden ist, nicht noch einmal hinter den Wert geschrieben werden.</t>
    </r>
  </si>
  <si>
    <t>Kurs</t>
  </si>
  <si>
    <t>Preis/m²</t>
  </si>
  <si>
    <t>Gehaltserhöhung</t>
  </si>
  <si>
    <t>Satz</t>
  </si>
  <si>
    <t>Mengenrabatt</t>
  </si>
  <si>
    <t>Anteil am Gesamtumsatz in %</t>
  </si>
  <si>
    <t>Anzahl lagernd</t>
  </si>
  <si>
    <t>Billigste Waschmaschine</t>
  </si>
  <si>
    <t>Teuerste Waschmaschine</t>
  </si>
  <si>
    <t>Durchschnittlicher Preis</t>
  </si>
  <si>
    <t>durchschnittliche Zeit</t>
  </si>
  <si>
    <t>beste Zeit</t>
  </si>
  <si>
    <t>schlechteste Zeit</t>
  </si>
  <si>
    <t>Zahl der Läuferinnen</t>
  </si>
  <si>
    <t>Ins Ziel gekommen</t>
  </si>
  <si>
    <t>Fehlstart</t>
  </si>
  <si>
    <t>Wochenlohn</t>
  </si>
  <si>
    <t>Berechnen Sie die Beginnzeiten. Formatieren Sie die berechneten Zellen im entsprechenden Zeit-Format, damit das Ergebnis richtig erscheint.</t>
  </si>
  <si>
    <t>Stunden gesamt</t>
  </si>
  <si>
    <t>Fälligkeiten</t>
  </si>
  <si>
    <t>1. Berechnen Sie die Anzahl der Übernachtungen.
2. Formatieren Sie das Ergebnis als Zahl ohne Dezimalstellen.</t>
  </si>
  <si>
    <t>Absatz
in Stück</t>
  </si>
  <si>
    <t>Zahl 1</t>
  </si>
  <si>
    <t>Zahl 2</t>
  </si>
  <si>
    <t>Berechnen Sie die Quadratmeter-Miete bzw. den Quadratmeter-Preis der ersten Zeile.
Kopieren Sie die Formel durch Ziehen oder Kopieren in die anderen Zellen.</t>
  </si>
  <si>
    <t>SUMME(), mathematische Grundrechenarten</t>
  </si>
  <si>
    <t>SUMME(), mathematische Grundrechenarten, Prozentrechnung</t>
  </si>
  <si>
    <t>ANZAHL(), ANZAHL2(), MIN(), MAX(), MITTELWERT(), SUMME()</t>
  </si>
  <si>
    <t>MITTELWERT(), SUMME(), absolute und relative Bezüge, Prozentrechnung</t>
  </si>
  <si>
    <t>WENN()</t>
  </si>
  <si>
    <t>MITTELWERT(), WENN()</t>
  </si>
  <si>
    <t>HEUTE(), WENN()</t>
  </si>
  <si>
    <t>Uhrzeiten und wie man mit ihnen rechnet, SUMME()</t>
  </si>
  <si>
    <t>SVERWEIS()</t>
  </si>
  <si>
    <t>MIN(), WENN(), Prozentrechnung</t>
  </si>
  <si>
    <t>MIN(), SUMMEWENN(), SVERWEIS(), UND(), WENN(), ZÄHLENWENN(), Prozentrechnung</t>
  </si>
  <si>
    <t>Einfache Berechnungen 1</t>
  </si>
  <si>
    <t>Einfache Berechnungen 2</t>
  </si>
  <si>
    <t>Wenn 1</t>
  </si>
  <si>
    <t>Wenn 2</t>
  </si>
  <si>
    <t>Wenn 3</t>
  </si>
  <si>
    <t>Wenn 4</t>
  </si>
  <si>
    <t>SVerweis 1</t>
  </si>
  <si>
    <t>Gemeinkostenarten (GK)</t>
  </si>
  <si>
    <t>Gemeinkosten</t>
  </si>
  <si>
    <t>Verteilungs-
schlüssel</t>
  </si>
  <si>
    <t>Kostenstellen</t>
  </si>
  <si>
    <t>Mietflächen</t>
  </si>
  <si>
    <t>Energieverbrauch</t>
  </si>
  <si>
    <t>Material</t>
  </si>
  <si>
    <t>Fertigung</t>
  </si>
  <si>
    <t>Verwaltung</t>
  </si>
  <si>
    <t>Vertrieb</t>
  </si>
  <si>
    <t>Energie in kWh</t>
  </si>
  <si>
    <t>Kostenstelle</t>
  </si>
  <si>
    <t>Fläche in m²</t>
  </si>
  <si>
    <t>Versandlager</t>
  </si>
  <si>
    <t>Produktionhalle 1</t>
  </si>
  <si>
    <t>Gehälter</t>
  </si>
  <si>
    <t>Gehaltsliste</t>
  </si>
  <si>
    <t>Lager 3</t>
  </si>
  <si>
    <t>Hilfslöhne</t>
  </si>
  <si>
    <t>Lohnliste</t>
  </si>
  <si>
    <t>Garagen 2</t>
  </si>
  <si>
    <t>Sozialkosten</t>
  </si>
  <si>
    <t>Lohn- und Gehaltsliste</t>
  </si>
  <si>
    <t>Lager 6</t>
  </si>
  <si>
    <t>Abschreibungen</t>
  </si>
  <si>
    <t>lt. Anlagenbuch</t>
  </si>
  <si>
    <t>Lager 1</t>
  </si>
  <si>
    <t>Wasser</t>
  </si>
  <si>
    <t>n. Verbrauch</t>
  </si>
  <si>
    <t>Produktionhalle 4</t>
  </si>
  <si>
    <t>Energie</t>
  </si>
  <si>
    <t>Garagen 1</t>
  </si>
  <si>
    <t>n. Fläche</t>
  </si>
  <si>
    <t>Lager 5</t>
  </si>
  <si>
    <t>Summe Gemeinkosten</t>
  </si>
  <si>
    <t>Verwaltung 1</t>
  </si>
  <si>
    <t>Ist-Zuschlagsgrundlagen</t>
  </si>
  <si>
    <t>Lager 2</t>
  </si>
  <si>
    <t>(FM), (FL), (HK)</t>
  </si>
  <si>
    <t>Garagen 3</t>
  </si>
  <si>
    <t>Ist-Gemeinkostenzuschlagssätze</t>
  </si>
  <si>
    <t>Produktionhalle 5</t>
  </si>
  <si>
    <t>Lager 12</t>
  </si>
  <si>
    <t>Selbstkostenermittlung</t>
  </si>
  <si>
    <t>Normalwerte</t>
  </si>
  <si>
    <t>Istwerte</t>
  </si>
  <si>
    <t>Produktionhalle 3</t>
  </si>
  <si>
    <t>Lager 7</t>
  </si>
  <si>
    <t>Fertigungsmaterial (FM)</t>
  </si>
  <si>
    <t>Lager 10</t>
  </si>
  <si>
    <t>Materialgemeinkosten</t>
  </si>
  <si>
    <t>Lager 4</t>
  </si>
  <si>
    <t>Fertigungslöhne (FL)</t>
  </si>
  <si>
    <t>Produktionhalle 2</t>
  </si>
  <si>
    <t>Fertigungsgemeinkosten</t>
  </si>
  <si>
    <t>Lager 9</t>
  </si>
  <si>
    <t>Lager 8</t>
  </si>
  <si>
    <t>Lager 11</t>
  </si>
  <si>
    <t>Verwaltungsgemeinkosten</t>
  </si>
  <si>
    <t>Vertriebsgemeinkosten</t>
  </si>
  <si>
    <t>Selbstkosten</t>
  </si>
  <si>
    <t>Herstellkosten (HK)</t>
  </si>
  <si>
    <t>SVERWEIS(), SUMMEWENN(), Prozentrechnung</t>
  </si>
  <si>
    <t>Prämie!</t>
  </si>
  <si>
    <t>Kontrolle!</t>
  </si>
  <si>
    <t>OK</t>
  </si>
  <si>
    <t>Beförderung!</t>
  </si>
  <si>
    <t>Nicht bestanden</t>
  </si>
  <si>
    <t>Klasse überspringen</t>
  </si>
  <si>
    <t xml:space="preserve"> </t>
  </si>
  <si>
    <t>Ist der Notendurchschnitt 4,5 und schlechter -&gt; "Nicht bestanden"
Liegt der Notendurchschnitt bei 1,0 -&gt; "Klasse überspringen"
Ansonsten " " (Leerzeichen)</t>
  </si>
  <si>
    <t>Ist der Notendurchschnitt 4,5 und schlechter, soll in der Spalte Versetzung "Nicht bestanden" stehen, ansonsten " " (Leerzeichen).</t>
  </si>
  <si>
    <t>Ist der Notendurchschnitt 4,5 und schlechter -&gt; "Nicht bestanden"
Liegt der Notendurchschnitt bei 1,0 -&gt; "Klasse überspringen"
Bei einem Notendurchschnitt von einschl. 3,5 bis 4,5 -&gt; "Nachhilfe"
Ansonsten " " (Leerzeichen)</t>
  </si>
  <si>
    <t>Prozentpunkte über/unter Durchschnitt</t>
  </si>
  <si>
    <t>Ansonsten " " (Leerzeichen).</t>
  </si>
  <si>
    <t>Wenn der Umsatz größer als 50.000,00 € ist, soll in der dritten Spalte der Text "Prämie!" stehen, ansonsten " " (Leerzeichen).</t>
  </si>
  <si>
    <t>Berechnen Sie den Gesamtumsatz und fügen Sie den abzuziehenden Rabatt in Euro mithilfe des SVERWEIS ein.</t>
  </si>
  <si>
    <t xml:space="preserve">Berechnen Sie die Lohnabzüge und den Gesamtlohn der Mitarbeiter unter Verwendung des SVERWEIS. </t>
  </si>
  <si>
    <t>Berechnen Sie die Angebote der drei Anbieter.
Ermitteln Sie unter Verwendung der passenden Funktionen die Inhalte der Zellen B24 und B25.
Berechnen Sie den Wert in Zelle B27 und lassen Sie diesen als Prozentwert mit zwei Nachkommastellen angeben. Basis ist der alte Preis.</t>
  </si>
  <si>
    <t>Ab 10 Stk.</t>
  </si>
  <si>
    <t>Ab 100 Stk.</t>
  </si>
  <si>
    <t>Wenn Umsatz 50.000,00 € oder mehr -&gt; "Prämie!"
wenn Umsatz weniger als € 15.000 -&gt; "Kontrolle!"
Ansonsten " " (Leerzeichen)</t>
  </si>
  <si>
    <t>Excel rechnet Stunden jeweils nur für einen Tag, d. h. von 00:00 bis 00:00 Uhr. Damit darüber hinaus gehende Zeiten erfasst werden, muss dies Excel kenntlich gemacht werden. Die klappt durch zusätzliche Addition von +(H9&lt;G9).</t>
  </si>
  <si>
    <t>Damit Stunden bzw. Uhrzeiten von Excel weiterverwendet werden können, müssen diese in Dezimalzahlen umgewandelt werden. Dies gelingt, wenn die ausgerechneten Stunden zusätzlich mit 24 multipliziert werden.</t>
  </si>
  <si>
    <t>+</t>
  </si>
  <si>
    <t>=</t>
  </si>
  <si>
    <t>statt …</t>
  </si>
  <si>
    <t>jetzt nur …</t>
  </si>
  <si>
    <t>Klasse 9c</t>
  </si>
  <si>
    <t>Klasse 9a</t>
  </si>
  <si>
    <t>Zeller OHG</t>
  </si>
  <si>
    <t>Heller KG</t>
  </si>
  <si>
    <t>Peller GmbH</t>
  </si>
  <si>
    <t>Belastungen am Arbeitsplatz</t>
  </si>
  <si>
    <t>Art der Belastung</t>
  </si>
  <si>
    <t>Anzahl der
Nennungen</t>
  </si>
  <si>
    <t>Einflussgrößen</t>
  </si>
  <si>
    <t>Abkürzung</t>
  </si>
  <si>
    <t>Umfragetext</t>
  </si>
  <si>
    <t>a</t>
  </si>
  <si>
    <t>Zu laute Druckergeräusche</t>
  </si>
  <si>
    <t>Akustik</t>
  </si>
  <si>
    <t>b</t>
  </si>
  <si>
    <t>Defekte Deckenleuchten</t>
  </si>
  <si>
    <t>Beleuchtung</t>
  </si>
  <si>
    <t>c</t>
  </si>
  <si>
    <t>Zu starke Sonnenwärme</t>
  </si>
  <si>
    <t>Klima</t>
  </si>
  <si>
    <t>d</t>
  </si>
  <si>
    <t>Zu wenig Pflanzen</t>
  </si>
  <si>
    <t>e</t>
  </si>
  <si>
    <t>Blendungen</t>
  </si>
  <si>
    <t>f</t>
  </si>
  <si>
    <t>Schlecht eingestellte Klimaanlage</t>
  </si>
  <si>
    <t>g</t>
  </si>
  <si>
    <t>Nackenschmerzen</t>
  </si>
  <si>
    <t>Arbeitsplatz-Ergonomie</t>
  </si>
  <si>
    <t>h</t>
  </si>
  <si>
    <t>Rückenschmerzen</t>
  </si>
  <si>
    <t>i</t>
  </si>
  <si>
    <t>Störende Bürogespräche</t>
  </si>
  <si>
    <t>j</t>
  </si>
  <si>
    <t>Störende Außengeräusche</t>
  </si>
  <si>
    <t>k</t>
  </si>
  <si>
    <t>Schlechte, verbrauchte Luft</t>
  </si>
  <si>
    <t>Auswertung</t>
  </si>
  <si>
    <t>Anteil an der
Gesamtanzahl der
Nennungen in Prozent</t>
  </si>
  <si>
    <t>Priorität</t>
  </si>
  <si>
    <t>Anzahl der Nennungen
2010</t>
  </si>
  <si>
    <t>Wochentag</t>
  </si>
  <si>
    <t>Abteilung</t>
  </si>
  <si>
    <t>Abkürzung (Belastung)</t>
  </si>
  <si>
    <t>Personal</t>
  </si>
  <si>
    <t>Controlling</t>
  </si>
  <si>
    <t>Finanzen</t>
  </si>
  <si>
    <t>Beschaffung</t>
  </si>
  <si>
    <t>Marketing</t>
  </si>
  <si>
    <t>Veränderung körperlicher Auswirkungen 2020 gegenüber 2010</t>
  </si>
  <si>
    <t>Ermitteln Sie in den Zellen C6 bis C16 die Anzahl der Nennungen der aufgeführten Belastungen am Arbeitsplatz.</t>
  </si>
  <si>
    <t>Bilden Sie in der Zelle C20 die Summe der Nennungen.</t>
  </si>
  <si>
    <t>Finden Sie heraus, ob Sie hier die Funktion SVERWEIS(), ZÄHLENWENN() oder SUMMEWENN() benötigen</t>
  </si>
  <si>
    <t>und wenden Sie die geeignete Funktion an.</t>
  </si>
  <si>
    <t>Beziehen Sie sich dabei auf die Tabelle Belastungen am Arbeitsplatz.</t>
  </si>
  <si>
    <t>Werten Sie in der Tabelle Auswertung in Spalte B die Ergebnisse der Umfrage zu Belastungen am Arbeitsplatz aus.</t>
  </si>
  <si>
    <t>Berechnen Sie in der Spalte D der gleichen Tabelle die fehlenden Werte.</t>
  </si>
  <si>
    <t>Ermitteln Sie mit Hilfe der WENN()-Funktion in Spalte D dieser Tabelle die Prioritäten nach folgenden Vorgaben:</t>
  </si>
  <si>
    <t xml:space="preserve">Die Priorität 1 ist bei prozentualen Anteilen ab 35 % zuwählen, die Priorität 2 ab 20 %; </t>
  </si>
  <si>
    <t>allen anderen Werten ist die Priorität 3 zuzuweisen.</t>
  </si>
  <si>
    <t>Anzahl der Nennungen
2020</t>
  </si>
  <si>
    <t>Prozentuale Abweichung
2020 zu 2010</t>
  </si>
  <si>
    <t>Ermitteln Sie in Spalte B der unteren Tabelle unter Bezug auf die Tabelle Belastungen am Arbeitsplatz die</t>
  </si>
  <si>
    <t>fehlenden Werte. Welche Funktion ermöglicht Ihnen dieses?</t>
  </si>
  <si>
    <t>Berechnen Sie in Spalte D dieser Tabelle die prozentualen Unterschiede zwischen den berechneten und</t>
  </si>
  <si>
    <t>den vorgegebenen Werten.</t>
  </si>
  <si>
    <t>9.</t>
  </si>
  <si>
    <t>10.</t>
  </si>
  <si>
    <t>Beziehen Sie sich dabei auf das Tabellenblatt Statistik I-Hilfstabelle.</t>
  </si>
  <si>
    <r>
      <rPr>
        <b/>
        <sz val="10"/>
        <rFont val="Arial"/>
        <family val="2"/>
      </rPr>
      <t xml:space="preserve">Anmerkung:
</t>
    </r>
    <r>
      <rPr>
        <sz val="10"/>
        <rFont val="Arial"/>
        <family val="2"/>
      </rPr>
      <t>Die verwendeten Lösungswege sind nicht die einzig möglichen Lösungen der Aufgaben. Gerade bei Berechnungen können Argumente vertauscht und WENN-Schleifen vorwärts und rückwärts aufgestellt werden. Nur weil Ihre Funktion unter Umständen anders aussieht, muss sie nicht unbedingt falsch sein. Falsch ist das Ergebnis, wenn die Zelle rot eingefärbt wird; bei grüner Einfärbung ist das Ergebnis korrekt.</t>
    </r>
  </si>
  <si>
    <r>
      <t xml:space="preserve">Anmerkung zur Stundenberechnung:
</t>
    </r>
    <r>
      <rPr>
        <sz val="10"/>
        <rFont val="Arial"/>
        <family val="2"/>
      </rPr>
      <t xml:space="preserve">Wie bereits in der Einleitung der Übungsmappe erwähnt, rechnet Excel Zeiten mit Dezimalzahlen zwischen 0 und 1 und wandelt diese dann in eine Zeit um. Die Berechnung einer Zeitdauer lautet ja </t>
    </r>
    <r>
      <rPr>
        <b/>
        <sz val="10"/>
        <rFont val="Arial"/>
        <family val="2"/>
      </rPr>
      <t>Ende - Beginn = Dauer</t>
    </r>
    <r>
      <rPr>
        <sz val="10"/>
        <rFont val="Arial"/>
        <family val="2"/>
      </rPr>
      <t xml:space="preserve">. Und das gibt immer das richtige Ergebnis, solange das Ende nicht nach Mitternacht liegt.
Der Grund: Excel kann </t>
    </r>
    <r>
      <rPr>
        <b/>
        <sz val="10"/>
        <rFont val="Arial"/>
        <family val="2"/>
      </rPr>
      <t>negative Zeiten</t>
    </r>
    <r>
      <rPr>
        <sz val="10"/>
        <rFont val="Arial"/>
        <family val="2"/>
      </rPr>
      <t xml:space="preserve"> nicht anzeigen, damit rechnen aber schon.</t>
    </r>
    <r>
      <rPr>
        <b/>
        <sz val="10"/>
        <rFont val="Arial"/>
        <family val="2"/>
      </rPr>
      <t xml:space="preserve">
Möglicher Lösungsansatz: Endzeit - Startzeit + (Endzeit&lt;Startzeit)</t>
    </r>
  </si>
  <si>
    <r>
      <t xml:space="preserve">Die in der Klammer stehende Formel prüft hier, ob die Endzeit kleiner als die Startzeit ist und gibt einen Wert zurück.
</t>
    </r>
    <r>
      <rPr>
        <b/>
        <sz val="10"/>
        <rFont val="Arial"/>
        <family val="2"/>
      </rPr>
      <t>WAHR = 1 - FALSCH = 0</t>
    </r>
    <r>
      <rPr>
        <sz val="10"/>
        <rFont val="Arial"/>
        <family val="2"/>
      </rPr>
      <t xml:space="preserve"> und diese Zahl wird zur vorher errechneten Zeit addiert (also entweder +1 oder +0). Dadurch wird die Berechnung der Stunden korrekt vorgenommen. </t>
    </r>
  </si>
  <si>
    <t>Zur Übersicht</t>
  </si>
  <si>
    <t>Berechnen Sie alle gelben Felder unter Verwendung von absoluten und relativen Bezügen. Formatieren Sie alle Zahlen auf geeignete Art und Weise.</t>
  </si>
  <si>
    <t>Bestimmen Sie unter Verwendung der passenden Funktionen die gelben Zellen. Formatieren Sie die Ergebnisse in ein geeignetes Format.</t>
  </si>
  <si>
    <t>Bestimmen Sie unter Verwendung der passenden Funktionen die gelben Zellen.
Formatieren Sie die gelben Zellen in ein geeignetes Format.</t>
  </si>
  <si>
    <t>Bestimmen Sie unter Verwendung der passenden Funktion die gelben Zellen.
Achten Sie auf korrekte Formatierung.</t>
  </si>
  <si>
    <t>Berechnen Sie die gelben Felder. Verwenden Sie, wenn möglich, kopierbare Formeln und Funktionen.</t>
  </si>
  <si>
    <t>Produktion</t>
  </si>
  <si>
    <t>Fehltage</t>
  </si>
  <si>
    <t>Weihnachtsgeld</t>
  </si>
  <si>
    <t>Schmidt</t>
  </si>
  <si>
    <t>Die Mitarbeitenden, die mehr als 15.000 Teile produziert haben</t>
  </si>
  <si>
    <t>oder weniger als 5 Tage lang abwesend waren, bekommen 500 €</t>
  </si>
  <si>
    <t>Lehmann</t>
  </si>
  <si>
    <t>Becker</t>
  </si>
  <si>
    <t>Franksen</t>
  </si>
  <si>
    <t>Prudenz</t>
  </si>
  <si>
    <t>Januar</t>
  </si>
  <si>
    <t>Februar</t>
  </si>
  <si>
    <t>März</t>
  </si>
  <si>
    <t>Mitarbeitende, die mindestens in einem Monat mehr als 30.000,00 €</t>
  </si>
  <si>
    <t>Mitarbeitende, die in jedem Monat mehr als 20.000,00 € Umsatz</t>
  </si>
  <si>
    <t>Messung</t>
  </si>
  <si>
    <t>Kessel</t>
  </si>
  <si>
    <t>optimaler Bereich</t>
  </si>
  <si>
    <t>1. Messung</t>
  </si>
  <si>
    <t>2. Messung</t>
  </si>
  <si>
    <t>3. Messung</t>
  </si>
  <si>
    <t>4. Messung</t>
  </si>
  <si>
    <t>5. Messung</t>
  </si>
  <si>
    <t>6. Messung</t>
  </si>
  <si>
    <t>7. Messung</t>
  </si>
  <si>
    <t>8. Messung</t>
  </si>
  <si>
    <t>9. Messung</t>
  </si>
  <si>
    <t>Untergrenze</t>
  </si>
  <si>
    <t>Obergrenze</t>
  </si>
  <si>
    <t>In einer technischen Anlage arbeitet ein Kessel optimal, wenn seine</t>
  </si>
  <si>
    <t>Temperatur zwischen 30 und 60 Grad liegt.</t>
  </si>
  <si>
    <t>Herstellungs-
datum</t>
  </si>
  <si>
    <t>neuer Preis</t>
  </si>
  <si>
    <t>Preissenkung</t>
  </si>
  <si>
    <t>A</t>
  </si>
  <si>
    <t>B</t>
  </si>
  <si>
    <t>C</t>
  </si>
  <si>
    <t>D</t>
  </si>
  <si>
    <t>E</t>
  </si>
  <si>
    <t>F</t>
  </si>
  <si>
    <t>G</t>
  </si>
  <si>
    <t>H</t>
  </si>
  <si>
    <t>I</t>
  </si>
  <si>
    <t>J</t>
  </si>
  <si>
    <t>Stichtag</t>
  </si>
  <si>
    <t>Berechnen Sie den neuen Preis in Spalte E.</t>
  </si>
  <si>
    <t>Spalte F soll die Information enthalten, ob der Preis gesenkt</t>
  </si>
  <si>
    <t>wurde ("ja") oder nicht ("nein").</t>
  </si>
  <si>
    <t>Umsatz gemacht haben, bekommen eine Prämie von 100 €, sonst nichts.</t>
  </si>
  <si>
    <t>gemacht haben, bekommen eine Prämie von 100 €, sonst nichts.</t>
  </si>
  <si>
    <t>Weihnachtsgeld, sonst nichts. Ermitteln Sie die fehlenden Werte in Spalte E.</t>
  </si>
  <si>
    <t>Wenn UndOder 1</t>
  </si>
  <si>
    <t>Wenn UndOder 2</t>
  </si>
  <si>
    <t>WENN(), UND(), ODER()</t>
  </si>
  <si>
    <t>WENN(), UND(), ODER(), Prozentrechnen</t>
  </si>
  <si>
    <t>Wenn 5</t>
  </si>
  <si>
    <t>Mietpreise</t>
  </si>
  <si>
    <t>letztes Jahr</t>
  </si>
  <si>
    <t>aktuelles Jahr</t>
  </si>
  <si>
    <t>2-Zimmer</t>
  </si>
  <si>
    <t>3-Zimmer</t>
  </si>
  <si>
    <t>Einfamilienhaus</t>
  </si>
  <si>
    <t>Abweichung II</t>
  </si>
  <si>
    <t>Abweichung I</t>
  </si>
  <si>
    <t>Abweichung III</t>
  </si>
  <si>
    <t>Berechnen Sie in gelben Zellen die prozentualen Änderungen. Abweichung I = Mitpreis letztes Jahr vom Durchschnitt, 
Abweichung II = Mietpreis aktuelles Jahr vom Durchschnitt, Abweichung III = Mietpreis aktuelles Jahr vom Mietpreis letztes Jahr</t>
  </si>
  <si>
    <t>Angebot Website speziell</t>
  </si>
  <si>
    <t>Nanu. Was ist denn hier passiert?</t>
  </si>
  <si>
    <t>Betriebsabrechnungsbogen (BAB)</t>
  </si>
  <si>
    <t>Alter</t>
  </si>
  <si>
    <t>Geschlecht</t>
  </si>
  <si>
    <t>Status</t>
  </si>
  <si>
    <t>m</t>
  </si>
  <si>
    <t>w</t>
  </si>
  <si>
    <t>Es soll in Abhängigkeit vom Alter zusätzlich nach Geschlecht unterschieden</t>
  </si>
  <si>
    <t>werden, welche Bezeichnung zugewiesen werden muss.</t>
  </si>
  <si>
    <t>Bis zu 17 Jahren soll der Status Mädchen bzw. Junge ausgegeben werden, ab 18</t>
  </si>
  <si>
    <t>Jahren der Status Frau bzw. Mann.</t>
  </si>
  <si>
    <t>Mein Alter</t>
  </si>
  <si>
    <t>Methode</t>
  </si>
  <si>
    <t>Welches Alter stimmt denn nun?</t>
  </si>
  <si>
    <t>Geburtstag</t>
  </si>
  <si>
    <t>Alter in Jahren</t>
  </si>
  <si>
    <t>Heute</t>
  </si>
  <si>
    <t>=BRTEILJAHRE(B8;B13)</t>
  </si>
  <si>
    <t>=(B14-B8)/365,25</t>
  </si>
  <si>
    <t>=DATEDIF(B8;B15;"y")</t>
  </si>
  <si>
    <t>1. Wie alt sind Sie am heutigen Tag?
2. Formatieren Sie das Ergebnis als Zahl mit einer Dezimalstelle.</t>
  </si>
  <si>
    <t>Nummer</t>
  </si>
  <si>
    <t>=(JAHR(HEUTE())-JAHR(B8))</t>
  </si>
  <si>
    <t>Das richtige Alter in Jahren ermittelt die Methode Nummer</t>
  </si>
  <si>
    <t>SVerweis 2</t>
  </si>
  <si>
    <t>SVerweis 3</t>
  </si>
  <si>
    <t>Wenn UndOder 3</t>
  </si>
  <si>
    <t>Sie bearbeiten einen Betriebsabrechnungsbogen (BAB) weiter. Berechnen Sie mit geeigneten Formeln die Werte in den orangefarbenen Zellen. Die Daten für Flächen und den Energieverbrauch übernehmen Sie mit geeigneten Funktionen aus den nebenstehenden Tabellen.</t>
  </si>
  <si>
    <t>Rangfolge
Umsatz</t>
  </si>
  <si>
    <t>Einteilung in
Gruppen</t>
  </si>
  <si>
    <t>Kategorie</t>
  </si>
  <si>
    <t>Anteil</t>
  </si>
  <si>
    <t>Anteil Umsatzwert
in % 
kumuliert</t>
  </si>
  <si>
    <t>Anteil Umsatzwert
in %</t>
  </si>
  <si>
    <t>INDEX(), VERGLEICH(), RANG(), WENN()</t>
  </si>
  <si>
    <t>Einfache Aufgabensammlung für Microsoft Excel</t>
  </si>
  <si>
    <t>Erweiterte Aufgabensammlung für Microsoft Excel</t>
  </si>
  <si>
    <t>Lieferanten-
Nummer</t>
  </si>
  <si>
    <t>Lieferanten-Nummer 
nach Umsatzwert</t>
  </si>
  <si>
    <t xml:space="preserve">Dieses Beispiel ist nicht ganz einfach zu lösen, oder?! Spätestens in Spalte D geht die übliche Herangehensweise (SVERWEIS()) nicht mehr auf. Für die Lösung gilt folgende 
Regel: Die Sortierung der Tabelle nach den Lieferanten-Nummern in Spalte A darf nicht geändert werden. </t>
  </si>
  <si>
    <t>Umsatz 
in TEUR</t>
  </si>
  <si>
    <t>Umsatz in TEUR
nach Wert
sortiert</t>
  </si>
  <si>
    <t>Tipps:</t>
  </si>
  <si>
    <t>Verwenden Sie die Funktion RANG() an der geeigneten Stelle.</t>
  </si>
  <si>
    <t>Wenn Sie nach der Zahl 1 zeilenweise suchen lassen wollen, können Sie alternativ die Schreibweise ZEILE(1:1) verwenden.</t>
  </si>
  <si>
    <t>Wenn Sie in Spalte G mit einer kopierbaren Formel oder Funktion arbeiten wollen, denken Sie daran, dass die Funktion SUMME() ebenfalls dynamisch sein kann.</t>
  </si>
  <si>
    <t>=SUMME($O$10:O10) versteht sich fast von selbst, oder?!</t>
  </si>
  <si>
    <t>Kommen Sie auf vier Lieferanten der Kategorie A, drei der Kategorie B und drei der Kategorie C, dann passt alles.</t>
  </si>
  <si>
    <t>Anzahl der 
Bestellungen pro Jahr</t>
  </si>
  <si>
    <t>Bestellmenge
in Stück</t>
  </si>
  <si>
    <t>Bezugspreis in EUR</t>
  </si>
  <si>
    <t>Kosten pro Bestellung (EUR)</t>
  </si>
  <si>
    <t>Lagerkostensatz in %</t>
  </si>
  <si>
    <t>Jährliche Bestellmenge in Stück</t>
  </si>
  <si>
    <t>Eiserner Bestand in Stück</t>
  </si>
  <si>
    <t>Kosten pro
Bestellung in EUR</t>
  </si>
  <si>
    <t>Bestellkosten
insgesamt in EUR</t>
  </si>
  <si>
    <t>durchschnittlicher
Lagerbestand in Stück</t>
  </si>
  <si>
    <t>durchschnittliche
Lagerkosten in EUR</t>
  </si>
  <si>
    <t>Gesamtkosten
in EUR</t>
  </si>
  <si>
    <t>Optimale Bestellmenge</t>
  </si>
  <si>
    <t>Ermitteln Sie die optimale Bestellmenge und tragen Sie diese anschließend in die dafür vorgesehene Zelle ein. Der durchschnittliche Lagerbestand ergibt sich aus der</t>
  </si>
  <si>
    <t>Hälfte der Bestellmenge in Stück zuzüglich der eisernen Reserve. Bitte beachten Sie, dass Sie Stückzahlen immer aufrunden. Für die durchschnittlichen Lagerkosten</t>
  </si>
  <si>
    <t>vergessen Sie bitte nicht den Lagerkostensatz.</t>
  </si>
  <si>
    <t>Finden Sie die Formel für die bedingte Formatierung, welche die Zeile mit der optimalen Bestellmenge hervorhebt und geben Sie diese in das Feld in Zeile 32 ein.</t>
  </si>
  <si>
    <t>=$G18=MIN($G$18:$G$30)</t>
  </si>
  <si>
    <t>Formel für bedingte Formatierung:</t>
  </si>
  <si>
    <t>ABC-Analyse #</t>
  </si>
  <si>
    <t>Angebotsvergleich #</t>
  </si>
  <si>
    <t>BAB #</t>
  </si>
  <si>
    <t>Lagerbestände #</t>
  </si>
  <si>
    <t>Statistik I #</t>
  </si>
  <si>
    <t>Optimale Bestellmenge #</t>
  </si>
  <si>
    <t>ZÄHLENWENN(), SUMME(), SUMMEWENN(), Prozentrechnung, SVERWEIS(), prozentuale Veränderung</t>
  </si>
  <si>
    <t>mathematische Grundrechenarten, logisches Denken, Pfiffigkeit</t>
  </si>
  <si>
    <t>Zellbezüge, Grundrechenarten mit Datum, BRTEILJAHRE(), DATEDIF(), JAHR(), HEUTE()</t>
  </si>
  <si>
    <t>Jahre und Zeiten</t>
  </si>
  <si>
    <t>Tage und Zeiten</t>
  </si>
  <si>
    <t>Lfd. Nr.</t>
  </si>
  <si>
    <t>Firmenbezeichnung</t>
  </si>
  <si>
    <t>Zahlungsziel
Tage</t>
  </si>
  <si>
    <t>fällig</t>
  </si>
  <si>
    <t>bezahlt am</t>
  </si>
  <si>
    <t>Bernhard Müller OHG</t>
  </si>
  <si>
    <t>Lenz KG</t>
  </si>
  <si>
    <t>Naturholz AG</t>
  </si>
  <si>
    <t>Holz- &amp; Spanplattenfabrik Bresges GmbH</t>
  </si>
  <si>
    <t>Schraubenspezialist Müller e. K.</t>
  </si>
  <si>
    <t>Holzschutz-, Lack- und Leimwerke AG</t>
  </si>
  <si>
    <t>Blitz-Spedition GmbH</t>
  </si>
  <si>
    <t>Offene-Posten-Liste</t>
  </si>
  <si>
    <t>Vorbereitung Auswertung</t>
  </si>
  <si>
    <t>Überprüfen Sie in Spalte K mit einer geeigneten und kopierfähigen Funktion, welche Rechnungen fällig sind.</t>
  </si>
  <si>
    <t>Auswertung vom:</t>
  </si>
  <si>
    <t>Betrag in EUR</t>
  </si>
  <si>
    <t>Æ</t>
  </si>
  <si>
    <t>Messungen, die im optimalen Bereich liegen, sollen durch 'OK'</t>
  </si>
  <si>
    <t>gekennzeichnet werden, sonst soll ein Leerzeichen (" ") gesetzt werden.</t>
  </si>
  <si>
    <t>In einer technischen Anlage arbeitet ein Kessel optimal, wenn seine Temperatur zwischen 30 und 60 Grad liegt.</t>
  </si>
  <si>
    <t>Messungen, die im optimalen Bereich liegen, sollen durch 'OK' gekennzeichnet werden, sonst soll ein Leerzeichen (" ") gesetzt werden.</t>
  </si>
  <si>
    <t>Sie haben mehrere Möglichkeiten, die Aufgabe zu lösen. Welche bevorzugen Sie?</t>
  </si>
  <si>
    <t>1a</t>
  </si>
  <si>
    <t>1b</t>
  </si>
  <si>
    <t>2a</t>
  </si>
  <si>
    <t>2b</t>
  </si>
  <si>
    <t>3a</t>
  </si>
  <si>
    <t>3b</t>
  </si>
  <si>
    <t>4a</t>
  </si>
  <si>
    <t>4b</t>
  </si>
  <si>
    <t>Verschachtelte WENN()</t>
  </si>
  <si>
    <t>WENN() mit UND()</t>
  </si>
  <si>
    <t>WENN() mit ODER()</t>
  </si>
  <si>
    <t>WENNS() mit UND()</t>
  </si>
  <si>
    <t>WENNS() mit UND() sowie mit ODER()</t>
  </si>
  <si>
    <t>WENN() mit MEDIAN()</t>
  </si>
  <si>
    <t>= WENN ( C10 &lt; $C$21 ; " " ; WENN ( C10 &gt; $C$22 ; " " ; "OK" ) )</t>
  </si>
  <si>
    <t>= WENN ( C10 &gt; $C$22  ;" " ; WENN ( C10 &lt; $C$21 ; " "  ;"OK" ) )</t>
  </si>
  <si>
    <t>= WENN ( UND ( C10 &gt;= $C$21 ; C10 &lt;= $C$22 ) ; "OK" ; " " )</t>
  </si>
  <si>
    <t>= WENN ( UND ( C10 &lt;= $C$22 ; C10 &gt;= $C$21 ) ; "OK" ; " " )</t>
  </si>
  <si>
    <t>= WENN ( ODER ( C10 &lt; $C$21 ; C10 &gt; $C$22 ) ; " " ; "OK" )</t>
  </si>
  <si>
    <t>= WENN ( ODER ( C10 &gt; $C$22 ; C10 &lt; $C$21 ) ; " " ; "OK" )</t>
  </si>
  <si>
    <t>= WENNS ( UND ( C10 &gt;= $C$21 ; C10 &lt; =$C$22 ) ; "OK" ; C10 &lt; $C$21 ; " " ; C10 &gt; $C$22 ; " " )</t>
  </si>
  <si>
    <t>= WENNS ( UND ( C10 &gt;= $C$21 ; C10 &lt;= $C$22 ) ; "OK" ; ODER ( C10 &lt; $C$21 ; C10 &gt; $C$22 ) ; " " )</t>
  </si>
  <si>
    <t>= WENN ( C10 = MEDIAN ( $C$21 ; $C$22 ; C10 ) ; "OK" ; " " )</t>
  </si>
  <si>
    <t>ERSTERWERT() mit UND()</t>
  </si>
  <si>
    <t>= ERSTERWERT ( WAHR ; UND ( C11 &gt;= $C$21 ; C11 &lt;= $C$22 ) ; "OK" ; " " )</t>
  </si>
  <si>
    <t>Wenn Multitalent</t>
  </si>
  <si>
    <t>WENN(), WENNS(), UND(), ODER(), ERSTERWERT()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</si>
</sst>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4" formatCode="_-* #,##0.00\ &quot;€&quot;_-;\-* #,##0.00\ &quot;€&quot;_-;_-* &quot;-&quot;??\ &quot;€&quot;_-;_-@_-"/>
    <numFmt numFmtId="164" formatCode="_-* #,##0.00\ _€_-;\-* #,##0.00\ _€_-;_-* &quot;-&quot;??\ _€_-;_-@_-"/>
    <numFmt numFmtId="165" formatCode="[$€-2]\ #,##0.00_);[Red]\([$€-2]\ #,##0.00\)"/>
    <numFmt numFmtId="166" formatCode="_(&quot;€&quot;\ * #,##0_);_(&quot;€&quot;\ * \(#,##0\);_(&quot;€&quot;\ * &quot;-&quot;??_);_(@_)"/>
    <numFmt numFmtId="167" formatCode="0.0000"/>
    <numFmt numFmtId="168" formatCode="_(&quot;€&quot;\ * #,##0.00_);_(&quot;€&quot;\ * \(#,##0.00\);_(&quot;€&quot;\ * &quot;-&quot;??_);_(@_)"/>
    <numFmt numFmtId="169" formatCode="#,##0.00\ &quot;€&quot;"/>
    <numFmt numFmtId="170" formatCode="0.0"/>
    <numFmt numFmtId="171" formatCode="0.00\ &quot;m²&quot;"/>
    <numFmt numFmtId="172" formatCode="dd/mm/yyyy;@"/>
    <numFmt numFmtId="173" formatCode="000"/>
    <numFmt numFmtId="174" formatCode="#,##0\ &quot;€&quot;"/>
    <numFmt numFmtId="175" formatCode="_-* #,##0.00\ &quot;DM&quot;_-;\-* #,##0.00\ &quot;DM&quot;_-;_-* &quot;-&quot;??\ &quot;DM&quot;_-;_-@_-"/>
    <numFmt numFmtId="176" formatCode="_-* #,##0.0_-;\-* #,##0.0_-;_-* &quot;-&quot;??_-;_-@_-"/>
    <numFmt numFmtId="177" formatCode="#,##0.0000"/>
    <numFmt numFmtId="178" formatCode="0\ %"/>
    <numFmt numFmtId="179" formatCode="0.00\ %"/>
    <numFmt numFmtId="180" formatCode="[h]:mm"/>
    <numFmt numFmtId="181" formatCode="0\ %&quot; USt.&quot;"/>
    <numFmt numFmtId="182" formatCode="&quot;Rabatt - Alles minus &quot;0\ %"/>
    <numFmt numFmtId="183" formatCode="#,##0.0000\ &quot;€&quot;"/>
    <numFmt numFmtId="184" formatCode="dddd"/>
    <numFmt numFmtId="185" formatCode="0\ &quot;°C&quot;"/>
    <numFmt numFmtId="186" formatCode="[hh]:mm"/>
    <numFmt numFmtId="187" formatCode="0&quot; Prozent&quot;"/>
  </numFmts>
  <fonts count="24" x14ac:knownFonts="1">
    <font>
      <sz val="11"/>
      <color theme="1"/>
      <name val="Calibri"/>
      <family val="2"/>
      <scheme val="minor"/>
    </font>
    <font>
      <sz val="11"/>
      <color theme="1"/>
      <name val="Calibri"/>
      <family val="2"/>
      <scheme val="minor"/>
    </font>
    <font>
      <sz val="10"/>
      <name val="Arial"/>
      <family val="2"/>
    </font>
    <font>
      <b/>
      <sz val="10"/>
      <name val="Arial"/>
      <family val="2"/>
    </font>
    <font>
      <sz val="10"/>
      <color theme="1"/>
      <name val="Calibri"/>
      <family val="2"/>
      <scheme val="minor"/>
    </font>
    <font>
      <sz val="10"/>
      <name val="Times New Roman"/>
      <family val="1"/>
    </font>
    <font>
      <sz val="10"/>
      <color theme="1"/>
      <name val="Arial"/>
      <family val="2"/>
    </font>
    <font>
      <b/>
      <sz val="10"/>
      <color theme="1"/>
      <name val="Arial"/>
      <family val="2"/>
    </font>
    <font>
      <b/>
      <sz val="10"/>
      <color indexed="8"/>
      <name val="Arial"/>
      <family val="2"/>
    </font>
    <font>
      <b/>
      <u/>
      <sz val="10"/>
      <name val="Arial"/>
      <family val="2"/>
    </font>
    <font>
      <sz val="11"/>
      <color theme="1"/>
      <name val="Arial"/>
      <family val="2"/>
    </font>
    <font>
      <u/>
      <sz val="11"/>
      <color theme="10"/>
      <name val="Calibri"/>
      <family val="2"/>
      <scheme val="minor"/>
    </font>
    <font>
      <b/>
      <sz val="14"/>
      <name val="Arial"/>
      <family val="2"/>
    </font>
    <font>
      <sz val="14"/>
      <name val="Arial"/>
      <family val="2"/>
    </font>
    <font>
      <b/>
      <sz val="10"/>
      <color theme="0"/>
      <name val="Arial"/>
      <family val="2"/>
    </font>
    <font>
      <sz val="8"/>
      <name val="Calibri"/>
      <family val="2"/>
      <scheme val="minor"/>
    </font>
    <font>
      <b/>
      <sz val="11"/>
      <color theme="1"/>
      <name val="Calibri"/>
      <family val="2"/>
      <scheme val="minor"/>
    </font>
    <font>
      <sz val="10"/>
      <color theme="0"/>
      <name val="Arial"/>
      <family val="2"/>
    </font>
    <font>
      <sz val="9"/>
      <color indexed="81"/>
      <name val="Segoe UI"/>
      <family val="2"/>
    </font>
    <font>
      <b/>
      <sz val="22"/>
      <color rgb="FFFF0000"/>
      <name val="Arial"/>
      <family val="2"/>
    </font>
    <font>
      <u/>
      <sz val="10"/>
      <color theme="10"/>
      <name val="Arial"/>
      <family val="2"/>
    </font>
    <font>
      <sz val="10"/>
      <color rgb="FF00E0E0"/>
      <name val="Consolas"/>
      <family val="3"/>
    </font>
    <font>
      <sz val="14"/>
      <color theme="5"/>
      <name val="Wingdings 3"/>
      <family val="1"/>
      <charset val="2"/>
    </font>
    <font>
      <b/>
      <sz val="12"/>
      <color theme="1"/>
      <name val="Arial"/>
      <family val="2"/>
    </font>
  </fonts>
  <fills count="13">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4659260841701"/>
        <bgColor indexed="64"/>
      </patternFill>
    </fill>
    <fill>
      <patternFill patternType="solid">
        <fgColor theme="7" tint="0.79998168889431442"/>
        <bgColor indexed="64"/>
      </patternFill>
    </fill>
    <fill>
      <patternFill patternType="solid">
        <fgColor theme="5"/>
        <bgColor indexed="64"/>
      </patternFill>
    </fill>
    <fill>
      <patternFill patternType="solid">
        <fgColor indexed="2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9" tint="0.79998168889431442"/>
        <bgColor indexed="64"/>
      </patternFill>
    </fill>
  </fills>
  <borders count="65">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theme="5" tint="-0.24994659260841701"/>
      </left>
      <right/>
      <top style="medium">
        <color theme="5" tint="-0.24994659260841701"/>
      </top>
      <bottom/>
      <diagonal/>
    </border>
    <border>
      <left/>
      <right/>
      <top style="medium">
        <color theme="5" tint="-0.24994659260841701"/>
      </top>
      <bottom/>
      <diagonal/>
    </border>
    <border>
      <left/>
      <right style="medium">
        <color theme="5" tint="-0.24994659260841701"/>
      </right>
      <top style="medium">
        <color theme="5" tint="-0.24994659260841701"/>
      </top>
      <bottom/>
      <diagonal/>
    </border>
    <border>
      <left style="medium">
        <color theme="5" tint="-0.24994659260841701"/>
      </left>
      <right/>
      <top/>
      <bottom/>
      <diagonal/>
    </border>
    <border>
      <left/>
      <right style="medium">
        <color theme="5" tint="-0.24994659260841701"/>
      </right>
      <top/>
      <bottom/>
      <diagonal/>
    </border>
    <border>
      <left style="medium">
        <color theme="5" tint="-0.24994659260841701"/>
      </left>
      <right/>
      <top/>
      <bottom style="medium">
        <color theme="5" tint="-0.24994659260841701"/>
      </bottom>
      <diagonal/>
    </border>
    <border>
      <left/>
      <right/>
      <top/>
      <bottom style="medium">
        <color theme="5" tint="-0.24994659260841701"/>
      </bottom>
      <diagonal/>
    </border>
    <border>
      <left/>
      <right style="medium">
        <color theme="5" tint="-0.24994659260841701"/>
      </right>
      <top/>
      <bottom style="medium">
        <color theme="5" tint="-0.24994659260841701"/>
      </bottom>
      <diagonal/>
    </border>
    <border>
      <left style="medium">
        <color theme="5" tint="-0.24994659260841701"/>
      </left>
      <right/>
      <top style="medium">
        <color theme="5" tint="-0.24994659260841701"/>
      </top>
      <bottom style="medium">
        <color theme="5" tint="-0.24994659260841701"/>
      </bottom>
      <diagonal/>
    </border>
    <border>
      <left/>
      <right/>
      <top style="medium">
        <color theme="5" tint="-0.24994659260841701"/>
      </top>
      <bottom style="medium">
        <color theme="5" tint="-0.24994659260841701"/>
      </bottom>
      <diagonal/>
    </border>
    <border>
      <left/>
      <right style="medium">
        <color theme="5" tint="-0.24994659260841701"/>
      </right>
      <top style="medium">
        <color theme="5" tint="-0.24994659260841701"/>
      </top>
      <bottom style="medium">
        <color theme="5" tint="-0.24994659260841701"/>
      </bottom>
      <diagonal/>
    </border>
    <border>
      <left style="medium">
        <color theme="5" tint="-0.24994659260841701"/>
      </left>
      <right style="thin">
        <color indexed="64"/>
      </right>
      <top/>
      <bottom style="thin">
        <color indexed="64"/>
      </bottom>
      <diagonal/>
    </border>
    <border>
      <left style="medium">
        <color theme="5" tint="-0.24994659260841701"/>
      </left>
      <right style="thin">
        <color indexed="64"/>
      </right>
      <top style="thin">
        <color indexed="64"/>
      </top>
      <bottom style="thin">
        <color indexed="64"/>
      </bottom>
      <diagonal/>
    </border>
    <border>
      <left style="medium">
        <color theme="5" tint="-0.24994659260841701"/>
      </left>
      <right style="thin">
        <color indexed="64"/>
      </right>
      <top style="thin">
        <color indexed="64"/>
      </top>
      <bottom/>
      <diagonal/>
    </border>
    <border>
      <left style="medium">
        <color indexed="64"/>
      </left>
      <right/>
      <top/>
      <bottom/>
      <diagonal/>
    </border>
    <border>
      <left style="medium">
        <color theme="5" tint="-0.249977111117893"/>
      </left>
      <right/>
      <top style="medium">
        <color theme="5" tint="-0.249977111117893"/>
      </top>
      <bottom/>
      <diagonal/>
    </border>
    <border>
      <left/>
      <right/>
      <top style="medium">
        <color theme="5" tint="-0.249977111117893"/>
      </top>
      <bottom/>
      <diagonal/>
    </border>
    <border>
      <left/>
      <right style="medium">
        <color theme="5" tint="-0.249977111117893"/>
      </right>
      <top style="medium">
        <color theme="5" tint="-0.249977111117893"/>
      </top>
      <bottom/>
      <diagonal/>
    </border>
    <border>
      <left style="medium">
        <color theme="5" tint="-0.249977111117893"/>
      </left>
      <right/>
      <top/>
      <bottom/>
      <diagonal/>
    </border>
    <border>
      <left/>
      <right style="medium">
        <color theme="5" tint="-0.249977111117893"/>
      </right>
      <top/>
      <bottom/>
      <diagonal/>
    </border>
    <border>
      <left style="medium">
        <color theme="5" tint="-0.249977111117893"/>
      </left>
      <right/>
      <top/>
      <bottom style="medium">
        <color theme="5" tint="-0.249977111117893"/>
      </bottom>
      <diagonal/>
    </border>
    <border>
      <left/>
      <right/>
      <top/>
      <bottom style="medium">
        <color theme="5" tint="-0.249977111117893"/>
      </bottom>
      <diagonal/>
    </border>
    <border>
      <left/>
      <right style="medium">
        <color theme="5" tint="-0.249977111117893"/>
      </right>
      <top/>
      <bottom style="medium">
        <color theme="5" tint="-0.249977111117893"/>
      </bottom>
      <diagonal/>
    </border>
    <border>
      <left/>
      <right/>
      <top/>
      <bottom style="thin">
        <color indexed="64"/>
      </bottom>
      <diagonal/>
    </border>
    <border>
      <left style="medium">
        <color theme="5" tint="-0.24994659260841701"/>
      </left>
      <right style="thin">
        <color indexed="64"/>
      </right>
      <top style="medium">
        <color theme="5" tint="-0.24994659260841701"/>
      </top>
      <bottom/>
      <diagonal/>
    </border>
    <border>
      <left style="thin">
        <color indexed="64"/>
      </left>
      <right style="thin">
        <color indexed="64"/>
      </right>
      <top style="medium">
        <color theme="5" tint="-0.24994659260841701"/>
      </top>
      <bottom/>
      <diagonal/>
    </border>
    <border>
      <left style="thin">
        <color indexed="64"/>
      </left>
      <right style="medium">
        <color theme="5" tint="-0.24994659260841701"/>
      </right>
      <top style="medium">
        <color theme="5" tint="-0.24994659260841701"/>
      </top>
      <bottom/>
      <diagonal/>
    </border>
    <border>
      <left/>
      <right style="thin">
        <color indexed="64"/>
      </right>
      <top/>
      <bottom style="thin">
        <color indexed="64"/>
      </bottom>
      <diagonal/>
    </border>
    <border>
      <left style="medium">
        <color theme="5" tint="-0.249977111117893"/>
      </left>
      <right style="thin">
        <color indexed="64"/>
      </right>
      <top style="medium">
        <color theme="5" tint="-0.249977111117893"/>
      </top>
      <bottom style="thin">
        <color indexed="64"/>
      </bottom>
      <diagonal/>
    </border>
    <border>
      <left style="thin">
        <color indexed="64"/>
      </left>
      <right style="thin">
        <color indexed="64"/>
      </right>
      <top style="medium">
        <color theme="5" tint="-0.249977111117893"/>
      </top>
      <bottom style="thin">
        <color indexed="64"/>
      </bottom>
      <diagonal/>
    </border>
    <border>
      <left/>
      <right style="thin">
        <color indexed="64"/>
      </right>
      <top style="medium">
        <color theme="5" tint="-0.249977111117893"/>
      </top>
      <bottom style="thin">
        <color indexed="64"/>
      </bottom>
      <diagonal/>
    </border>
    <border>
      <left style="thin">
        <color indexed="64"/>
      </left>
      <right style="medium">
        <color theme="5" tint="-0.249977111117893"/>
      </right>
      <top style="medium">
        <color theme="5" tint="-0.249977111117893"/>
      </top>
      <bottom style="thin">
        <color indexed="64"/>
      </bottom>
      <diagonal/>
    </border>
    <border>
      <left style="medium">
        <color theme="5" tint="-0.249977111117893"/>
      </left>
      <right style="thin">
        <color indexed="64"/>
      </right>
      <top style="thin">
        <color indexed="64"/>
      </top>
      <bottom style="thin">
        <color indexed="64"/>
      </bottom>
      <diagonal/>
    </border>
    <border>
      <left style="thin">
        <color indexed="64"/>
      </left>
      <right style="medium">
        <color theme="5" tint="-0.249977111117893"/>
      </right>
      <top style="thin">
        <color indexed="64"/>
      </top>
      <bottom style="thin">
        <color indexed="64"/>
      </bottom>
      <diagonal/>
    </border>
    <border>
      <left/>
      <right style="medium">
        <color theme="5" tint="-0.249977111117893"/>
      </right>
      <top style="thin">
        <color indexed="64"/>
      </top>
      <bottom style="thin">
        <color indexed="64"/>
      </bottom>
      <diagonal/>
    </border>
    <border>
      <left style="medium">
        <color theme="5" tint="-0.249977111117893"/>
      </left>
      <right/>
      <top style="thin">
        <color indexed="64"/>
      </top>
      <bottom style="thin">
        <color indexed="64"/>
      </bottom>
      <diagonal/>
    </border>
    <border>
      <left style="medium">
        <color theme="5" tint="-0.249977111117893"/>
      </left>
      <right style="thin">
        <color indexed="64"/>
      </right>
      <top style="thin">
        <color indexed="64"/>
      </top>
      <bottom style="medium">
        <color theme="5" tint="-0.249977111117893"/>
      </bottom>
      <diagonal/>
    </border>
    <border>
      <left style="thin">
        <color indexed="64"/>
      </left>
      <right style="thin">
        <color indexed="64"/>
      </right>
      <top style="thin">
        <color indexed="64"/>
      </top>
      <bottom style="medium">
        <color theme="5" tint="-0.249977111117893"/>
      </bottom>
      <diagonal/>
    </border>
    <border>
      <left/>
      <right style="thin">
        <color indexed="64"/>
      </right>
      <top style="thin">
        <color indexed="64"/>
      </top>
      <bottom style="medium">
        <color theme="5" tint="-0.249977111117893"/>
      </bottom>
      <diagonal/>
    </border>
    <border>
      <left style="thin">
        <color indexed="64"/>
      </left>
      <right style="medium">
        <color theme="5" tint="-0.249977111117893"/>
      </right>
      <top style="thin">
        <color indexed="64"/>
      </top>
      <bottom style="medium">
        <color theme="5" tint="-0.249977111117893"/>
      </bottom>
      <diagonal/>
    </border>
    <border>
      <left style="medium">
        <color theme="5" tint="-0.249977111117893"/>
      </left>
      <right style="thin">
        <color indexed="64"/>
      </right>
      <top style="medium">
        <color theme="5" tint="-0.249977111117893"/>
      </top>
      <bottom style="medium">
        <color theme="5" tint="-0.249977111117893"/>
      </bottom>
      <diagonal/>
    </border>
    <border>
      <left style="thin">
        <color indexed="64"/>
      </left>
      <right style="thin">
        <color indexed="64"/>
      </right>
      <top style="medium">
        <color theme="5" tint="-0.249977111117893"/>
      </top>
      <bottom style="medium">
        <color theme="5" tint="-0.249977111117893"/>
      </bottom>
      <diagonal/>
    </border>
    <border>
      <left style="thin">
        <color indexed="64"/>
      </left>
      <right style="medium">
        <color theme="5" tint="-0.249977111117893"/>
      </right>
      <top style="medium">
        <color theme="5" tint="-0.249977111117893"/>
      </top>
      <bottom style="medium">
        <color theme="5" tint="-0.249977111117893"/>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top style="thin">
        <color auto="1"/>
      </top>
      <bottom/>
      <diagonal/>
    </border>
    <border>
      <left/>
      <right style="thin">
        <color auto="1"/>
      </right>
      <top style="thin">
        <color auto="1"/>
      </top>
      <bottom/>
      <diagonal/>
    </border>
  </borders>
  <cellStyleXfs count="16">
    <xf numFmtId="0" fontId="0" fillId="0" borderId="0"/>
    <xf numFmtId="164" fontId="1" fillId="0" borderId="0" applyFont="0" applyFill="0" applyBorder="0" applyAlignment="0" applyProtection="0"/>
    <xf numFmtId="44" fontId="1" fillId="0" borderId="0" applyFont="0" applyFill="0" applyBorder="0" applyAlignment="0" applyProtection="0"/>
    <xf numFmtId="165" fontId="2" fillId="0" borderId="0" applyFont="0" applyFill="0" applyBorder="0" applyAlignment="0" applyProtection="0"/>
    <xf numFmtId="9" fontId="1"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0" fontId="3" fillId="0" borderId="0"/>
    <xf numFmtId="44" fontId="2" fillId="0" borderId="0" applyFill="0" applyBorder="0" applyAlignment="0" applyProtection="0"/>
    <xf numFmtId="9" fontId="2" fillId="0" borderId="0" applyFill="0" applyBorder="0" applyAlignment="0" applyProtection="0"/>
    <xf numFmtId="0" fontId="5" fillId="0" borderId="0"/>
    <xf numFmtId="175" fontId="2" fillId="0" borderId="0" applyFont="0" applyFill="0" applyBorder="0" applyAlignment="0" applyProtection="0"/>
    <xf numFmtId="164" fontId="2" fillId="0" borderId="0" applyFont="0" applyFill="0" applyBorder="0" applyAlignment="0" applyProtection="0"/>
    <xf numFmtId="0" fontId="1" fillId="0" borderId="0"/>
    <xf numFmtId="0" fontId="11" fillId="0" borderId="0" applyNumberFormat="0" applyFill="0" applyBorder="0" applyAlignment="0" applyProtection="0"/>
  </cellStyleXfs>
  <cellXfs count="560">
    <xf numFmtId="0" fontId="0" fillId="0" borderId="0" xfId="0"/>
    <xf numFmtId="0" fontId="4" fillId="0" borderId="0" xfId="0" applyFont="1"/>
    <xf numFmtId="0" fontId="6" fillId="0" borderId="0" xfId="0" applyFont="1"/>
    <xf numFmtId="3" fontId="6" fillId="0" borderId="2" xfId="0" applyNumberFormat="1" applyFont="1" applyBorder="1"/>
    <xf numFmtId="0" fontId="2" fillId="0" borderId="0" xfId="0" applyFont="1"/>
    <xf numFmtId="3" fontId="6" fillId="0" borderId="0" xfId="0" applyNumberFormat="1" applyFont="1"/>
    <xf numFmtId="0" fontId="3" fillId="0" borderId="0" xfId="11" applyFont="1" applyAlignment="1">
      <alignment horizontal="center"/>
    </xf>
    <xf numFmtId="0" fontId="2" fillId="0" borderId="0" xfId="11" applyFont="1" applyAlignment="1">
      <alignment horizontal="left"/>
    </xf>
    <xf numFmtId="0" fontId="2" fillId="0" borderId="0" xfId="11" applyFont="1"/>
    <xf numFmtId="3" fontId="2" fillId="0" borderId="2" xfId="0" applyNumberFormat="1" applyFont="1" applyBorder="1" applyProtection="1">
      <protection locked="0"/>
    </xf>
    <xf numFmtId="0" fontId="2" fillId="0" borderId="2" xfId="12" applyNumberFormat="1" applyBorder="1"/>
    <xf numFmtId="9" fontId="2" fillId="0" borderId="0" xfId="0" applyNumberFormat="1" applyFont="1" applyAlignment="1">
      <alignment vertical="center" wrapText="1"/>
    </xf>
    <xf numFmtId="3" fontId="2" fillId="0" borderId="2" xfId="3" applyNumberFormat="1" applyBorder="1"/>
    <xf numFmtId="169" fontId="2" fillId="0" borderId="2" xfId="3" applyNumberFormat="1" applyBorder="1"/>
    <xf numFmtId="14" fontId="6" fillId="0" borderId="0" xfId="0" applyNumberFormat="1" applyFont="1"/>
    <xf numFmtId="0" fontId="6" fillId="0" borderId="0" xfId="0" applyFont="1" applyProtection="1">
      <protection hidden="1"/>
    </xf>
    <xf numFmtId="169" fontId="6" fillId="0" borderId="0" xfId="2" applyNumberFormat="1" applyFont="1" applyProtection="1">
      <protection hidden="1"/>
    </xf>
    <xf numFmtId="0" fontId="2" fillId="0" borderId="0" xfId="0" applyFont="1" applyAlignment="1">
      <alignment horizontal="left" vertical="center" wrapText="1"/>
    </xf>
    <xf numFmtId="0" fontId="2" fillId="0" borderId="0" xfId="0" applyFont="1" applyAlignment="1">
      <alignment horizontal="center"/>
    </xf>
    <xf numFmtId="44" fontId="2" fillId="0" borderId="0" xfId="3" applyNumberFormat="1"/>
    <xf numFmtId="3" fontId="2" fillId="0" borderId="0" xfId="3" applyNumberFormat="1"/>
    <xf numFmtId="10" fontId="6" fillId="0" borderId="0" xfId="4" applyNumberFormat="1" applyFont="1" applyProtection="1">
      <protection hidden="1"/>
    </xf>
    <xf numFmtId="44" fontId="6" fillId="0" borderId="0" xfId="0" applyNumberFormat="1" applyFont="1" applyProtection="1">
      <protection hidden="1"/>
    </xf>
    <xf numFmtId="44" fontId="6" fillId="0" borderId="0" xfId="2" applyFont="1" applyProtection="1">
      <protection hidden="1"/>
    </xf>
    <xf numFmtId="169" fontId="6" fillId="2" borderId="2" xfId="2" applyNumberFormat="1" applyFont="1" applyFill="1" applyBorder="1"/>
    <xf numFmtId="0" fontId="2" fillId="0" borderId="2" xfId="2" applyNumberFormat="1" applyFont="1" applyBorder="1" applyAlignment="1">
      <alignment horizontal="center" vertical="center"/>
    </xf>
    <xf numFmtId="9" fontId="3" fillId="0" borderId="0" xfId="0" applyNumberFormat="1" applyFont="1" applyAlignment="1">
      <alignment vertical="center" wrapText="1"/>
    </xf>
    <xf numFmtId="0" fontId="6" fillId="0" borderId="2" xfId="0" applyFont="1" applyBorder="1"/>
    <xf numFmtId="0" fontId="2" fillId="0" borderId="0" xfId="0" applyFont="1" applyAlignment="1">
      <alignment vertical="center" wrapText="1"/>
    </xf>
    <xf numFmtId="0" fontId="6" fillId="0" borderId="2" xfId="0" applyFont="1" applyBorder="1" applyAlignment="1">
      <alignment horizontal="left"/>
    </xf>
    <xf numFmtId="0" fontId="3" fillId="0" borderId="0" xfId="0" applyFont="1" applyAlignment="1">
      <alignment horizontal="center"/>
    </xf>
    <xf numFmtId="0" fontId="2" fillId="0" borderId="2" xfId="0" applyFont="1" applyBorder="1"/>
    <xf numFmtId="169" fontId="6" fillId="0" borderId="2" xfId="3" applyNumberFormat="1" applyFont="1" applyBorder="1"/>
    <xf numFmtId="166" fontId="6" fillId="0" borderId="0" xfId="0" applyNumberFormat="1" applyFont="1"/>
    <xf numFmtId="169" fontId="2" fillId="0" borderId="2" xfId="2" applyNumberFormat="1" applyFont="1" applyBorder="1"/>
    <xf numFmtId="169" fontId="6" fillId="0" borderId="0" xfId="0" applyNumberFormat="1" applyFont="1"/>
    <xf numFmtId="171" fontId="6" fillId="0" borderId="0" xfId="0" applyNumberFormat="1" applyFont="1"/>
    <xf numFmtId="0" fontId="3" fillId="0" borderId="0" xfId="0" applyFont="1" applyAlignment="1">
      <alignment horizontal="right"/>
    </xf>
    <xf numFmtId="0" fontId="2" fillId="0" borderId="0" xfId="0" applyFont="1" applyAlignment="1">
      <alignment vertical="center"/>
    </xf>
    <xf numFmtId="0" fontId="6" fillId="0" borderId="0" xfId="0" applyFont="1" applyAlignment="1">
      <alignment vertical="center" wrapText="1"/>
    </xf>
    <xf numFmtId="0" fontId="2" fillId="0" borderId="2" xfId="0" applyFont="1" applyBorder="1" applyAlignment="1">
      <alignment horizontal="center" wrapText="1"/>
    </xf>
    <xf numFmtId="172" fontId="6" fillId="0" borderId="2" xfId="0" applyNumberFormat="1" applyFont="1" applyBorder="1" applyAlignment="1">
      <alignment horizontal="right"/>
    </xf>
    <xf numFmtId="14" fontId="6" fillId="0" borderId="2" xfId="0" applyNumberFormat="1" applyFont="1" applyBorder="1" applyAlignment="1">
      <alignment horizontal="right"/>
    </xf>
    <xf numFmtId="169" fontId="2" fillId="0" borderId="2" xfId="9" applyNumberFormat="1" applyBorder="1" applyAlignment="1">
      <alignment horizontal="right" vertical="center"/>
    </xf>
    <xf numFmtId="0" fontId="2" fillId="2" borderId="2" xfId="8" applyFont="1" applyFill="1" applyBorder="1" applyAlignment="1">
      <alignment horizontal="left"/>
    </xf>
    <xf numFmtId="0" fontId="2" fillId="2" borderId="2" xfId="0" applyFont="1" applyFill="1" applyBorder="1" applyAlignment="1">
      <alignment horizontal="left" wrapText="1"/>
    </xf>
    <xf numFmtId="0" fontId="2" fillId="0" borderId="2" xfId="2" applyNumberFormat="1" applyFont="1" applyBorder="1" applyAlignment="1">
      <alignment horizontal="center"/>
    </xf>
    <xf numFmtId="0" fontId="2" fillId="0" borderId="0" xfId="2" applyNumberFormat="1" applyFont="1" applyAlignment="1">
      <alignment horizontal="center"/>
    </xf>
    <xf numFmtId="20" fontId="6" fillId="0" borderId="2" xfId="0" applyNumberFormat="1" applyFont="1" applyBorder="1" applyAlignment="1">
      <alignment horizontal="right"/>
    </xf>
    <xf numFmtId="0" fontId="3" fillId="7" borderId="14" xfId="0" applyFont="1" applyFill="1" applyBorder="1" applyAlignment="1">
      <alignment horizontal="left" vertical="center" wrapText="1"/>
    </xf>
    <xf numFmtId="0" fontId="3" fillId="7" borderId="19" xfId="0" applyFont="1" applyFill="1" applyBorder="1" applyAlignment="1">
      <alignment horizontal="left" vertical="center" wrapText="1"/>
    </xf>
    <xf numFmtId="0" fontId="2" fillId="0" borderId="0" xfId="0" applyFont="1" applyAlignment="1">
      <alignment horizontal="right"/>
    </xf>
    <xf numFmtId="0" fontId="2" fillId="0" borderId="2" xfId="0" applyFont="1" applyBorder="1" applyAlignment="1">
      <alignment wrapText="1"/>
    </xf>
    <xf numFmtId="174" fontId="2" fillId="0" borderId="2" xfId="13" applyNumberFormat="1" applyBorder="1"/>
    <xf numFmtId="174" fontId="2" fillId="0" borderId="2" xfId="0" applyNumberFormat="1" applyFont="1" applyBorder="1"/>
    <xf numFmtId="9" fontId="6" fillId="0" borderId="0" xfId="4" applyFont="1" applyAlignment="1">
      <alignment horizontal="right"/>
    </xf>
    <xf numFmtId="0" fontId="6" fillId="0" borderId="0" xfId="0" applyFont="1" applyAlignment="1">
      <alignment horizontal="right"/>
    </xf>
    <xf numFmtId="0" fontId="9" fillId="0" borderId="0" xfId="0" applyFont="1" applyAlignment="1">
      <alignment horizontal="center"/>
    </xf>
    <xf numFmtId="1" fontId="6" fillId="0" borderId="0" xfId="0" applyNumberFormat="1" applyFont="1"/>
    <xf numFmtId="177" fontId="6" fillId="0" borderId="0" xfId="0" applyNumberFormat="1" applyFont="1"/>
    <xf numFmtId="9" fontId="3" fillId="7" borderId="29" xfId="0" applyNumberFormat="1" applyFont="1" applyFill="1" applyBorder="1" applyAlignment="1">
      <alignment horizontal="left" vertical="center" wrapText="1"/>
    </xf>
    <xf numFmtId="9" fontId="3" fillId="7" borderId="31" xfId="0" applyNumberFormat="1" applyFont="1" applyFill="1" applyBorder="1" applyAlignment="1">
      <alignment horizontal="left" vertical="center" wrapText="1"/>
    </xf>
    <xf numFmtId="9" fontId="3" fillId="7" borderId="34" xfId="0" applyNumberFormat="1" applyFont="1" applyFill="1" applyBorder="1" applyAlignment="1">
      <alignment horizontal="left" vertical="center" wrapText="1"/>
    </xf>
    <xf numFmtId="178" fontId="3" fillId="7" borderId="14" xfId="0" applyNumberFormat="1" applyFont="1" applyFill="1" applyBorder="1" applyAlignment="1">
      <alignment horizontal="center" vertical="center" wrapText="1"/>
    </xf>
    <xf numFmtId="178" fontId="3" fillId="7" borderId="19" xfId="0" applyNumberFormat="1" applyFont="1" applyFill="1" applyBorder="1" applyAlignment="1">
      <alignment horizontal="center" vertical="center" wrapText="1"/>
    </xf>
    <xf numFmtId="180" fontId="6" fillId="0" borderId="0" xfId="0" applyNumberFormat="1" applyFont="1"/>
    <xf numFmtId="20" fontId="6" fillId="0" borderId="0" xfId="0" applyNumberFormat="1" applyFont="1"/>
    <xf numFmtId="170" fontId="6" fillId="0" borderId="0" xfId="0" applyNumberFormat="1" applyFont="1"/>
    <xf numFmtId="10" fontId="6" fillId="0" borderId="0" xfId="0" applyNumberFormat="1" applyFont="1"/>
    <xf numFmtId="174" fontId="6" fillId="0" borderId="0" xfId="0" applyNumberFormat="1" applyFont="1"/>
    <xf numFmtId="176" fontId="6" fillId="0" borderId="0" xfId="0" applyNumberFormat="1" applyFont="1"/>
    <xf numFmtId="174" fontId="6" fillId="0" borderId="2" xfId="0" applyNumberFormat="1" applyFont="1" applyBorder="1" applyAlignment="1">
      <alignment horizontal="right" wrapText="1"/>
    </xf>
    <xf numFmtId="0" fontId="2" fillId="0" borderId="0" xfId="0" quotePrefix="1" applyFont="1" applyAlignment="1">
      <alignment horizontal="right"/>
    </xf>
    <xf numFmtId="0" fontId="6" fillId="0" borderId="0" xfId="0" quotePrefix="1" applyFont="1" applyAlignment="1">
      <alignment horizontal="right"/>
    </xf>
    <xf numFmtId="0" fontId="2" fillId="0" borderId="2" xfId="0" applyFont="1" applyBorder="1" applyAlignment="1">
      <alignment horizontal="left"/>
    </xf>
    <xf numFmtId="0" fontId="3" fillId="0" borderId="2" xfId="0" applyFont="1" applyBorder="1" applyAlignment="1">
      <alignment horizontal="center" vertical="center" wrapText="1"/>
    </xf>
    <xf numFmtId="0" fontId="6" fillId="7" borderId="2" xfId="0" applyFont="1" applyFill="1" applyBorder="1"/>
    <xf numFmtId="0" fontId="6" fillId="7" borderId="2" xfId="0" applyFont="1" applyFill="1" applyBorder="1" applyAlignment="1">
      <alignment horizontal="right"/>
    </xf>
    <xf numFmtId="3" fontId="6" fillId="7" borderId="2" xfId="0" applyNumberFormat="1" applyFont="1" applyFill="1" applyBorder="1"/>
    <xf numFmtId="2" fontId="6" fillId="7" borderId="2" xfId="0" applyNumberFormat="1" applyFont="1" applyFill="1" applyBorder="1"/>
    <xf numFmtId="0" fontId="3" fillId="0" borderId="2" xfId="0" applyFont="1" applyBorder="1" applyAlignment="1">
      <alignment horizontal="left"/>
    </xf>
    <xf numFmtId="0" fontId="3" fillId="0" borderId="2" xfId="0" applyFont="1" applyBorder="1"/>
    <xf numFmtId="169" fontId="2" fillId="7" borderId="2" xfId="0" applyNumberFormat="1" applyFont="1" applyFill="1" applyBorder="1"/>
    <xf numFmtId="169" fontId="7" fillId="7" borderId="2" xfId="0" applyNumberFormat="1" applyFont="1" applyFill="1" applyBorder="1"/>
    <xf numFmtId="14" fontId="2" fillId="0" borderId="2" xfId="0" applyNumberFormat="1" applyFont="1" applyBorder="1" applyAlignment="1">
      <alignment horizontal="left"/>
    </xf>
    <xf numFmtId="169" fontId="3" fillId="7" borderId="2" xfId="0" applyNumberFormat="1" applyFont="1" applyFill="1" applyBorder="1"/>
    <xf numFmtId="0" fontId="2" fillId="0" borderId="2" xfId="0" applyFont="1" applyBorder="1" applyAlignment="1">
      <alignment horizontal="right"/>
    </xf>
    <xf numFmtId="169" fontId="6" fillId="0" borderId="2" xfId="0" applyNumberFormat="1" applyFont="1" applyBorder="1"/>
    <xf numFmtId="0" fontId="2" fillId="7" borderId="2" xfId="0" applyFont="1" applyFill="1" applyBorder="1"/>
    <xf numFmtId="176" fontId="6" fillId="0" borderId="2" xfId="1" applyNumberFormat="1" applyFont="1" applyBorder="1"/>
    <xf numFmtId="0" fontId="6" fillId="7" borderId="2" xfId="2" applyNumberFormat="1" applyFont="1" applyFill="1" applyBorder="1" applyProtection="1"/>
    <xf numFmtId="178" fontId="3" fillId="0" borderId="2" xfId="0" applyNumberFormat="1" applyFont="1" applyBorder="1" applyAlignment="1">
      <alignment horizontal="center"/>
    </xf>
    <xf numFmtId="171" fontId="6" fillId="0" borderId="2" xfId="0" applyNumberFormat="1" applyFont="1" applyBorder="1"/>
    <xf numFmtId="1" fontId="2" fillId="0" borderId="2" xfId="2" applyNumberFormat="1" applyFont="1" applyBorder="1"/>
    <xf numFmtId="0" fontId="2" fillId="0" borderId="2" xfId="0" applyFont="1" applyBorder="1" applyAlignment="1">
      <alignment horizontal="right" wrapText="1"/>
    </xf>
    <xf numFmtId="2" fontId="2" fillId="0" borderId="2" xfId="0" applyNumberFormat="1" applyFont="1" applyBorder="1" applyAlignment="1">
      <alignment horizontal="right" wrapText="1"/>
    </xf>
    <xf numFmtId="2" fontId="2" fillId="7" borderId="2" xfId="0" applyNumberFormat="1" applyFont="1" applyFill="1" applyBorder="1"/>
    <xf numFmtId="0" fontId="7" fillId="0" borderId="2" xfId="0" applyFont="1" applyBorder="1"/>
    <xf numFmtId="0" fontId="7" fillId="0" borderId="2" xfId="0" applyFont="1" applyBorder="1" applyAlignment="1">
      <alignment horizontal="center"/>
    </xf>
    <xf numFmtId="14" fontId="6" fillId="0" borderId="2" xfId="0" applyNumberFormat="1" applyFont="1" applyBorder="1" applyAlignment="1">
      <alignment horizontal="left"/>
    </xf>
    <xf numFmtId="0" fontId="6" fillId="0" borderId="2" xfId="0" applyFont="1" applyBorder="1" applyAlignment="1">
      <alignment horizontal="center"/>
    </xf>
    <xf numFmtId="0" fontId="2" fillId="7" borderId="2" xfId="0" applyFont="1" applyFill="1" applyBorder="1" applyAlignment="1">
      <alignment horizontal="center"/>
    </xf>
    <xf numFmtId="0" fontId="2" fillId="7" borderId="2" xfId="0" applyFont="1" applyFill="1" applyBorder="1" applyAlignment="1">
      <alignment horizontal="right"/>
    </xf>
    <xf numFmtId="169" fontId="2" fillId="7" borderId="2" xfId="0" applyNumberFormat="1" applyFont="1" applyFill="1" applyBorder="1" applyAlignment="1">
      <alignment horizontal="right"/>
    </xf>
    <xf numFmtId="169" fontId="2" fillId="0" borderId="2" xfId="5" applyNumberFormat="1" applyBorder="1" applyAlignment="1">
      <alignment horizontal="right" wrapText="1"/>
    </xf>
    <xf numFmtId="171" fontId="2" fillId="0" borderId="2" xfId="0" applyNumberFormat="1" applyFont="1" applyBorder="1"/>
    <xf numFmtId="170" fontId="6" fillId="4" borderId="2" xfId="0" applyNumberFormat="1" applyFont="1" applyFill="1" applyBorder="1"/>
    <xf numFmtId="0" fontId="3" fillId="4" borderId="2" xfId="0" applyFont="1" applyFill="1" applyBorder="1" applyAlignment="1">
      <alignment horizontal="right"/>
    </xf>
    <xf numFmtId="0" fontId="3" fillId="0" borderId="26" xfId="0" applyFont="1" applyBorder="1" applyAlignment="1">
      <alignment horizontal="center"/>
    </xf>
    <xf numFmtId="169" fontId="2" fillId="0" borderId="2" xfId="6" applyNumberFormat="1" applyBorder="1"/>
    <xf numFmtId="0" fontId="3" fillId="0" borderId="2" xfId="0" applyFont="1" applyBorder="1" applyAlignment="1">
      <alignment horizontal="left" wrapText="1"/>
    </xf>
    <xf numFmtId="178" fontId="6" fillId="0" borderId="2" xfId="0" applyNumberFormat="1" applyFont="1" applyBorder="1" applyAlignment="1">
      <alignment horizontal="right"/>
    </xf>
    <xf numFmtId="0" fontId="3" fillId="0" borderId="2" xfId="0" applyFont="1" applyBorder="1" applyAlignment="1">
      <alignment horizontal="left" vertical="center" wrapText="1"/>
    </xf>
    <xf numFmtId="169" fontId="2" fillId="0" borderId="2" xfId="7" applyNumberFormat="1" applyBorder="1"/>
    <xf numFmtId="0" fontId="6" fillId="7" borderId="2" xfId="4" applyNumberFormat="1" applyFont="1" applyFill="1" applyBorder="1" applyProtection="1"/>
    <xf numFmtId="169" fontId="6" fillId="7" borderId="2" xfId="0" applyNumberFormat="1" applyFont="1" applyFill="1" applyBorder="1"/>
    <xf numFmtId="0" fontId="3" fillId="0" borderId="2" xfId="0" applyFont="1" applyBorder="1" applyAlignment="1">
      <alignment horizontal="left" vertical="center"/>
    </xf>
    <xf numFmtId="0" fontId="3" fillId="0" borderId="2" xfId="0" applyFont="1" applyBorder="1" applyAlignment="1">
      <alignment horizontal="center" vertical="center"/>
    </xf>
    <xf numFmtId="169" fontId="6" fillId="0" borderId="2" xfId="2" applyNumberFormat="1" applyFont="1" applyBorder="1"/>
    <xf numFmtId="173" fontId="6" fillId="0" borderId="2" xfId="0" applyNumberFormat="1" applyFont="1" applyBorder="1" applyAlignment="1">
      <alignment horizontal="left"/>
    </xf>
    <xf numFmtId="0" fontId="6" fillId="7" borderId="2" xfId="0" applyFont="1" applyFill="1" applyBorder="1" applyAlignment="1">
      <alignment horizontal="center"/>
    </xf>
    <xf numFmtId="14" fontId="6" fillId="0" borderId="2" xfId="0" applyNumberFormat="1" applyFont="1" applyBorder="1" applyAlignment="1" applyProtection="1">
      <alignment horizontal="right"/>
      <protection hidden="1"/>
    </xf>
    <xf numFmtId="172" fontId="6" fillId="0" borderId="2" xfId="0" applyNumberFormat="1" applyFont="1" applyBorder="1"/>
    <xf numFmtId="180" fontId="6" fillId="7" borderId="2" xfId="0" applyNumberFormat="1" applyFont="1" applyFill="1" applyBorder="1"/>
    <xf numFmtId="0" fontId="3" fillId="0" borderId="2" xfId="0" applyFont="1" applyBorder="1" applyAlignment="1">
      <alignment horizontal="right"/>
    </xf>
    <xf numFmtId="20" fontId="6" fillId="0" borderId="2" xfId="0" applyNumberFormat="1" applyFont="1" applyBorder="1"/>
    <xf numFmtId="0" fontId="6" fillId="3" borderId="2" xfId="0" applyFont="1" applyFill="1" applyBorder="1"/>
    <xf numFmtId="172" fontId="6" fillId="0" borderId="2" xfId="0" applyNumberFormat="1" applyFont="1" applyBorder="1" applyProtection="1">
      <protection hidden="1"/>
    </xf>
    <xf numFmtId="0" fontId="2" fillId="2" borderId="2" xfId="8" applyFont="1" applyFill="1" applyBorder="1"/>
    <xf numFmtId="0" fontId="2" fillId="2" borderId="2" xfId="0" applyFont="1" applyFill="1" applyBorder="1" applyAlignment="1">
      <alignment vertical="top" wrapText="1"/>
    </xf>
    <xf numFmtId="0" fontId="2" fillId="2" borderId="2" xfId="0" applyFont="1" applyFill="1" applyBorder="1" applyAlignment="1">
      <alignment vertical="top"/>
    </xf>
    <xf numFmtId="10" fontId="6" fillId="0" borderId="2" xfId="4" applyNumberFormat="1" applyFont="1" applyBorder="1" applyAlignment="1">
      <alignment horizontal="left" vertical="center"/>
    </xf>
    <xf numFmtId="0" fontId="2" fillId="0" borderId="2" xfId="9" applyNumberFormat="1" applyBorder="1" applyAlignment="1">
      <alignment horizontal="center" vertical="center"/>
    </xf>
    <xf numFmtId="9" fontId="2" fillId="0" borderId="2" xfId="10" applyBorder="1" applyAlignment="1">
      <alignment horizontal="center" vertical="center"/>
    </xf>
    <xf numFmtId="0" fontId="2" fillId="2" borderId="2" xfId="0" applyFont="1" applyFill="1" applyBorder="1" applyAlignment="1">
      <alignment wrapText="1"/>
    </xf>
    <xf numFmtId="179" fontId="6" fillId="0" borderId="2" xfId="4" applyNumberFormat="1" applyFont="1" applyBorder="1" applyAlignment="1">
      <alignment horizontal="center"/>
    </xf>
    <xf numFmtId="179" fontId="2" fillId="0" borderId="2" xfId="4" applyNumberFormat="1" applyFont="1" applyBorder="1" applyAlignment="1">
      <alignment horizontal="center"/>
    </xf>
    <xf numFmtId="14" fontId="2" fillId="0" borderId="2" xfId="9" applyNumberFormat="1" applyBorder="1" applyAlignment="1">
      <alignment horizontal="right"/>
    </xf>
    <xf numFmtId="169" fontId="6" fillId="7" borderId="2" xfId="2" applyNumberFormat="1" applyFont="1" applyFill="1" applyBorder="1" applyProtection="1"/>
    <xf numFmtId="14" fontId="2" fillId="0" borderId="2" xfId="0" applyNumberFormat="1" applyFont="1" applyBorder="1" applyAlignment="1">
      <alignment horizontal="right" wrapText="1"/>
    </xf>
    <xf numFmtId="174" fontId="2" fillId="5" borderId="2" xfId="9" applyNumberFormat="1" applyFill="1" applyBorder="1" applyAlignment="1">
      <alignment horizontal="left"/>
    </xf>
    <xf numFmtId="169" fontId="2" fillId="5" borderId="2" xfId="9" applyNumberFormat="1" applyFill="1" applyBorder="1" applyAlignment="1">
      <alignment horizontal="right"/>
    </xf>
    <xf numFmtId="14" fontId="6" fillId="0" borderId="2" xfId="0" applyNumberFormat="1" applyFont="1" applyBorder="1"/>
    <xf numFmtId="0" fontId="2" fillId="5" borderId="2" xfId="0" applyFont="1" applyFill="1" applyBorder="1"/>
    <xf numFmtId="169" fontId="6" fillId="5" borderId="2" xfId="0" applyNumberFormat="1" applyFont="1" applyFill="1" applyBorder="1"/>
    <xf numFmtId="0" fontId="2" fillId="0" borderId="2" xfId="11" applyFont="1" applyBorder="1"/>
    <xf numFmtId="0" fontId="2" fillId="0" borderId="2" xfId="0" applyFont="1" applyBorder="1" applyAlignment="1">
      <alignment horizontal="left" wrapText="1"/>
    </xf>
    <xf numFmtId="3" fontId="2" fillId="0" borderId="2" xfId="0" applyNumberFormat="1" applyFont="1" applyBorder="1"/>
    <xf numFmtId="49" fontId="2" fillId="0" borderId="2" xfId="0" applyNumberFormat="1" applyFont="1" applyBorder="1"/>
    <xf numFmtId="169" fontId="2" fillId="0" borderId="2" xfId="2" applyNumberFormat="1" applyFont="1" applyBorder="1" applyProtection="1">
      <protection locked="0"/>
    </xf>
    <xf numFmtId="169" fontId="2" fillId="6" borderId="2" xfId="12" applyNumberFormat="1" applyFill="1" applyBorder="1"/>
    <xf numFmtId="10" fontId="2" fillId="0" borderId="2" xfId="10" applyNumberFormat="1" applyBorder="1" applyProtection="1">
      <protection locked="0"/>
    </xf>
    <xf numFmtId="10" fontId="6" fillId="7" borderId="2" xfId="4" applyNumberFormat="1" applyFont="1" applyFill="1" applyBorder="1" applyProtection="1"/>
    <xf numFmtId="169" fontId="2" fillId="3" borderId="2" xfId="0" applyNumberFormat="1" applyFont="1" applyFill="1" applyBorder="1"/>
    <xf numFmtId="169" fontId="2" fillId="3" borderId="2" xfId="10" applyNumberFormat="1" applyFill="1" applyBorder="1"/>
    <xf numFmtId="0" fontId="7" fillId="0" borderId="2" xfId="0" applyFont="1" applyBorder="1" applyAlignment="1">
      <alignment vertical="center"/>
    </xf>
    <xf numFmtId="0" fontId="7" fillId="0" borderId="2" xfId="0" applyFont="1" applyBorder="1" applyAlignment="1">
      <alignment horizontal="center" vertical="center"/>
    </xf>
    <xf numFmtId="0" fontId="7" fillId="0" borderId="2" xfId="0" applyFont="1" applyBorder="1" applyAlignment="1">
      <alignment horizontal="center" vertical="center" wrapText="1"/>
    </xf>
    <xf numFmtId="3" fontId="6" fillId="7" borderId="2" xfId="2" applyNumberFormat="1" applyFont="1" applyFill="1" applyBorder="1" applyProtection="1"/>
    <xf numFmtId="174" fontId="2" fillId="0" borderId="2" xfId="0" applyNumberFormat="1" applyFont="1" applyBorder="1" applyAlignment="1">
      <alignment horizontal="right"/>
    </xf>
    <xf numFmtId="174" fontId="2" fillId="7" borderId="2" xfId="0" applyNumberFormat="1" applyFont="1" applyFill="1" applyBorder="1"/>
    <xf numFmtId="174" fontId="7" fillId="7" borderId="2" xfId="0" applyNumberFormat="1" applyFont="1" applyFill="1" applyBorder="1" applyAlignment="1">
      <alignment horizontal="right"/>
    </xf>
    <xf numFmtId="169" fontId="6" fillId="0" borderId="2" xfId="2" applyNumberFormat="1" applyFont="1" applyFill="1" applyBorder="1" applyProtection="1">
      <protection hidden="1"/>
    </xf>
    <xf numFmtId="10" fontId="6" fillId="0" borderId="2" xfId="4" applyNumberFormat="1" applyFont="1" applyFill="1" applyBorder="1" applyAlignment="1">
      <alignment horizontal="right"/>
    </xf>
    <xf numFmtId="0" fontId="6" fillId="0" borderId="2" xfId="0" applyFont="1" applyBorder="1" applyAlignment="1">
      <alignment wrapText="1"/>
    </xf>
    <xf numFmtId="174" fontId="6" fillId="0" borderId="2" xfId="0" applyNumberFormat="1" applyFont="1" applyBorder="1"/>
    <xf numFmtId="174" fontId="6" fillId="0" borderId="2" xfId="0" applyNumberFormat="1" applyFont="1" applyBorder="1" applyAlignment="1">
      <alignment horizontal="right"/>
    </xf>
    <xf numFmtId="174" fontId="6" fillId="7" borderId="2" xfId="2" applyNumberFormat="1" applyFont="1" applyFill="1" applyBorder="1" applyProtection="1"/>
    <xf numFmtId="174" fontId="6" fillId="7" borderId="2" xfId="2" applyNumberFormat="1" applyFont="1" applyFill="1" applyBorder="1" applyAlignment="1" applyProtection="1">
      <alignment horizontal="right"/>
    </xf>
    <xf numFmtId="10" fontId="6" fillId="7" borderId="2" xfId="0" applyNumberFormat="1" applyFont="1" applyFill="1" applyBorder="1"/>
    <xf numFmtId="169" fontId="2" fillId="7" borderId="2" xfId="2" applyNumberFormat="1" applyFont="1" applyFill="1" applyBorder="1" applyProtection="1"/>
    <xf numFmtId="176" fontId="6" fillId="7" borderId="2" xfId="1" applyNumberFormat="1" applyFont="1" applyFill="1" applyBorder="1" applyProtection="1"/>
    <xf numFmtId="169" fontId="7" fillId="7" borderId="2" xfId="2" applyNumberFormat="1" applyFont="1" applyFill="1" applyBorder="1" applyProtection="1"/>
    <xf numFmtId="183" fontId="6" fillId="7" borderId="2" xfId="0" applyNumberFormat="1" applyFont="1" applyFill="1" applyBorder="1"/>
    <xf numFmtId="171" fontId="6" fillId="7" borderId="2" xfId="0" applyNumberFormat="1" applyFont="1" applyFill="1" applyBorder="1"/>
    <xf numFmtId="169" fontId="2" fillId="7" borderId="2" xfId="6" applyNumberFormat="1" applyFill="1" applyBorder="1" applyProtection="1"/>
    <xf numFmtId="14" fontId="6" fillId="7" borderId="2" xfId="0" applyNumberFormat="1" applyFont="1" applyFill="1" applyBorder="1" applyAlignment="1">
      <alignment horizontal="right"/>
    </xf>
    <xf numFmtId="20" fontId="6" fillId="7" borderId="2" xfId="0" applyNumberFormat="1" applyFont="1" applyFill="1" applyBorder="1"/>
    <xf numFmtId="14" fontId="6" fillId="7" borderId="2" xfId="0" applyNumberFormat="1" applyFont="1" applyFill="1" applyBorder="1"/>
    <xf numFmtId="169" fontId="6" fillId="7" borderId="2" xfId="4" applyNumberFormat="1" applyFont="1" applyFill="1" applyBorder="1" applyProtection="1"/>
    <xf numFmtId="9" fontId="6" fillId="7" borderId="2" xfId="4" applyFont="1" applyFill="1" applyBorder="1" applyProtection="1"/>
    <xf numFmtId="0" fontId="6" fillId="0" borderId="0" xfId="14" applyFont="1"/>
    <xf numFmtId="0" fontId="6" fillId="0" borderId="2" xfId="14" applyFont="1" applyBorder="1"/>
    <xf numFmtId="3" fontId="6" fillId="0" borderId="2" xfId="14" applyNumberFormat="1" applyFont="1" applyBorder="1"/>
    <xf numFmtId="0" fontId="6" fillId="0" borderId="35" xfId="14" applyFont="1" applyBorder="1"/>
    <xf numFmtId="184" fontId="6" fillId="0" borderId="35" xfId="14" applyNumberFormat="1" applyFont="1" applyBorder="1"/>
    <xf numFmtId="14" fontId="6" fillId="0" borderId="0" xfId="14" applyNumberFormat="1" applyFont="1" applyAlignment="1">
      <alignment horizontal="left"/>
    </xf>
    <xf numFmtId="184" fontId="6" fillId="0" borderId="0" xfId="14" applyNumberFormat="1" applyFont="1" applyAlignment="1">
      <alignment horizontal="left"/>
    </xf>
    <xf numFmtId="0" fontId="6" fillId="0" borderId="0" xfId="14" applyFont="1" applyAlignment="1">
      <alignment horizontal="left"/>
    </xf>
    <xf numFmtId="184" fontId="6" fillId="0" borderId="2" xfId="14" applyNumberFormat="1" applyFont="1" applyBorder="1" applyAlignment="1">
      <alignment horizontal="left"/>
    </xf>
    <xf numFmtId="3" fontId="6" fillId="7" borderId="2" xfId="14" applyNumberFormat="1" applyFont="1" applyFill="1" applyBorder="1"/>
    <xf numFmtId="0" fontId="6" fillId="0" borderId="0" xfId="14" applyFont="1" applyAlignment="1">
      <alignment horizontal="right"/>
    </xf>
    <xf numFmtId="2" fontId="6" fillId="7" borderId="2" xfId="14" applyNumberFormat="1" applyFont="1" applyFill="1" applyBorder="1"/>
    <xf numFmtId="0" fontId="6" fillId="7" borderId="2" xfId="14" applyFont="1" applyFill="1" applyBorder="1"/>
    <xf numFmtId="0" fontId="10" fillId="0" borderId="0" xfId="0" applyFont="1"/>
    <xf numFmtId="0" fontId="6" fillId="3" borderId="2" xfId="14" applyFont="1" applyFill="1" applyBorder="1"/>
    <xf numFmtId="0" fontId="3" fillId="7" borderId="23" xfId="0" applyFont="1" applyFill="1" applyBorder="1" applyAlignment="1">
      <alignment vertical="center" wrapText="1"/>
    </xf>
    <xf numFmtId="0" fontId="3" fillId="7" borderId="1" xfId="0" applyFont="1" applyFill="1" applyBorder="1" applyAlignment="1">
      <alignment horizontal="center" vertical="center" wrapText="1"/>
    </xf>
    <xf numFmtId="49" fontId="3" fillId="7" borderId="8" xfId="0" applyNumberFormat="1" applyFont="1" applyFill="1" applyBorder="1" applyAlignment="1">
      <alignment horizontal="center" vertical="center" wrapText="1"/>
    </xf>
    <xf numFmtId="0" fontId="3" fillId="7" borderId="0" xfId="0" applyFont="1" applyFill="1" applyAlignment="1">
      <alignment vertical="center" wrapText="1"/>
    </xf>
    <xf numFmtId="0" fontId="3" fillId="7" borderId="16" xfId="0" applyFont="1" applyFill="1" applyBorder="1" applyAlignment="1">
      <alignment vertical="center" wrapText="1"/>
    </xf>
    <xf numFmtId="0" fontId="3" fillId="7" borderId="24" xfId="0" applyFont="1" applyFill="1" applyBorder="1" applyAlignment="1">
      <alignment vertical="top" wrapText="1"/>
    </xf>
    <xf numFmtId="20" fontId="2" fillId="7" borderId="2" xfId="0" applyNumberFormat="1" applyFont="1" applyFill="1" applyBorder="1" applyAlignment="1">
      <alignment vertical="top" wrapText="1"/>
    </xf>
    <xf numFmtId="20" fontId="2" fillId="7" borderId="9" xfId="0" applyNumberFormat="1" applyFont="1" applyFill="1" applyBorder="1" applyAlignment="1">
      <alignment vertical="top" wrapText="1"/>
    </xf>
    <xf numFmtId="0" fontId="3" fillId="7" borderId="0" xfId="0" applyFont="1" applyFill="1" applyAlignment="1">
      <alignment vertical="top" wrapText="1"/>
    </xf>
    <xf numFmtId="0" fontId="3" fillId="7" borderId="16" xfId="0" applyFont="1" applyFill="1" applyBorder="1" applyAlignment="1">
      <alignment vertical="top" wrapText="1"/>
    </xf>
    <xf numFmtId="0" fontId="3" fillId="7" borderId="25" xfId="0" applyFont="1" applyFill="1" applyBorder="1" applyAlignment="1">
      <alignment vertical="top" wrapText="1"/>
    </xf>
    <xf numFmtId="167" fontId="2" fillId="7" borderId="4" xfId="0" applyNumberFormat="1" applyFont="1" applyFill="1" applyBorder="1" applyAlignment="1">
      <alignment vertical="top" wrapText="1"/>
    </xf>
    <xf numFmtId="167" fontId="2" fillId="7" borderId="3" xfId="0" applyNumberFormat="1" applyFont="1" applyFill="1" applyBorder="1" applyAlignment="1">
      <alignment vertical="top" wrapText="1"/>
    </xf>
    <xf numFmtId="0" fontId="3" fillId="7" borderId="15" xfId="0" applyFont="1" applyFill="1" applyBorder="1" applyAlignment="1">
      <alignment vertical="top" wrapText="1"/>
    </xf>
    <xf numFmtId="0" fontId="3" fillId="0" borderId="0" xfId="0" applyFont="1" applyAlignment="1">
      <alignment vertical="top" wrapText="1"/>
    </xf>
    <xf numFmtId="0" fontId="13" fillId="0" borderId="0" xfId="0" applyFont="1" applyAlignment="1">
      <alignment horizontal="right" vertical="center" wrapText="1"/>
    </xf>
    <xf numFmtId="169" fontId="2" fillId="0" borderId="2" xfId="0" applyNumberFormat="1" applyFont="1" applyBorder="1"/>
    <xf numFmtId="169" fontId="2" fillId="0" borderId="2" xfId="0" applyNumberFormat="1" applyFont="1" applyBorder="1" applyAlignment="1">
      <alignment horizontal="right"/>
    </xf>
    <xf numFmtId="10" fontId="2" fillId="7" borderId="2" xfId="0" applyNumberFormat="1" applyFont="1" applyFill="1" applyBorder="1"/>
    <xf numFmtId="169" fontId="6" fillId="7" borderId="2" xfId="1" applyNumberFormat="1" applyFont="1" applyFill="1" applyBorder="1" applyProtection="1"/>
    <xf numFmtId="186" fontId="6" fillId="0" borderId="2" xfId="1" applyNumberFormat="1" applyFont="1" applyBorder="1"/>
    <xf numFmtId="187" fontId="3" fillId="0" borderId="2" xfId="0" applyNumberFormat="1" applyFont="1" applyBorder="1" applyAlignment="1">
      <alignment horizontal="center"/>
    </xf>
    <xf numFmtId="186" fontId="6" fillId="7" borderId="2" xfId="1" applyNumberFormat="1" applyFont="1" applyFill="1" applyBorder="1"/>
    <xf numFmtId="46" fontId="6" fillId="0" borderId="0" xfId="0" applyNumberFormat="1" applyFont="1"/>
    <xf numFmtId="0" fontId="14" fillId="8" borderId="0" xfId="15" applyFont="1" applyFill="1" applyAlignment="1">
      <alignment horizontal="center" vertical="center"/>
    </xf>
    <xf numFmtId="0" fontId="0" fillId="7" borderId="0" xfId="0" applyFill="1"/>
    <xf numFmtId="0" fontId="3" fillId="7" borderId="2" xfId="0" applyFont="1" applyFill="1" applyBorder="1"/>
    <xf numFmtId="0" fontId="14" fillId="8" borderId="9" xfId="0" applyFont="1" applyFill="1" applyBorder="1" applyAlignment="1">
      <alignment horizontal="left"/>
    </xf>
    <xf numFmtId="0" fontId="14" fillId="8" borderId="11" xfId="0" applyFont="1" applyFill="1" applyBorder="1" applyAlignment="1">
      <alignment horizontal="right"/>
    </xf>
    <xf numFmtId="169" fontId="14" fillId="8" borderId="2" xfId="3" applyNumberFormat="1" applyFont="1" applyFill="1" applyBorder="1" applyAlignment="1">
      <alignment horizontal="center"/>
    </xf>
    <xf numFmtId="14" fontId="0" fillId="7" borderId="2" xfId="0" applyNumberFormat="1" applyFill="1" applyBorder="1"/>
    <xf numFmtId="172" fontId="6" fillId="0" borderId="2" xfId="0" quotePrefix="1" applyNumberFormat="1" applyFont="1" applyBorder="1"/>
    <xf numFmtId="14" fontId="0" fillId="0" borderId="0" xfId="0" applyNumberFormat="1"/>
    <xf numFmtId="2" fontId="0" fillId="0" borderId="0" xfId="0" applyNumberFormat="1"/>
    <xf numFmtId="170" fontId="6" fillId="7" borderId="2" xfId="0" applyNumberFormat="1" applyFont="1" applyFill="1" applyBorder="1"/>
    <xf numFmtId="0" fontId="7" fillId="0" borderId="2" xfId="0" applyFont="1" applyBorder="1" applyAlignment="1">
      <alignment horizontal="left" vertical="center"/>
    </xf>
    <xf numFmtId="0" fontId="16" fillId="0" borderId="2" xfId="0" applyFont="1" applyBorder="1" applyAlignment="1">
      <alignment vertical="center"/>
    </xf>
    <xf numFmtId="0" fontId="6" fillId="9" borderId="2" xfId="0" applyFont="1" applyFill="1" applyBorder="1"/>
    <xf numFmtId="169" fontId="3" fillId="9" borderId="2" xfId="0" applyNumberFormat="1" applyFont="1" applyFill="1" applyBorder="1"/>
    <xf numFmtId="0" fontId="6" fillId="0" borderId="2" xfId="0" applyFont="1" applyBorder="1" applyAlignment="1">
      <alignment horizontal="right"/>
    </xf>
    <xf numFmtId="0" fontId="6" fillId="7" borderId="0" xfId="0" applyFont="1" applyFill="1"/>
    <xf numFmtId="1" fontId="2" fillId="7" borderId="2" xfId="0" applyNumberFormat="1" applyFont="1" applyFill="1" applyBorder="1" applyAlignment="1">
      <alignment horizontal="center"/>
    </xf>
    <xf numFmtId="3" fontId="2" fillId="7" borderId="2" xfId="0" applyNumberFormat="1" applyFont="1" applyFill="1" applyBorder="1"/>
    <xf numFmtId="0" fontId="2" fillId="7" borderId="2" xfId="0" applyFont="1" applyFill="1" applyBorder="1" applyAlignment="1">
      <alignment horizontal="left"/>
    </xf>
    <xf numFmtId="4" fontId="2" fillId="7" borderId="2" xfId="0" applyNumberFormat="1" applyFont="1" applyFill="1" applyBorder="1" applyAlignment="1">
      <alignment horizontal="right"/>
    </xf>
    <xf numFmtId="4" fontId="3" fillId="7" borderId="2" xfId="0" applyNumberFormat="1" applyFont="1" applyFill="1" applyBorder="1" applyAlignment="1">
      <alignment horizontal="right"/>
    </xf>
    <xf numFmtId="3" fontId="3" fillId="7" borderId="2" xfId="0" applyNumberFormat="1" applyFont="1" applyFill="1" applyBorder="1"/>
    <xf numFmtId="0" fontId="0" fillId="7" borderId="31" xfId="0" applyFill="1" applyBorder="1"/>
    <xf numFmtId="0" fontId="0" fillId="7" borderId="30" xfId="0" applyFill="1" applyBorder="1" applyAlignment="1">
      <alignment horizontal="right"/>
    </xf>
    <xf numFmtId="0" fontId="0" fillId="7" borderId="33" xfId="0" applyFill="1" applyBorder="1"/>
    <xf numFmtId="0" fontId="0" fillId="7" borderId="34" xfId="0" applyFill="1" applyBorder="1"/>
    <xf numFmtId="0" fontId="6" fillId="7" borderId="30" xfId="0" applyFont="1" applyFill="1" applyBorder="1"/>
    <xf numFmtId="0" fontId="6" fillId="7" borderId="31" xfId="0" applyFont="1" applyFill="1" applyBorder="1"/>
    <xf numFmtId="0" fontId="6" fillId="7" borderId="30" xfId="0" applyFont="1" applyFill="1" applyBorder="1" applyAlignment="1">
      <alignment horizontal="right"/>
    </xf>
    <xf numFmtId="0" fontId="6" fillId="7" borderId="32" xfId="0" applyFont="1" applyFill="1" applyBorder="1"/>
    <xf numFmtId="0" fontId="6" fillId="7" borderId="33" xfId="0" applyFont="1" applyFill="1" applyBorder="1"/>
    <xf numFmtId="0" fontId="6" fillId="7" borderId="34" xfId="0" applyFont="1" applyFill="1" applyBorder="1"/>
    <xf numFmtId="0" fontId="20" fillId="0" borderId="0" xfId="15" applyFont="1"/>
    <xf numFmtId="14" fontId="6" fillId="0" borderId="0" xfId="0" applyNumberFormat="1" applyFont="1" applyAlignment="1">
      <alignment horizontal="right"/>
    </xf>
    <xf numFmtId="178" fontId="6" fillId="0" borderId="0" xfId="0" applyNumberFormat="1" applyFont="1"/>
    <xf numFmtId="0" fontId="0" fillId="7" borderId="28" xfId="0" applyFill="1" applyBorder="1"/>
    <xf numFmtId="0" fontId="6" fillId="7" borderId="27" xfId="0" applyFont="1" applyFill="1" applyBorder="1"/>
    <xf numFmtId="0" fontId="6" fillId="7" borderId="28" xfId="0" applyFont="1" applyFill="1" applyBorder="1"/>
    <xf numFmtId="0" fontId="6" fillId="7" borderId="29" xfId="0" applyFont="1" applyFill="1" applyBorder="1"/>
    <xf numFmtId="1" fontId="6" fillId="0" borderId="2" xfId="0" applyNumberFormat="1" applyFont="1" applyBorder="1"/>
    <xf numFmtId="0" fontId="6" fillId="0" borderId="2" xfId="0" applyFont="1" applyBorder="1" applyAlignment="1">
      <alignment vertical="center"/>
    </xf>
    <xf numFmtId="0" fontId="6" fillId="11" borderId="0" xfId="0" applyFont="1" applyFill="1"/>
    <xf numFmtId="0" fontId="6" fillId="11" borderId="56" xfId="0" applyFont="1" applyFill="1" applyBorder="1"/>
    <xf numFmtId="0" fontId="6" fillId="11" borderId="57" xfId="0" applyFont="1" applyFill="1" applyBorder="1"/>
    <xf numFmtId="0" fontId="6" fillId="11" borderId="58" xfId="0" applyFont="1" applyFill="1" applyBorder="1"/>
    <xf numFmtId="0" fontId="6" fillId="11" borderId="59" xfId="0" applyFont="1" applyFill="1" applyBorder="1"/>
    <xf numFmtId="0" fontId="6" fillId="11" borderId="58" xfId="0" quotePrefix="1" applyFont="1" applyFill="1" applyBorder="1"/>
    <xf numFmtId="0" fontId="6" fillId="11" borderId="60" xfId="0" applyFont="1" applyFill="1" applyBorder="1"/>
    <xf numFmtId="0" fontId="6" fillId="11" borderId="61" xfId="0" applyFont="1" applyFill="1" applyBorder="1"/>
    <xf numFmtId="0" fontId="6" fillId="11" borderId="62" xfId="0" applyFont="1" applyFill="1" applyBorder="1"/>
    <xf numFmtId="0" fontId="7" fillId="11" borderId="55" xfId="0" applyFont="1" applyFill="1" applyBorder="1"/>
    <xf numFmtId="0" fontId="6" fillId="7" borderId="27" xfId="14" applyFont="1" applyFill="1" applyBorder="1" applyAlignment="1">
      <alignment horizontal="right"/>
    </xf>
    <xf numFmtId="0" fontId="6" fillId="7" borderId="28" xfId="14" applyFont="1" applyFill="1" applyBorder="1"/>
    <xf numFmtId="0" fontId="6" fillId="7" borderId="29" xfId="14" applyFont="1" applyFill="1" applyBorder="1"/>
    <xf numFmtId="0" fontId="6" fillId="7" borderId="30" xfId="14" applyFont="1" applyFill="1" applyBorder="1"/>
    <xf numFmtId="0" fontId="6" fillId="7" borderId="0" xfId="14" applyFont="1" applyFill="1" applyAlignment="1">
      <alignment vertical="top"/>
    </xf>
    <xf numFmtId="0" fontId="6" fillId="7" borderId="0" xfId="14" applyFont="1" applyFill="1"/>
    <xf numFmtId="0" fontId="6" fillId="7" borderId="31" xfId="14" applyFont="1" applyFill="1" applyBorder="1"/>
    <xf numFmtId="0" fontId="6" fillId="7" borderId="30" xfId="14" applyFont="1" applyFill="1" applyBorder="1" applyAlignment="1">
      <alignment horizontal="right"/>
    </xf>
    <xf numFmtId="0" fontId="6" fillId="7" borderId="0" xfId="0" applyFont="1" applyFill="1" applyAlignment="1">
      <alignment vertical="top"/>
    </xf>
    <xf numFmtId="0" fontId="6" fillId="7" borderId="32" xfId="14" applyFont="1" applyFill="1" applyBorder="1"/>
    <xf numFmtId="0" fontId="6" fillId="7" borderId="33" xfId="14" applyFont="1" applyFill="1" applyBorder="1"/>
    <xf numFmtId="0" fontId="6" fillId="7" borderId="34" xfId="14" applyFont="1" applyFill="1" applyBorder="1"/>
    <xf numFmtId="0" fontId="6" fillId="7" borderId="27" xfId="0" applyFont="1" applyFill="1" applyBorder="1" applyAlignment="1">
      <alignment horizontal="right"/>
    </xf>
    <xf numFmtId="0" fontId="6" fillId="7" borderId="27" xfId="14" applyFont="1" applyFill="1" applyBorder="1"/>
    <xf numFmtId="0" fontId="6" fillId="7" borderId="32" xfId="14" applyFont="1" applyFill="1" applyBorder="1" applyAlignment="1">
      <alignment horizontal="right"/>
    </xf>
    <xf numFmtId="0" fontId="6" fillId="0" borderId="0" xfId="14" applyFont="1" applyAlignment="1">
      <alignment horizontal="center"/>
    </xf>
    <xf numFmtId="170" fontId="6" fillId="0" borderId="2" xfId="0" applyNumberFormat="1" applyFont="1" applyBorder="1"/>
    <xf numFmtId="2" fontId="6" fillId="0" borderId="2" xfId="0" applyNumberFormat="1" applyFont="1" applyBorder="1"/>
    <xf numFmtId="0" fontId="2" fillId="5" borderId="2" xfId="0" applyFont="1" applyFill="1" applyBorder="1" applyAlignment="1">
      <alignment horizontal="left"/>
    </xf>
    <xf numFmtId="0" fontId="3" fillId="5" borderId="2"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3" fillId="5" borderId="2" xfId="0" applyFont="1" applyFill="1" applyBorder="1" applyAlignment="1">
      <alignment horizontal="left" vertical="center" wrapText="1"/>
    </xf>
    <xf numFmtId="0" fontId="6" fillId="0" borderId="0" xfId="0" applyFont="1" applyAlignment="1">
      <alignment horizontal="center"/>
    </xf>
    <xf numFmtId="3" fontId="2" fillId="7" borderId="2" xfId="0" applyNumberFormat="1" applyFont="1" applyFill="1" applyBorder="1" applyAlignment="1">
      <alignment horizontal="right"/>
    </xf>
    <xf numFmtId="4" fontId="2" fillId="7" borderId="2" xfId="0" applyNumberFormat="1" applyFont="1" applyFill="1" applyBorder="1"/>
    <xf numFmtId="49" fontId="6" fillId="0" borderId="0" xfId="14" applyNumberFormat="1" applyFont="1"/>
    <xf numFmtId="0" fontId="7" fillId="0" borderId="0" xfId="0" applyFont="1"/>
    <xf numFmtId="4" fontId="6" fillId="0" borderId="2" xfId="0" applyNumberFormat="1" applyFont="1" applyBorder="1"/>
    <xf numFmtId="0" fontId="6" fillId="7" borderId="27" xfId="0" applyFont="1" applyFill="1" applyBorder="1" applyAlignment="1">
      <alignment horizontal="left" indent="1"/>
    </xf>
    <xf numFmtId="0" fontId="6" fillId="7" borderId="30" xfId="0" applyFont="1" applyFill="1" applyBorder="1" applyAlignment="1">
      <alignment horizontal="left" indent="1"/>
    </xf>
    <xf numFmtId="0" fontId="6" fillId="7" borderId="32" xfId="0" applyFont="1" applyFill="1" applyBorder="1" applyAlignment="1">
      <alignment horizontal="left" indent="1"/>
    </xf>
    <xf numFmtId="185" fontId="6" fillId="0" borderId="2" xfId="0" applyNumberFormat="1" applyFont="1" applyBorder="1"/>
    <xf numFmtId="185" fontId="6" fillId="0" borderId="0" xfId="0" applyNumberFormat="1" applyFont="1"/>
    <xf numFmtId="0" fontId="21" fillId="0" borderId="0" xfId="0" applyFont="1" applyAlignment="1">
      <alignment horizontal="left" vertical="center" indent="1"/>
    </xf>
    <xf numFmtId="0" fontId="22" fillId="0" borderId="0" xfId="0" applyFont="1" applyAlignment="1">
      <alignment horizontal="right" vertical="center"/>
    </xf>
    <xf numFmtId="0" fontId="3" fillId="0" borderId="2" xfId="8" applyBorder="1" applyAlignment="1">
      <alignment horizontal="left" vertical="center"/>
    </xf>
    <xf numFmtId="0" fontId="3" fillId="0" borderId="2" xfId="8" applyBorder="1" applyAlignment="1">
      <alignment horizontal="center" vertical="center"/>
    </xf>
    <xf numFmtId="0" fontId="3" fillId="0" borderId="2" xfId="11" applyFont="1" applyBorder="1" applyAlignment="1">
      <alignment vertical="center"/>
    </xf>
    <xf numFmtId="0" fontId="2" fillId="0" borderId="2" xfId="11" applyFont="1" applyBorder="1" applyAlignment="1" applyProtection="1">
      <alignment horizontal="left" vertical="center"/>
      <protection locked="0"/>
    </xf>
    <xf numFmtId="14" fontId="2" fillId="0" borderId="2" xfId="11" quotePrefix="1" applyNumberFormat="1" applyFont="1" applyBorder="1" applyAlignment="1" applyProtection="1">
      <alignment vertical="center"/>
      <protection locked="0"/>
    </xf>
    <xf numFmtId="0" fontId="3" fillId="0" borderId="2" xfId="12" applyNumberFormat="1" applyFont="1" applyBorder="1" applyAlignment="1">
      <alignment horizontal="center" vertical="center" wrapText="1"/>
    </xf>
    <xf numFmtId="0" fontId="7" fillId="0" borderId="2" xfId="14" applyFont="1" applyBorder="1" applyAlignment="1">
      <alignment horizontal="center" vertical="center"/>
    </xf>
    <xf numFmtId="0" fontId="7" fillId="0" borderId="2" xfId="14" applyFont="1" applyBorder="1" applyAlignment="1">
      <alignment horizontal="center" vertical="center" wrapText="1"/>
    </xf>
    <xf numFmtId="0" fontId="7" fillId="0" borderId="2" xfId="14" applyFont="1" applyBorder="1" applyAlignment="1">
      <alignment horizontal="left" vertical="center"/>
    </xf>
    <xf numFmtId="0" fontId="7" fillId="0" borderId="2" xfId="14" applyFont="1" applyBorder="1" applyAlignment="1">
      <alignment horizontal="left" vertical="center" wrapText="1"/>
    </xf>
    <xf numFmtId="0" fontId="22" fillId="0" borderId="0" xfId="14" applyFont="1" applyAlignment="1">
      <alignment horizontal="right" vertical="center"/>
    </xf>
    <xf numFmtId="0" fontId="0" fillId="7" borderId="32" xfId="0" applyFill="1" applyBorder="1" applyAlignment="1">
      <alignment horizontal="right"/>
    </xf>
    <xf numFmtId="0" fontId="3" fillId="0" borderId="2" xfId="0" applyFont="1" applyBorder="1" applyAlignment="1">
      <alignment vertical="center"/>
    </xf>
    <xf numFmtId="167" fontId="3" fillId="0" borderId="2" xfId="0" applyNumberFormat="1" applyFont="1" applyBorder="1" applyAlignment="1">
      <alignment horizontal="center" vertical="center" wrapText="1"/>
    </xf>
    <xf numFmtId="0" fontId="3" fillId="0" borderId="9" xfId="0" applyFont="1" applyBorder="1" applyAlignment="1">
      <alignment vertical="center"/>
    </xf>
    <xf numFmtId="0" fontId="3" fillId="0" borderId="11" xfId="0" applyFont="1" applyBorder="1" applyAlignment="1">
      <alignment vertical="center"/>
    </xf>
    <xf numFmtId="178" fontId="3" fillId="0" borderId="10" xfId="0" applyNumberFormat="1" applyFont="1" applyBorder="1" applyAlignment="1">
      <alignment horizontal="center" vertical="center"/>
    </xf>
    <xf numFmtId="0" fontId="2" fillId="0" borderId="2" xfId="0" applyFont="1" applyBorder="1" applyAlignment="1">
      <alignment horizontal="center" vertical="center"/>
    </xf>
    <xf numFmtId="0" fontId="8" fillId="0" borderId="2" xfId="0" applyFont="1" applyBorder="1" applyAlignment="1">
      <alignment horizontal="left" vertical="center"/>
    </xf>
    <xf numFmtId="169" fontId="2" fillId="0" borderId="2" xfId="2" applyNumberFormat="1" applyFont="1" applyBorder="1" applyAlignment="1">
      <alignment vertical="center"/>
    </xf>
    <xf numFmtId="44" fontId="8" fillId="0" borderId="2" xfId="2" applyFont="1" applyBorder="1" applyAlignment="1">
      <alignment horizontal="center" vertical="center"/>
    </xf>
    <xf numFmtId="0" fontId="8" fillId="0" borderId="2" xfId="0" applyFont="1" applyBorder="1" applyAlignment="1">
      <alignment horizontal="center" vertical="center"/>
    </xf>
    <xf numFmtId="0" fontId="3" fillId="0" borderId="9" xfId="0" applyFont="1" applyBorder="1" applyAlignment="1">
      <alignment horizontal="left" vertical="center"/>
    </xf>
    <xf numFmtId="179" fontId="3" fillId="0" borderId="2" xfId="0" applyNumberFormat="1" applyFont="1" applyBorder="1" applyAlignment="1">
      <alignment horizontal="center" vertical="center"/>
    </xf>
    <xf numFmtId="14" fontId="3" fillId="0" borderId="2" xfId="0" applyNumberFormat="1" applyFont="1" applyBorder="1" applyAlignment="1">
      <alignment horizontal="center" vertical="center"/>
    </xf>
    <xf numFmtId="181" fontId="3" fillId="0" borderId="2" xfId="0" applyNumberFormat="1" applyFont="1" applyBorder="1" applyAlignment="1">
      <alignment horizontal="center" vertical="center"/>
    </xf>
    <xf numFmtId="0" fontId="2" fillId="0" borderId="2" xfId="0" applyFont="1" applyBorder="1" applyAlignment="1">
      <alignment vertical="center"/>
    </xf>
    <xf numFmtId="0" fontId="14" fillId="8" borderId="2" xfId="0" applyFont="1" applyFill="1" applyBorder="1" applyAlignment="1">
      <alignment horizontal="center" vertical="center"/>
    </xf>
    <xf numFmtId="0" fontId="6" fillId="7" borderId="32" xfId="0" quotePrefix="1" applyFont="1" applyFill="1" applyBorder="1" applyAlignment="1">
      <alignment horizontal="left" indent="1"/>
    </xf>
    <xf numFmtId="0" fontId="7" fillId="0" borderId="9" xfId="0" applyFont="1" applyBorder="1" applyAlignment="1">
      <alignment horizontal="center" vertical="center"/>
    </xf>
    <xf numFmtId="0" fontId="6" fillId="7" borderId="1" xfId="0" applyFont="1" applyFill="1" applyBorder="1" applyAlignment="1">
      <alignment horizontal="center"/>
    </xf>
    <xf numFmtId="0" fontId="6" fillId="12" borderId="0" xfId="0" applyFont="1" applyFill="1" applyAlignment="1">
      <alignment horizontal="center" vertical="center"/>
    </xf>
    <xf numFmtId="0" fontId="0" fillId="12" borderId="0" xfId="0" applyFill="1"/>
    <xf numFmtId="0" fontId="23" fillId="0" borderId="0" xfId="0" applyFont="1" applyAlignment="1">
      <alignment horizontal="center" vertical="center" wrapText="1"/>
    </xf>
    <xf numFmtId="0" fontId="23" fillId="0" borderId="0" xfId="0" applyFont="1" applyAlignment="1">
      <alignment horizontal="center" vertical="center"/>
    </xf>
    <xf numFmtId="0" fontId="6" fillId="0" borderId="0" xfId="0" quotePrefix="1" applyFont="1"/>
    <xf numFmtId="0" fontId="6" fillId="0" borderId="0" xfId="0" applyFont="1" applyAlignment="1">
      <alignment horizontal="left" vertical="top" indent="1"/>
    </xf>
    <xf numFmtId="0" fontId="7" fillId="0" borderId="0" xfId="0" applyFont="1" applyAlignment="1">
      <alignment horizontal="left" vertical="center" wrapText="1"/>
    </xf>
    <xf numFmtId="0" fontId="7" fillId="0" borderId="0" xfId="0" applyFont="1" applyAlignment="1">
      <alignment horizontal="left" vertical="center"/>
    </xf>
    <xf numFmtId="0" fontId="6" fillId="0" borderId="0" xfId="0" applyFont="1" applyAlignment="1">
      <alignment horizontal="left" indent="1"/>
    </xf>
    <xf numFmtId="0" fontId="6" fillId="12" borderId="0" xfId="0" applyFont="1" applyFill="1"/>
    <xf numFmtId="0" fontId="2" fillId="7" borderId="20" xfId="0" applyFont="1" applyFill="1" applyBorder="1" applyAlignment="1">
      <alignment horizontal="right" vertical="center" wrapText="1"/>
    </xf>
    <xf numFmtId="0" fontId="2" fillId="7" borderId="21" xfId="0" applyFont="1" applyFill="1" applyBorder="1" applyAlignment="1">
      <alignment horizontal="right" vertical="center" wrapText="1"/>
    </xf>
    <xf numFmtId="0" fontId="2" fillId="7" borderId="22" xfId="0" applyFont="1" applyFill="1" applyBorder="1" applyAlignment="1">
      <alignment horizontal="right" vertical="center" wrapText="1"/>
    </xf>
    <xf numFmtId="0" fontId="3" fillId="7" borderId="12" xfId="0" applyFont="1" applyFill="1" applyBorder="1" applyAlignment="1">
      <alignment horizontal="left" vertical="top" wrapText="1"/>
    </xf>
    <xf numFmtId="0" fontId="3" fillId="7" borderId="13" xfId="0" applyFont="1" applyFill="1" applyBorder="1" applyAlignment="1">
      <alignment horizontal="left" vertical="top" wrapText="1"/>
    </xf>
    <xf numFmtId="0" fontId="3" fillId="7" borderId="14" xfId="0" applyFont="1" applyFill="1" applyBorder="1" applyAlignment="1">
      <alignment horizontal="left" vertical="top" wrapText="1"/>
    </xf>
    <xf numFmtId="0" fontId="3" fillId="7" borderId="15" xfId="0" applyFont="1" applyFill="1" applyBorder="1" applyAlignment="1">
      <alignment horizontal="left" vertical="top" wrapText="1"/>
    </xf>
    <xf numFmtId="0" fontId="3" fillId="7" borderId="0" xfId="0" applyFont="1" applyFill="1" applyAlignment="1">
      <alignment horizontal="left" vertical="top" wrapText="1"/>
    </xf>
    <xf numFmtId="0" fontId="3" fillId="7" borderId="16" xfId="0" applyFont="1" applyFill="1" applyBorder="1" applyAlignment="1">
      <alignment horizontal="left" vertical="top" wrapText="1"/>
    </xf>
    <xf numFmtId="0" fontId="2" fillId="7" borderId="15" xfId="0" applyFont="1" applyFill="1" applyBorder="1" applyAlignment="1">
      <alignment horizontal="left" vertical="top" wrapText="1"/>
    </xf>
    <xf numFmtId="0" fontId="2" fillId="7" borderId="0" xfId="0" applyFont="1" applyFill="1" applyAlignment="1">
      <alignment horizontal="left" vertical="top" wrapText="1"/>
    </xf>
    <xf numFmtId="0" fontId="2" fillId="7" borderId="16" xfId="0" applyFont="1" applyFill="1" applyBorder="1" applyAlignment="1">
      <alignment horizontal="left" vertical="top" wrapText="1"/>
    </xf>
    <xf numFmtId="0" fontId="2" fillId="7" borderId="17" xfId="0" applyFont="1" applyFill="1" applyBorder="1" applyAlignment="1">
      <alignment horizontal="left" vertical="top" wrapText="1"/>
    </xf>
    <xf numFmtId="0" fontId="2" fillId="7" borderId="18" xfId="0" applyFont="1" applyFill="1" applyBorder="1" applyAlignment="1">
      <alignment horizontal="left" vertical="top" wrapText="1"/>
    </xf>
    <xf numFmtId="0" fontId="2" fillId="7" borderId="19" xfId="0" applyFont="1" applyFill="1" applyBorder="1" applyAlignment="1">
      <alignment horizontal="left" vertical="top" wrapText="1"/>
    </xf>
    <xf numFmtId="0" fontId="12" fillId="7" borderId="12" xfId="0" applyFont="1" applyFill="1" applyBorder="1" applyAlignment="1">
      <alignment horizontal="center" vertical="center" wrapText="1"/>
    </xf>
    <xf numFmtId="0" fontId="12" fillId="7" borderId="13" xfId="0" applyFont="1" applyFill="1" applyBorder="1" applyAlignment="1">
      <alignment horizontal="center" vertical="center" wrapText="1"/>
    </xf>
    <xf numFmtId="0" fontId="12" fillId="7" borderId="14" xfId="0" applyFont="1" applyFill="1" applyBorder="1" applyAlignment="1">
      <alignment horizontal="center" vertical="center" wrapText="1"/>
    </xf>
    <xf numFmtId="0" fontId="12" fillId="7" borderId="17" xfId="0" applyFont="1" applyFill="1" applyBorder="1" applyAlignment="1">
      <alignment horizontal="center" vertical="center" wrapText="1"/>
    </xf>
    <xf numFmtId="0" fontId="12" fillId="7" borderId="18" xfId="0" applyFont="1" applyFill="1" applyBorder="1" applyAlignment="1">
      <alignment horizontal="center" vertical="center" wrapText="1"/>
    </xf>
    <xf numFmtId="0" fontId="12" fillId="7" borderId="19" xfId="0" applyFont="1" applyFill="1" applyBorder="1" applyAlignment="1">
      <alignment horizontal="center" vertical="center" wrapText="1"/>
    </xf>
    <xf numFmtId="0" fontId="2" fillId="7" borderId="12"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4"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2" fillId="7" borderId="0" xfId="0" applyFont="1" applyFill="1" applyAlignment="1">
      <alignment horizontal="left" vertical="center" wrapText="1"/>
    </xf>
    <xf numFmtId="0" fontId="2" fillId="7" borderId="16" xfId="0" applyFont="1" applyFill="1" applyBorder="1" applyAlignment="1">
      <alignment horizontal="left" vertical="center" wrapText="1"/>
    </xf>
    <xf numFmtId="0" fontId="2" fillId="7" borderId="17" xfId="0" applyFont="1" applyFill="1" applyBorder="1" applyAlignment="1">
      <alignment horizontal="left" vertical="center" wrapText="1"/>
    </xf>
    <xf numFmtId="0" fontId="2" fillId="7" borderId="18" xfId="0" applyFont="1" applyFill="1" applyBorder="1" applyAlignment="1">
      <alignment horizontal="left" vertical="center" wrapText="1"/>
    </xf>
    <xf numFmtId="0" fontId="2" fillId="7" borderId="19" xfId="0" applyFont="1" applyFill="1" applyBorder="1" applyAlignment="1">
      <alignment horizontal="left" vertical="center" wrapText="1"/>
    </xf>
    <xf numFmtId="0" fontId="12" fillId="10" borderId="12" xfId="0" applyFont="1" applyFill="1" applyBorder="1" applyAlignment="1">
      <alignment horizontal="center" vertical="center" wrapText="1"/>
    </xf>
    <xf numFmtId="0" fontId="12" fillId="10" borderId="13" xfId="0" applyFont="1" applyFill="1" applyBorder="1" applyAlignment="1">
      <alignment horizontal="center" vertical="center" wrapText="1"/>
    </xf>
    <xf numFmtId="0" fontId="12" fillId="10" borderId="14" xfId="0" applyFont="1" applyFill="1" applyBorder="1" applyAlignment="1">
      <alignment horizontal="center" vertical="center" wrapText="1"/>
    </xf>
    <xf numFmtId="0" fontId="12" fillId="10" borderId="17" xfId="0" applyFont="1" applyFill="1" applyBorder="1" applyAlignment="1">
      <alignment horizontal="center" vertical="center" wrapText="1"/>
    </xf>
    <xf numFmtId="0" fontId="12" fillId="10" borderId="18" xfId="0" applyFont="1" applyFill="1" applyBorder="1" applyAlignment="1">
      <alignment horizontal="center" vertical="center" wrapText="1"/>
    </xf>
    <xf numFmtId="0" fontId="12" fillId="10" borderId="19" xfId="0" applyFont="1" applyFill="1" applyBorder="1" applyAlignment="1">
      <alignment horizontal="center" vertical="center" wrapText="1"/>
    </xf>
    <xf numFmtId="0" fontId="2" fillId="0" borderId="2" xfId="0" applyFont="1" applyBorder="1"/>
    <xf numFmtId="0" fontId="3" fillId="0" borderId="2" xfId="0" applyFont="1" applyBorder="1"/>
    <xf numFmtId="0" fontId="2" fillId="7" borderId="12" xfId="0" applyFont="1" applyFill="1" applyBorder="1" applyAlignment="1">
      <alignment vertical="center" wrapText="1"/>
    </xf>
    <xf numFmtId="0" fontId="2" fillId="7" borderId="13" xfId="0" applyFont="1" applyFill="1" applyBorder="1" applyAlignment="1">
      <alignment vertical="center" wrapText="1"/>
    </xf>
    <xf numFmtId="0" fontId="2" fillId="7" borderId="14" xfId="0" applyFont="1" applyFill="1" applyBorder="1" applyAlignment="1">
      <alignment vertical="center" wrapText="1"/>
    </xf>
    <xf numFmtId="0" fontId="2" fillId="7" borderId="15" xfId="0" applyFont="1" applyFill="1" applyBorder="1" applyAlignment="1">
      <alignment vertical="center" wrapText="1"/>
    </xf>
    <xf numFmtId="0" fontId="2" fillId="7" borderId="0" xfId="0" applyFont="1" applyFill="1" applyAlignment="1">
      <alignment vertical="center" wrapText="1"/>
    </xf>
    <xf numFmtId="0" fontId="2" fillId="7" borderId="16" xfId="0" applyFont="1" applyFill="1" applyBorder="1" applyAlignment="1">
      <alignment vertical="center" wrapText="1"/>
    </xf>
    <xf numFmtId="0" fontId="2" fillId="7" borderId="17" xfId="0" applyFont="1" applyFill="1" applyBorder="1" applyAlignment="1">
      <alignment vertical="center" wrapText="1"/>
    </xf>
    <xf numFmtId="0" fontId="2" fillId="7" borderId="18" xfId="0" applyFont="1" applyFill="1" applyBorder="1" applyAlignment="1">
      <alignment vertical="center" wrapText="1"/>
    </xf>
    <xf numFmtId="0" fontId="2" fillId="7" borderId="19" xfId="0" applyFont="1" applyFill="1" applyBorder="1" applyAlignment="1">
      <alignment vertical="center" wrapText="1"/>
    </xf>
    <xf numFmtId="0" fontId="14" fillId="8" borderId="2" xfId="0" applyFont="1" applyFill="1" applyBorder="1" applyAlignment="1">
      <alignment horizontal="center" vertical="center"/>
    </xf>
    <xf numFmtId="0" fontId="14" fillId="8" borderId="5" xfId="0" applyFont="1" applyFill="1" applyBorder="1" applyAlignment="1">
      <alignment horizontal="center" vertical="center"/>
    </xf>
    <xf numFmtId="0" fontId="14" fillId="8" borderId="6" xfId="0" applyFont="1" applyFill="1" applyBorder="1" applyAlignment="1">
      <alignment horizontal="center" vertical="center"/>
    </xf>
    <xf numFmtId="0" fontId="14" fillId="8" borderId="7" xfId="0" applyFont="1" applyFill="1" applyBorder="1" applyAlignment="1">
      <alignment horizontal="center" vertical="center"/>
    </xf>
    <xf numFmtId="0" fontId="14" fillId="8" borderId="9" xfId="0" applyFont="1" applyFill="1" applyBorder="1" applyAlignment="1">
      <alignment horizontal="center" vertical="center"/>
    </xf>
    <xf numFmtId="0" fontId="14" fillId="8" borderId="11" xfId="0" applyFont="1" applyFill="1" applyBorder="1" applyAlignment="1">
      <alignment horizontal="center" vertical="center"/>
    </xf>
    <xf numFmtId="0" fontId="14" fillId="8" borderId="10" xfId="0" applyFont="1" applyFill="1" applyBorder="1" applyAlignment="1">
      <alignment horizontal="center" vertical="center"/>
    </xf>
    <xf numFmtId="0" fontId="7" fillId="0" borderId="2" xfId="0" applyFont="1" applyBorder="1"/>
    <xf numFmtId="182" fontId="14" fillId="8" borderId="2" xfId="0" applyNumberFormat="1" applyFont="1" applyFill="1" applyBorder="1" applyAlignment="1">
      <alignment horizontal="center" vertical="center"/>
    </xf>
    <xf numFmtId="0" fontId="3" fillId="0" borderId="2" xfId="0" applyFont="1" applyBorder="1" applyAlignment="1">
      <alignment horizontal="left"/>
    </xf>
    <xf numFmtId="0" fontId="14" fillId="8" borderId="2" xfId="0" applyFont="1" applyFill="1" applyBorder="1" applyAlignment="1">
      <alignment vertical="center"/>
    </xf>
    <xf numFmtId="0" fontId="6" fillId="7" borderId="12" xfId="0" applyFont="1" applyFill="1" applyBorder="1" applyAlignment="1">
      <alignment vertical="center" wrapText="1"/>
    </xf>
    <xf numFmtId="0" fontId="6" fillId="7" borderId="13" xfId="0" applyFont="1" applyFill="1" applyBorder="1" applyAlignment="1">
      <alignment vertical="center" wrapText="1"/>
    </xf>
    <xf numFmtId="0" fontId="6" fillId="7" borderId="14" xfId="0" applyFont="1" applyFill="1" applyBorder="1" applyAlignment="1">
      <alignment vertical="center" wrapText="1"/>
    </xf>
    <xf numFmtId="0" fontId="6" fillId="7" borderId="15" xfId="0" applyFont="1" applyFill="1" applyBorder="1" applyAlignment="1">
      <alignment vertical="center" wrapText="1"/>
    </xf>
    <xf numFmtId="0" fontId="6" fillId="7" borderId="0" xfId="0" applyFont="1" applyFill="1" applyAlignment="1">
      <alignment vertical="center" wrapText="1"/>
    </xf>
    <xf numFmtId="0" fontId="6" fillId="7" borderId="16" xfId="0" applyFont="1" applyFill="1" applyBorder="1" applyAlignment="1">
      <alignment vertical="center" wrapText="1"/>
    </xf>
    <xf numFmtId="0" fontId="6" fillId="7" borderId="17" xfId="0" applyFont="1" applyFill="1" applyBorder="1" applyAlignment="1">
      <alignment vertical="center" wrapText="1"/>
    </xf>
    <xf numFmtId="0" fontId="6" fillId="7" borderId="18" xfId="0" applyFont="1" applyFill="1" applyBorder="1" applyAlignment="1">
      <alignment vertical="center" wrapText="1"/>
    </xf>
    <xf numFmtId="0" fontId="6" fillId="7" borderId="19" xfId="0" applyFont="1" applyFill="1" applyBorder="1" applyAlignment="1">
      <alignment vertical="center" wrapText="1"/>
    </xf>
    <xf numFmtId="0" fontId="7" fillId="0" borderId="2" xfId="0" applyFont="1" applyBorder="1" applyAlignment="1">
      <alignment horizontal="center" vertical="center"/>
    </xf>
    <xf numFmtId="0" fontId="6" fillId="0" borderId="2" xfId="0" applyFont="1" applyBorder="1"/>
    <xf numFmtId="0" fontId="3" fillId="0" borderId="2" xfId="0" applyFont="1" applyBorder="1" applyAlignment="1">
      <alignment horizontal="right"/>
    </xf>
    <xf numFmtId="0" fontId="14" fillId="8" borderId="2" xfId="0" applyFont="1" applyFill="1" applyBorder="1" applyAlignment="1">
      <alignment horizontal="center" vertical="center" wrapText="1"/>
    </xf>
    <xf numFmtId="0" fontId="6" fillId="0" borderId="2" xfId="0" applyFont="1" applyBorder="1" applyAlignment="1">
      <alignment horizontal="left"/>
    </xf>
    <xf numFmtId="0" fontId="2" fillId="0" borderId="2" xfId="0" applyFont="1" applyBorder="1" applyAlignment="1">
      <alignment horizontal="left"/>
    </xf>
    <xf numFmtId="0" fontId="3" fillId="0" borderId="2" xfId="0" applyFont="1" applyBorder="1" applyAlignment="1">
      <alignment horizontal="center" vertical="center"/>
    </xf>
    <xf numFmtId="0" fontId="6" fillId="7" borderId="12" xfId="0" applyFont="1" applyFill="1" applyBorder="1" applyAlignment="1">
      <alignment horizontal="left" vertical="center" wrapText="1"/>
    </xf>
    <xf numFmtId="0" fontId="6" fillId="7" borderId="13" xfId="0" applyFont="1" applyFill="1" applyBorder="1" applyAlignment="1">
      <alignment horizontal="left" vertical="center" wrapText="1"/>
    </xf>
    <xf numFmtId="0" fontId="6" fillId="7" borderId="14" xfId="0" applyFont="1" applyFill="1" applyBorder="1" applyAlignment="1">
      <alignment horizontal="left" vertical="center" wrapText="1"/>
    </xf>
    <xf numFmtId="0" fontId="6" fillId="7" borderId="17" xfId="0" applyFont="1" applyFill="1" applyBorder="1" applyAlignment="1">
      <alignment horizontal="left" vertical="center" wrapText="1"/>
    </xf>
    <xf numFmtId="0" fontId="6" fillId="7" borderId="18" xfId="0" applyFont="1" applyFill="1" applyBorder="1" applyAlignment="1">
      <alignment horizontal="left" vertical="center" wrapText="1"/>
    </xf>
    <xf numFmtId="0" fontId="6" fillId="7" borderId="19" xfId="0" applyFont="1" applyFill="1" applyBorder="1" applyAlignment="1">
      <alignment horizontal="left" vertical="center" wrapText="1"/>
    </xf>
    <xf numFmtId="0" fontId="6" fillId="7" borderId="15" xfId="0" applyFont="1" applyFill="1" applyBorder="1" applyAlignment="1">
      <alignment horizontal="left" vertical="center" wrapText="1"/>
    </xf>
    <xf numFmtId="0" fontId="6" fillId="7" borderId="0" xfId="0" applyFont="1" applyFill="1" applyAlignment="1">
      <alignment horizontal="left" vertical="center" wrapText="1"/>
    </xf>
    <xf numFmtId="0" fontId="6" fillId="7" borderId="16" xfId="0" applyFont="1" applyFill="1" applyBorder="1" applyAlignment="1">
      <alignment horizontal="left" vertical="center" wrapText="1"/>
    </xf>
    <xf numFmtId="0" fontId="2" fillId="7" borderId="27" xfId="0" applyFont="1" applyFill="1" applyBorder="1" applyAlignment="1">
      <alignment horizontal="left" vertical="center" wrapText="1"/>
    </xf>
    <xf numFmtId="0" fontId="2" fillId="7" borderId="28" xfId="0" applyFont="1" applyFill="1" applyBorder="1" applyAlignment="1">
      <alignment horizontal="left" vertical="center" wrapText="1"/>
    </xf>
    <xf numFmtId="0" fontId="2" fillId="7" borderId="29" xfId="0" applyFont="1" applyFill="1" applyBorder="1" applyAlignment="1">
      <alignment horizontal="left" vertical="center" wrapText="1"/>
    </xf>
    <xf numFmtId="0" fontId="2" fillId="7" borderId="30" xfId="0" applyFont="1" applyFill="1" applyBorder="1" applyAlignment="1">
      <alignment horizontal="left" vertical="center" wrapText="1"/>
    </xf>
    <xf numFmtId="0" fontId="2" fillId="7" borderId="31" xfId="0" applyFont="1" applyFill="1" applyBorder="1" applyAlignment="1">
      <alignment horizontal="left" vertical="center" wrapText="1"/>
    </xf>
    <xf numFmtId="0" fontId="2" fillId="7" borderId="32" xfId="0" applyFont="1" applyFill="1" applyBorder="1" applyAlignment="1">
      <alignment horizontal="left" vertical="center" wrapText="1"/>
    </xf>
    <xf numFmtId="0" fontId="2" fillId="7" borderId="33" xfId="0" applyFont="1" applyFill="1" applyBorder="1" applyAlignment="1">
      <alignment horizontal="left" vertical="center" wrapText="1"/>
    </xf>
    <xf numFmtId="0" fontId="2" fillId="7" borderId="34" xfId="0" applyFont="1" applyFill="1" applyBorder="1" applyAlignment="1">
      <alignment horizontal="left" vertical="center" wrapText="1"/>
    </xf>
    <xf numFmtId="9" fontId="2" fillId="7" borderId="32" xfId="0" applyNumberFormat="1" applyFont="1" applyFill="1" applyBorder="1" applyAlignment="1">
      <alignment horizontal="left" vertical="center" wrapText="1"/>
    </xf>
    <xf numFmtId="9" fontId="2" fillId="7" borderId="33" xfId="0" applyNumberFormat="1" applyFont="1" applyFill="1" applyBorder="1" applyAlignment="1">
      <alignment horizontal="left" vertical="center" wrapText="1"/>
    </xf>
    <xf numFmtId="9" fontId="2" fillId="7" borderId="30" xfId="0" applyNumberFormat="1" applyFont="1" applyFill="1" applyBorder="1" applyAlignment="1">
      <alignment horizontal="left" vertical="center" wrapText="1"/>
    </xf>
    <xf numFmtId="9" fontId="2" fillId="7" borderId="0" xfId="0" applyNumberFormat="1" applyFont="1" applyFill="1" applyAlignment="1">
      <alignment horizontal="left" vertical="center" wrapText="1"/>
    </xf>
    <xf numFmtId="9" fontId="2" fillId="7" borderId="27" xfId="0" applyNumberFormat="1" applyFont="1" applyFill="1" applyBorder="1" applyAlignment="1">
      <alignment horizontal="left" vertical="center" wrapText="1"/>
    </xf>
    <xf numFmtId="9" fontId="2" fillId="7" borderId="28" xfId="0" applyNumberFormat="1" applyFont="1" applyFill="1" applyBorder="1" applyAlignment="1">
      <alignment horizontal="left" vertical="center" wrapText="1"/>
    </xf>
    <xf numFmtId="0" fontId="2" fillId="7" borderId="12" xfId="0" applyFont="1" applyFill="1" applyBorder="1" applyAlignment="1">
      <alignment horizontal="left" vertical="center"/>
    </xf>
    <xf numFmtId="0" fontId="2" fillId="7" borderId="13" xfId="0" applyFont="1" applyFill="1" applyBorder="1" applyAlignment="1">
      <alignment horizontal="left" vertical="center"/>
    </xf>
    <xf numFmtId="0" fontId="0" fillId="7" borderId="27" xfId="0" applyFill="1" applyBorder="1" applyAlignment="1">
      <alignment wrapText="1"/>
    </xf>
    <xf numFmtId="0" fontId="0" fillId="7" borderId="28" xfId="0" applyFill="1" applyBorder="1" applyAlignment="1">
      <alignment wrapText="1"/>
    </xf>
    <xf numFmtId="0" fontId="0" fillId="7" borderId="29" xfId="0" applyFill="1" applyBorder="1" applyAlignment="1">
      <alignment wrapText="1"/>
    </xf>
    <xf numFmtId="0" fontId="6" fillId="7" borderId="27" xfId="0" applyFont="1" applyFill="1" applyBorder="1" applyAlignment="1">
      <alignment horizontal="left" vertical="center" indent="1"/>
    </xf>
    <xf numFmtId="0" fontId="6" fillId="7" borderId="28" xfId="0" applyFont="1" applyFill="1" applyBorder="1" applyAlignment="1">
      <alignment horizontal="left" vertical="center" indent="1"/>
    </xf>
    <xf numFmtId="0" fontId="6" fillId="7" borderId="29" xfId="0" applyFont="1" applyFill="1" applyBorder="1" applyAlignment="1">
      <alignment horizontal="left" vertical="center" indent="1"/>
    </xf>
    <xf numFmtId="0" fontId="6" fillId="7" borderId="32" xfId="0" applyFont="1" applyFill="1" applyBorder="1" applyAlignment="1">
      <alignment horizontal="left" vertical="center" indent="1"/>
    </xf>
    <xf numFmtId="0" fontId="6" fillId="7" borderId="33" xfId="0" applyFont="1" applyFill="1" applyBorder="1" applyAlignment="1">
      <alignment horizontal="left" vertical="center" indent="1"/>
    </xf>
    <xf numFmtId="0" fontId="6" fillId="7" borderId="34" xfId="0" applyFont="1" applyFill="1" applyBorder="1" applyAlignment="1">
      <alignment horizontal="left" vertical="center" indent="1"/>
    </xf>
    <xf numFmtId="0" fontId="14" fillId="8" borderId="8" xfId="0" applyFont="1" applyFill="1" applyBorder="1" applyAlignment="1">
      <alignment horizontal="center" vertical="center"/>
    </xf>
    <xf numFmtId="0" fontId="14" fillId="8" borderId="35" xfId="0" applyFont="1" applyFill="1" applyBorder="1" applyAlignment="1">
      <alignment horizontal="center" vertical="center"/>
    </xf>
    <xf numFmtId="0" fontId="6" fillId="7" borderId="27" xfId="0" applyFont="1" applyFill="1" applyBorder="1" applyAlignment="1">
      <alignment horizontal="left" vertical="center" wrapText="1"/>
    </xf>
    <xf numFmtId="0" fontId="6" fillId="7" borderId="28" xfId="0" applyFont="1" applyFill="1" applyBorder="1" applyAlignment="1">
      <alignment horizontal="left" vertical="center" wrapText="1"/>
    </xf>
    <xf numFmtId="0" fontId="6" fillId="7" borderId="29" xfId="0" applyFont="1" applyFill="1" applyBorder="1" applyAlignment="1">
      <alignment horizontal="left" vertical="center" wrapText="1"/>
    </xf>
    <xf numFmtId="0" fontId="6" fillId="7" borderId="30" xfId="0" applyFont="1" applyFill="1" applyBorder="1" applyAlignment="1">
      <alignment horizontal="left" vertical="center" wrapText="1"/>
    </xf>
    <xf numFmtId="0" fontId="6" fillId="7" borderId="31" xfId="0" applyFont="1" applyFill="1" applyBorder="1" applyAlignment="1">
      <alignment horizontal="left" vertical="center" wrapText="1"/>
    </xf>
    <xf numFmtId="0" fontId="6" fillId="7" borderId="32" xfId="0" applyFont="1" applyFill="1" applyBorder="1" applyAlignment="1">
      <alignment horizontal="left" vertical="center" wrapText="1"/>
    </xf>
    <xf numFmtId="0" fontId="6" fillId="7" borderId="33" xfId="0" applyFont="1" applyFill="1" applyBorder="1" applyAlignment="1">
      <alignment horizontal="left" vertical="center" wrapText="1"/>
    </xf>
    <xf numFmtId="0" fontId="6" fillId="7" borderId="34" xfId="0" applyFont="1" applyFill="1" applyBorder="1" applyAlignment="1">
      <alignment horizontal="left" vertical="center" wrapText="1"/>
    </xf>
    <xf numFmtId="0" fontId="6" fillId="7" borderId="12" xfId="0" applyFont="1" applyFill="1" applyBorder="1" applyAlignment="1">
      <alignment horizontal="left" vertical="center"/>
    </xf>
    <xf numFmtId="0" fontId="6" fillId="7" borderId="13" xfId="0" applyFont="1" applyFill="1" applyBorder="1" applyAlignment="1">
      <alignment horizontal="left" vertical="center"/>
    </xf>
    <xf numFmtId="0" fontId="6" fillId="7" borderId="14" xfId="0" applyFont="1" applyFill="1" applyBorder="1" applyAlignment="1">
      <alignment horizontal="left" vertical="center"/>
    </xf>
    <xf numFmtId="0" fontId="6" fillId="7" borderId="15" xfId="0" applyFont="1" applyFill="1" applyBorder="1" applyAlignment="1">
      <alignment horizontal="left" vertical="center"/>
    </xf>
    <xf numFmtId="0" fontId="6" fillId="7" borderId="0" xfId="0" applyFont="1" applyFill="1" applyAlignment="1">
      <alignment horizontal="left" vertical="center"/>
    </xf>
    <xf numFmtId="0" fontId="6" fillId="7" borderId="16" xfId="0" applyFont="1" applyFill="1" applyBorder="1" applyAlignment="1">
      <alignment horizontal="left" vertical="center"/>
    </xf>
    <xf numFmtId="0" fontId="6" fillId="7" borderId="17" xfId="0" applyFont="1" applyFill="1" applyBorder="1" applyAlignment="1">
      <alignment horizontal="left" vertical="center"/>
    </xf>
    <xf numFmtId="0" fontId="6" fillId="7" borderId="18" xfId="0" applyFont="1" applyFill="1" applyBorder="1" applyAlignment="1">
      <alignment horizontal="left" vertical="center"/>
    </xf>
    <xf numFmtId="0" fontId="6" fillId="7" borderId="19" xfId="0" applyFont="1" applyFill="1" applyBorder="1" applyAlignment="1">
      <alignment horizontal="left" vertical="center"/>
    </xf>
    <xf numFmtId="0" fontId="0" fillId="0" borderId="2" xfId="0" applyBorder="1"/>
    <xf numFmtId="0" fontId="19" fillId="0" borderId="0" xfId="0" applyFont="1" applyAlignment="1">
      <alignment horizontal="center" vertical="center"/>
    </xf>
    <xf numFmtId="9" fontId="2" fillId="7" borderId="12" xfId="0" applyNumberFormat="1" applyFont="1" applyFill="1" applyBorder="1" applyAlignment="1">
      <alignment vertical="center" wrapText="1"/>
    </xf>
    <xf numFmtId="9" fontId="2" fillId="7" borderId="13" xfId="0" applyNumberFormat="1" applyFont="1" applyFill="1" applyBorder="1" applyAlignment="1">
      <alignment vertical="center" wrapText="1"/>
    </xf>
    <xf numFmtId="9" fontId="2" fillId="7" borderId="14" xfId="0" applyNumberFormat="1" applyFont="1" applyFill="1" applyBorder="1" applyAlignment="1">
      <alignment vertical="center" wrapText="1"/>
    </xf>
    <xf numFmtId="9" fontId="2" fillId="7" borderId="17" xfId="0" applyNumberFormat="1" applyFont="1" applyFill="1" applyBorder="1" applyAlignment="1">
      <alignment vertical="center" wrapText="1"/>
    </xf>
    <xf numFmtId="9" fontId="2" fillId="7" borderId="18" xfId="0" applyNumberFormat="1" applyFont="1" applyFill="1" applyBorder="1" applyAlignment="1">
      <alignment vertical="center" wrapText="1"/>
    </xf>
    <xf numFmtId="9" fontId="2" fillId="7" borderId="19" xfId="0" applyNumberFormat="1" applyFont="1" applyFill="1" applyBorder="1" applyAlignment="1">
      <alignment vertical="center" wrapText="1"/>
    </xf>
    <xf numFmtId="0" fontId="3" fillId="0" borderId="2" xfId="8" applyBorder="1" applyAlignment="1">
      <alignment horizontal="center" vertical="center"/>
    </xf>
    <xf numFmtId="0" fontId="14" fillId="8" borderId="2" xfId="11" applyFont="1" applyFill="1" applyBorder="1" applyAlignment="1" applyProtection="1">
      <alignment horizontal="center" vertical="center"/>
      <protection locked="0"/>
    </xf>
    <xf numFmtId="0" fontId="3" fillId="0" borderId="2" xfId="11" applyFont="1" applyBorder="1" applyAlignment="1">
      <alignment horizontal="center" vertical="center"/>
    </xf>
    <xf numFmtId="9" fontId="2" fillId="7" borderId="15" xfId="0" applyNumberFormat="1" applyFont="1" applyFill="1" applyBorder="1" applyAlignment="1">
      <alignment vertical="center" wrapText="1"/>
    </xf>
    <xf numFmtId="9" fontId="2" fillId="7" borderId="0" xfId="0" applyNumberFormat="1" applyFont="1" applyFill="1" applyAlignment="1">
      <alignment vertical="center" wrapText="1"/>
    </xf>
    <xf numFmtId="9" fontId="2" fillId="7" borderId="16" xfId="0" applyNumberFormat="1" applyFont="1" applyFill="1" applyBorder="1" applyAlignment="1">
      <alignment vertical="center" wrapText="1"/>
    </xf>
    <xf numFmtId="0" fontId="3" fillId="0" borderId="2" xfId="0" applyFont="1" applyBorder="1" applyAlignment="1">
      <alignment horizontal="left" vertical="center"/>
    </xf>
    <xf numFmtId="0" fontId="2" fillId="0" borderId="2" xfId="0" applyFont="1" applyBorder="1" applyAlignment="1">
      <alignment horizontal="center" wrapText="1"/>
    </xf>
    <xf numFmtId="0" fontId="6" fillId="0" borderId="1" xfId="0" applyFont="1" applyBorder="1" applyAlignment="1">
      <alignment wrapText="1"/>
    </xf>
    <xf numFmtId="0" fontId="6" fillId="0" borderId="4" xfId="0" applyFont="1" applyBorder="1" applyAlignment="1">
      <alignment wrapText="1"/>
    </xf>
    <xf numFmtId="0" fontId="6" fillId="0" borderId="2" xfId="0" applyFont="1" applyBorder="1" applyAlignment="1">
      <alignment wrapText="1"/>
    </xf>
    <xf numFmtId="0" fontId="6" fillId="7" borderId="13" xfId="0" applyFont="1" applyFill="1" applyBorder="1" applyAlignment="1">
      <alignment vertical="center"/>
    </xf>
    <xf numFmtId="0" fontId="6" fillId="7" borderId="14" xfId="0" applyFont="1" applyFill="1" applyBorder="1" applyAlignment="1">
      <alignment vertical="center"/>
    </xf>
    <xf numFmtId="0" fontId="6" fillId="7" borderId="15" xfId="0" applyFont="1" applyFill="1" applyBorder="1" applyAlignment="1">
      <alignment vertical="center"/>
    </xf>
    <xf numFmtId="0" fontId="6" fillId="7" borderId="0" xfId="0" applyFont="1" applyFill="1" applyAlignment="1">
      <alignment vertical="center"/>
    </xf>
    <xf numFmtId="0" fontId="6" fillId="7" borderId="16" xfId="0" applyFont="1" applyFill="1" applyBorder="1" applyAlignment="1">
      <alignment vertical="center"/>
    </xf>
    <xf numFmtId="0" fontId="6" fillId="7" borderId="17" xfId="0" applyFont="1" applyFill="1" applyBorder="1" applyAlignment="1">
      <alignment vertical="center"/>
    </xf>
    <xf numFmtId="0" fontId="6" fillId="7" borderId="18" xfId="0" applyFont="1" applyFill="1" applyBorder="1" applyAlignment="1">
      <alignment vertical="center"/>
    </xf>
    <xf numFmtId="0" fontId="6" fillId="7" borderId="19" xfId="0" applyFont="1" applyFill="1" applyBorder="1" applyAlignment="1">
      <alignment vertical="center"/>
    </xf>
    <xf numFmtId="0" fontId="3" fillId="0" borderId="2" xfId="0" applyFont="1" applyBorder="1" applyAlignment="1">
      <alignment vertical="center" wrapText="1"/>
    </xf>
    <xf numFmtId="0" fontId="3" fillId="0" borderId="2" xfId="0" applyFont="1" applyBorder="1" applyAlignment="1">
      <alignment horizontal="center" vertical="center" wrapText="1"/>
    </xf>
    <xf numFmtId="0" fontId="3" fillId="0" borderId="2" xfId="0" applyFont="1" applyBorder="1" applyAlignment="1" applyProtection="1">
      <alignment horizontal="center" vertical="center" wrapText="1"/>
      <protection locked="0"/>
    </xf>
    <xf numFmtId="0" fontId="3" fillId="0" borderId="2" xfId="0" applyFont="1" applyBorder="1" applyAlignment="1">
      <alignment horizontal="left" vertical="center" wrapText="1"/>
    </xf>
    <xf numFmtId="0" fontId="14" fillId="8" borderId="3" xfId="0" applyFont="1" applyFill="1" applyBorder="1" applyAlignment="1">
      <alignment horizontal="center" vertical="center"/>
    </xf>
    <xf numFmtId="0" fontId="14" fillId="8" borderId="63" xfId="0" applyFont="1" applyFill="1" applyBorder="1" applyAlignment="1">
      <alignment horizontal="center" vertical="center"/>
    </xf>
    <xf numFmtId="0" fontId="14" fillId="8" borderId="64" xfId="0" applyFont="1" applyFill="1" applyBorder="1" applyAlignment="1">
      <alignment horizontal="center" vertical="center"/>
    </xf>
    <xf numFmtId="0" fontId="14" fillId="8" borderId="39" xfId="0" applyFont="1" applyFill="1" applyBorder="1" applyAlignment="1">
      <alignment horizontal="center" vertical="center"/>
    </xf>
    <xf numFmtId="49" fontId="6" fillId="7" borderId="9" xfId="0" applyNumberFormat="1" applyFont="1" applyFill="1" applyBorder="1" applyAlignment="1">
      <alignment horizontal="center"/>
    </xf>
    <xf numFmtId="49" fontId="6" fillId="7" borderId="11" xfId="0" applyNumberFormat="1" applyFont="1" applyFill="1" applyBorder="1" applyAlignment="1">
      <alignment horizontal="center"/>
    </xf>
    <xf numFmtId="49" fontId="6" fillId="7" borderId="10" xfId="0" applyNumberFormat="1" applyFont="1" applyFill="1" applyBorder="1" applyAlignment="1">
      <alignment horizontal="center"/>
    </xf>
    <xf numFmtId="0" fontId="14" fillId="8" borderId="2" xfId="14" applyFont="1" applyFill="1" applyBorder="1" applyAlignment="1">
      <alignment horizontal="center" vertical="center"/>
    </xf>
    <xf numFmtId="0" fontId="17" fillId="8" borderId="2" xfId="14" applyFont="1" applyFill="1" applyBorder="1" applyAlignment="1">
      <alignment horizontal="center" vertical="center"/>
    </xf>
    <xf numFmtId="0" fontId="7" fillId="0" borderId="2" xfId="14" applyFont="1" applyBorder="1" applyAlignment="1">
      <alignment horizontal="center" vertical="center"/>
    </xf>
    <xf numFmtId="0" fontId="7" fillId="0" borderId="2" xfId="14" applyFont="1" applyBorder="1" applyAlignment="1">
      <alignment horizontal="center" vertical="center" wrapText="1"/>
    </xf>
    <xf numFmtId="0" fontId="6" fillId="0" borderId="35" xfId="14" applyFont="1" applyBorder="1"/>
    <xf numFmtId="0" fontId="3" fillId="7" borderId="36" xfId="0" applyFont="1" applyFill="1" applyBorder="1" applyAlignment="1">
      <alignment horizontal="left" wrapText="1"/>
    </xf>
    <xf numFmtId="0" fontId="3" fillId="7" borderId="37" xfId="0" applyFont="1" applyFill="1" applyBorder="1" applyAlignment="1">
      <alignment horizontal="left" wrapText="1"/>
    </xf>
    <xf numFmtId="0" fontId="3" fillId="7" borderId="38" xfId="0" applyFont="1" applyFill="1" applyBorder="1" applyAlignment="1">
      <alignment horizontal="left" wrapText="1"/>
    </xf>
    <xf numFmtId="0" fontId="2" fillId="7" borderId="40" xfId="15" applyFont="1" applyFill="1" applyBorder="1" applyAlignment="1">
      <alignment horizontal="left" wrapText="1"/>
    </xf>
    <xf numFmtId="0" fontId="2" fillId="7" borderId="41" xfId="15" applyFont="1" applyFill="1" applyBorder="1" applyAlignment="1">
      <alignment horizontal="left" wrapText="1"/>
    </xf>
    <xf numFmtId="0" fontId="2" fillId="7" borderId="42" xfId="0" applyFont="1" applyFill="1" applyBorder="1" applyAlignment="1">
      <alignment horizontal="left" wrapText="1"/>
    </xf>
    <xf numFmtId="0" fontId="2" fillId="7" borderId="41" xfId="0" applyFont="1" applyFill="1" applyBorder="1" applyAlignment="1">
      <alignment horizontal="left" wrapText="1"/>
    </xf>
    <xf numFmtId="0" fontId="2" fillId="7" borderId="43" xfId="0" applyFont="1" applyFill="1" applyBorder="1" applyAlignment="1">
      <alignment horizontal="left" wrapText="1"/>
    </xf>
    <xf numFmtId="0" fontId="2" fillId="7" borderId="44" xfId="15" applyFont="1" applyFill="1" applyBorder="1" applyAlignment="1">
      <alignment horizontal="left" wrapText="1"/>
    </xf>
    <xf numFmtId="0" fontId="2" fillId="7" borderId="2" xfId="15" applyFont="1" applyFill="1" applyBorder="1" applyAlignment="1">
      <alignment horizontal="left" wrapText="1"/>
    </xf>
    <xf numFmtId="0" fontId="2" fillId="7" borderId="10" xfId="0" applyFont="1" applyFill="1" applyBorder="1" applyAlignment="1">
      <alignment horizontal="left" wrapText="1"/>
    </xf>
    <xf numFmtId="0" fontId="2" fillId="7" borderId="2" xfId="0" applyFont="1" applyFill="1" applyBorder="1" applyAlignment="1">
      <alignment horizontal="left" wrapText="1"/>
    </xf>
    <xf numFmtId="0" fontId="2" fillId="7" borderId="45" xfId="0" applyFont="1" applyFill="1" applyBorder="1" applyAlignment="1">
      <alignment horizontal="left" wrapText="1"/>
    </xf>
    <xf numFmtId="0" fontId="2" fillId="7" borderId="9" xfId="0" applyFont="1" applyFill="1" applyBorder="1" applyAlignment="1">
      <alignment horizontal="left" wrapText="1"/>
    </xf>
    <xf numFmtId="0" fontId="2" fillId="7" borderId="11" xfId="0" applyFont="1" applyFill="1" applyBorder="1" applyAlignment="1">
      <alignment horizontal="left" wrapText="1"/>
    </xf>
    <xf numFmtId="0" fontId="2" fillId="7" borderId="46" xfId="0" applyFont="1" applyFill="1" applyBorder="1" applyAlignment="1">
      <alignment horizontal="left" wrapText="1"/>
    </xf>
    <xf numFmtId="0" fontId="2" fillId="7" borderId="47" xfId="15" applyFont="1" applyFill="1" applyBorder="1" applyAlignment="1">
      <alignment horizontal="left" wrapText="1"/>
    </xf>
    <xf numFmtId="0" fontId="2" fillId="7" borderId="11" xfId="15" applyFont="1" applyFill="1" applyBorder="1" applyAlignment="1">
      <alignment horizontal="left" wrapText="1"/>
    </xf>
    <xf numFmtId="0" fontId="2" fillId="7" borderId="10" xfId="15" applyFont="1" applyFill="1" applyBorder="1" applyAlignment="1">
      <alignment horizontal="left" wrapText="1"/>
    </xf>
    <xf numFmtId="0" fontId="2" fillId="7" borderId="48" xfId="15" applyFont="1" applyFill="1" applyBorder="1" applyAlignment="1">
      <alignment horizontal="left" wrapText="1"/>
    </xf>
    <xf numFmtId="0" fontId="2" fillId="7" borderId="49" xfId="15" applyFont="1" applyFill="1" applyBorder="1" applyAlignment="1">
      <alignment horizontal="left" wrapText="1"/>
    </xf>
    <xf numFmtId="0" fontId="2" fillId="7" borderId="50" xfId="0" applyFont="1" applyFill="1" applyBorder="1" applyAlignment="1">
      <alignment horizontal="left" wrapText="1"/>
    </xf>
    <xf numFmtId="0" fontId="2" fillId="7" borderId="49" xfId="0" applyFont="1" applyFill="1" applyBorder="1" applyAlignment="1">
      <alignment horizontal="left" wrapText="1"/>
    </xf>
    <xf numFmtId="0" fontId="2" fillId="7" borderId="51" xfId="0" applyFont="1" applyFill="1" applyBorder="1" applyAlignment="1">
      <alignment horizontal="left" wrapText="1"/>
    </xf>
    <xf numFmtId="0" fontId="3" fillId="10" borderId="52" xfId="0" applyFont="1" applyFill="1" applyBorder="1" applyAlignment="1">
      <alignment horizontal="left" wrapText="1"/>
    </xf>
    <xf numFmtId="0" fontId="3" fillId="10" borderId="53" xfId="0" applyFont="1" applyFill="1" applyBorder="1" applyAlignment="1">
      <alignment horizontal="left" wrapText="1"/>
    </xf>
    <xf numFmtId="0" fontId="3" fillId="10" borderId="54" xfId="0" applyFont="1" applyFill="1" applyBorder="1" applyAlignment="1">
      <alignment horizontal="left" wrapText="1"/>
    </xf>
    <xf numFmtId="0" fontId="2" fillId="10" borderId="40" xfId="15" applyFont="1" applyFill="1" applyBorder="1" applyAlignment="1">
      <alignment horizontal="left" wrapText="1"/>
    </xf>
    <xf numFmtId="0" fontId="2" fillId="10" borderId="41" xfId="15" applyFont="1" applyFill="1" applyBorder="1" applyAlignment="1">
      <alignment horizontal="left" wrapText="1"/>
    </xf>
    <xf numFmtId="0" fontId="2" fillId="10" borderId="41" xfId="0" applyFont="1" applyFill="1" applyBorder="1" applyAlignment="1">
      <alignment horizontal="left" wrapText="1"/>
    </xf>
    <xf numFmtId="0" fontId="2" fillId="10" borderId="43" xfId="0" applyFont="1" applyFill="1" applyBorder="1" applyAlignment="1">
      <alignment horizontal="left" wrapText="1"/>
    </xf>
    <xf numFmtId="0" fontId="2" fillId="10" borderId="44" xfId="15" applyFont="1" applyFill="1" applyBorder="1" applyAlignment="1">
      <alignment horizontal="left" wrapText="1"/>
    </xf>
    <xf numFmtId="0" fontId="2" fillId="10" borderId="2" xfId="15" applyFont="1" applyFill="1" applyBorder="1" applyAlignment="1">
      <alignment horizontal="left" wrapText="1"/>
    </xf>
    <xf numFmtId="0" fontId="2" fillId="10" borderId="2" xfId="0" applyFont="1" applyFill="1" applyBorder="1" applyAlignment="1">
      <alignment horizontal="left" wrapText="1"/>
    </xf>
    <xf numFmtId="0" fontId="2" fillId="10" borderId="45" xfId="0" applyFont="1" applyFill="1" applyBorder="1" applyAlignment="1">
      <alignment horizontal="left" wrapText="1"/>
    </xf>
    <xf numFmtId="0" fontId="2" fillId="10" borderId="9" xfId="0" applyFont="1" applyFill="1" applyBorder="1" applyAlignment="1">
      <alignment horizontal="left" wrapText="1"/>
    </xf>
    <xf numFmtId="0" fontId="2" fillId="10" borderId="11" xfId="0" applyFont="1" applyFill="1" applyBorder="1" applyAlignment="1">
      <alignment horizontal="left" wrapText="1"/>
    </xf>
    <xf numFmtId="0" fontId="2" fillId="10" borderId="46" xfId="0" applyFont="1" applyFill="1" applyBorder="1" applyAlignment="1">
      <alignment horizontal="left" wrapText="1"/>
    </xf>
    <xf numFmtId="0" fontId="2" fillId="10" borderId="48" xfId="15" applyFont="1" applyFill="1" applyBorder="1" applyAlignment="1">
      <alignment horizontal="left" wrapText="1"/>
    </xf>
    <xf numFmtId="0" fontId="2" fillId="10" borderId="49" xfId="15" applyFont="1" applyFill="1" applyBorder="1" applyAlignment="1">
      <alignment horizontal="left" wrapText="1"/>
    </xf>
    <xf numFmtId="0" fontId="2" fillId="10" borderId="49" xfId="0" applyFont="1" applyFill="1" applyBorder="1" applyAlignment="1">
      <alignment horizontal="left" wrapText="1"/>
    </xf>
    <xf numFmtId="0" fontId="2" fillId="10" borderId="51" xfId="0" applyFont="1" applyFill="1" applyBorder="1" applyAlignment="1">
      <alignment horizontal="left" wrapText="1"/>
    </xf>
  </cellXfs>
  <cellStyles count="16">
    <cellStyle name="Dezimal_BAB_A_vorlage" xfId="13" xr:uid="{00000000-0005-0000-0000-000000000000}"/>
    <cellStyle name="Euro" xfId="3" xr:uid="{00000000-0005-0000-0000-000001000000}"/>
    <cellStyle name="Euro_Gehaltserhoehung" xfId="6" xr:uid="{00000000-0005-0000-0000-000002000000}"/>
    <cellStyle name="Euro_Umsaetze_Anteile" xfId="7" xr:uid="{00000000-0005-0000-0000-000003000000}"/>
    <cellStyle name="Euro_Waehrung" xfId="5" xr:uid="{00000000-0005-0000-0000-000004000000}"/>
    <cellStyle name="Komma" xfId="1" builtinId="3"/>
    <cellStyle name="Link" xfId="15" builtinId="8"/>
    <cellStyle name="Prozent" xfId="4" builtinId="5"/>
    <cellStyle name="Prozent 2" xfId="10" xr:uid="{00000000-0005-0000-0000-000008000000}"/>
    <cellStyle name="Standard" xfId="0" builtinId="0"/>
    <cellStyle name="Standard 4" xfId="14" xr:uid="{00000000-0005-0000-0000-00000A000000}"/>
    <cellStyle name="Standard_BAB und Industriekalkulation" xfId="11" xr:uid="{00000000-0005-0000-0000-00000B000000}"/>
    <cellStyle name="Währung" xfId="2" builtinId="4"/>
    <cellStyle name="Währung 2" xfId="9" xr:uid="{00000000-0005-0000-0000-00000D000000}"/>
    <cellStyle name="Währung_Mappe1" xfId="12" xr:uid="{00000000-0005-0000-0000-00000E000000}"/>
    <cellStyle name="Zeilen-/Spaltenbeschriftungen" xfId="8" xr:uid="{00000000-0005-0000-0000-00000F000000}"/>
  </cellStyles>
  <dxfs count="258">
    <dxf>
      <fill>
        <patternFill>
          <bgColor theme="9"/>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theme="7" tint="0.39994506668294322"/>
        </patternFill>
      </fill>
    </dxf>
    <dxf>
      <font>
        <b/>
        <i val="0"/>
        <color theme="0"/>
      </font>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theme="0"/>
      </font>
    </dxf>
    <dxf>
      <font>
        <color theme="0"/>
      </font>
      <fill>
        <patternFill patternType="none">
          <bgColor auto="1"/>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ont>
        <condense val="0"/>
        <extend val="0"/>
        <color indexed="52"/>
      </font>
    </dxf>
    <dxf>
      <font>
        <condense val="0"/>
        <extend val="0"/>
        <color indexed="12"/>
      </font>
    </dxf>
    <dxf>
      <font>
        <condense val="0"/>
        <extend val="0"/>
        <color indexed="10"/>
      </font>
    </dxf>
    <dxf>
      <font>
        <b/>
        <i val="0"/>
        <color theme="0"/>
      </font>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rgb="FF92D050"/>
        </patternFill>
      </fill>
    </dxf>
    <dxf>
      <fill>
        <patternFill>
          <bgColor rgb="FFFF0000"/>
        </patternFill>
      </fill>
    </dxf>
    <dxf>
      <fill>
        <patternFill>
          <bgColor theme="7"/>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ont>
        <b/>
        <i val="0"/>
        <color theme="0"/>
      </font>
      <fill>
        <patternFill>
          <bgColor rgb="FFFF0000"/>
        </patternFill>
      </fill>
    </dxf>
    <dxf>
      <fill>
        <patternFill>
          <bgColor rgb="FF92D050"/>
        </patternFill>
      </fill>
    </dxf>
    <dxf>
      <fill>
        <patternFill>
          <bgColor rgb="FF92D050"/>
        </patternFill>
      </fill>
    </dxf>
    <dxf>
      <font>
        <color theme="0"/>
      </font>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2D050"/>
      </font>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s>
  <tableStyles count="0" defaultTableStyle="TableStyleMedium2" defaultPivotStyle="PivotStyleLight16"/>
  <colors>
    <mruColors>
      <color rgb="FFFFFF9B"/>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ustomXml" Target="../customXml/item4.xml"/><Relationship Id="rId8" Type="http://schemas.openxmlformats.org/officeDocument/2006/relationships/worksheet" Target="worksheets/sheet8.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1"/>
  </sheetPr>
  <dimension ref="A1:H56"/>
  <sheetViews>
    <sheetView showGridLines="0" tabSelected="1" zoomScaleNormal="100" zoomScalePageLayoutView="130" workbookViewId="0">
      <selection activeCell="L25" sqref="L25"/>
    </sheetView>
  </sheetViews>
  <sheetFormatPr baseColWidth="10" defaultRowHeight="14.25" x14ac:dyDescent="0.2"/>
  <cols>
    <col min="1" max="7" width="18.5703125" style="194" customWidth="1"/>
    <col min="8" max="8" width="19.85546875" style="194" customWidth="1"/>
    <col min="9" max="16384" width="11.42578125" style="194"/>
  </cols>
  <sheetData>
    <row r="1" spans="1:8" ht="15" customHeight="1" x14ac:dyDescent="0.2">
      <c r="A1" s="363" t="s">
        <v>840</v>
      </c>
      <c r="B1" s="364"/>
      <c r="C1" s="364"/>
      <c r="D1" s="364"/>
      <c r="E1" s="364"/>
      <c r="F1" s="364"/>
      <c r="G1" s="364"/>
      <c r="H1" s="365"/>
    </row>
    <row r="2" spans="1:8" ht="15" thickBot="1" x14ac:dyDescent="0.25">
      <c r="A2" s="366"/>
      <c r="B2" s="367"/>
      <c r="C2" s="367"/>
      <c r="D2" s="367"/>
      <c r="E2" s="367"/>
      <c r="F2" s="367"/>
      <c r="G2" s="367"/>
      <c r="H2" s="368"/>
    </row>
    <row r="3" spans="1:8" ht="15" thickBot="1" x14ac:dyDescent="0.25"/>
    <row r="4" spans="1:8" ht="15" customHeight="1" thickBot="1" x14ac:dyDescent="0.25">
      <c r="A4" s="518" t="s">
        <v>498</v>
      </c>
      <c r="B4" s="519"/>
      <c r="C4" s="519"/>
      <c r="D4" s="519" t="s">
        <v>501</v>
      </c>
      <c r="E4" s="519"/>
      <c r="F4" s="519"/>
      <c r="G4" s="519"/>
      <c r="H4" s="520"/>
    </row>
    <row r="5" spans="1:8" ht="15" customHeight="1" x14ac:dyDescent="0.2">
      <c r="A5" s="521" t="s">
        <v>565</v>
      </c>
      <c r="B5" s="522"/>
      <c r="C5" s="522"/>
      <c r="D5" s="523" t="s">
        <v>554</v>
      </c>
      <c r="E5" s="524"/>
      <c r="F5" s="524"/>
      <c r="G5" s="524"/>
      <c r="H5" s="525"/>
    </row>
    <row r="6" spans="1:8" ht="15" customHeight="1" x14ac:dyDescent="0.2">
      <c r="A6" s="526" t="s">
        <v>566</v>
      </c>
      <c r="B6" s="527"/>
      <c r="C6" s="527"/>
      <c r="D6" s="528" t="s">
        <v>555</v>
      </c>
      <c r="E6" s="529"/>
      <c r="F6" s="529"/>
      <c r="G6" s="529"/>
      <c r="H6" s="530"/>
    </row>
    <row r="7" spans="1:8" ht="15" customHeight="1" x14ac:dyDescent="0.2">
      <c r="A7" s="526" t="s">
        <v>499</v>
      </c>
      <c r="B7" s="527"/>
      <c r="C7" s="527"/>
      <c r="D7" s="528" t="s">
        <v>556</v>
      </c>
      <c r="E7" s="529"/>
      <c r="F7" s="529"/>
      <c r="G7" s="529"/>
      <c r="H7" s="530"/>
    </row>
    <row r="8" spans="1:8" ht="15" customHeight="1" x14ac:dyDescent="0.2">
      <c r="A8" s="526" t="s">
        <v>500</v>
      </c>
      <c r="B8" s="527"/>
      <c r="C8" s="527"/>
      <c r="D8" s="528" t="s">
        <v>557</v>
      </c>
      <c r="E8" s="529"/>
      <c r="F8" s="529"/>
      <c r="G8" s="529"/>
      <c r="H8" s="530"/>
    </row>
    <row r="9" spans="1:8" x14ac:dyDescent="0.2">
      <c r="A9" s="526" t="s">
        <v>567</v>
      </c>
      <c r="B9" s="527"/>
      <c r="C9" s="527"/>
      <c r="D9" s="528" t="s">
        <v>558</v>
      </c>
      <c r="E9" s="529"/>
      <c r="F9" s="529"/>
      <c r="G9" s="529"/>
      <c r="H9" s="530"/>
    </row>
    <row r="10" spans="1:8" x14ac:dyDescent="0.2">
      <c r="A10" s="526" t="s">
        <v>568</v>
      </c>
      <c r="B10" s="527"/>
      <c r="C10" s="527"/>
      <c r="D10" s="528" t="s">
        <v>558</v>
      </c>
      <c r="E10" s="529"/>
      <c r="F10" s="529"/>
      <c r="G10" s="529"/>
      <c r="H10" s="530"/>
    </row>
    <row r="11" spans="1:8" ht="15" customHeight="1" x14ac:dyDescent="0.2">
      <c r="A11" s="526" t="s">
        <v>569</v>
      </c>
      <c r="B11" s="527"/>
      <c r="C11" s="527"/>
      <c r="D11" s="528" t="s">
        <v>559</v>
      </c>
      <c r="E11" s="529"/>
      <c r="F11" s="529"/>
      <c r="G11" s="529"/>
      <c r="H11" s="530"/>
    </row>
    <row r="12" spans="1:8" x14ac:dyDescent="0.2">
      <c r="A12" s="526" t="s">
        <v>570</v>
      </c>
      <c r="B12" s="527"/>
      <c r="C12" s="527"/>
      <c r="D12" s="528" t="s">
        <v>560</v>
      </c>
      <c r="E12" s="529"/>
      <c r="F12" s="529"/>
      <c r="G12" s="529"/>
      <c r="H12" s="530"/>
    </row>
    <row r="13" spans="1:8" x14ac:dyDescent="0.2">
      <c r="A13" s="526" t="s">
        <v>793</v>
      </c>
      <c r="B13" s="527"/>
      <c r="C13" s="527"/>
      <c r="D13" s="531" t="s">
        <v>792</v>
      </c>
      <c r="E13" s="532"/>
      <c r="F13" s="532"/>
      <c r="G13" s="532"/>
      <c r="H13" s="533"/>
    </row>
    <row r="14" spans="1:8" ht="14.25" customHeight="1" x14ac:dyDescent="0.2">
      <c r="A14" s="534" t="s">
        <v>789</v>
      </c>
      <c r="B14" s="535"/>
      <c r="C14" s="536"/>
      <c r="D14" s="531" t="s">
        <v>791</v>
      </c>
      <c r="E14" s="532"/>
      <c r="F14" s="532"/>
      <c r="G14" s="532"/>
      <c r="H14" s="533"/>
    </row>
    <row r="15" spans="1:8" x14ac:dyDescent="0.2">
      <c r="A15" s="526" t="s">
        <v>790</v>
      </c>
      <c r="B15" s="527"/>
      <c r="C15" s="527"/>
      <c r="D15" s="531" t="s">
        <v>791</v>
      </c>
      <c r="E15" s="532"/>
      <c r="F15" s="532"/>
      <c r="G15" s="532"/>
      <c r="H15" s="533"/>
    </row>
    <row r="16" spans="1:8" x14ac:dyDescent="0.2">
      <c r="A16" s="526" t="s">
        <v>831</v>
      </c>
      <c r="B16" s="527"/>
      <c r="C16" s="527"/>
      <c r="D16" s="531" t="s">
        <v>791</v>
      </c>
      <c r="E16" s="532"/>
      <c r="F16" s="532"/>
      <c r="G16" s="532"/>
      <c r="H16" s="533"/>
    </row>
    <row r="17" spans="1:8" x14ac:dyDescent="0.2">
      <c r="A17" s="526" t="s">
        <v>931</v>
      </c>
      <c r="B17" s="527"/>
      <c r="C17" s="527"/>
      <c r="D17" s="531" t="s">
        <v>932</v>
      </c>
      <c r="E17" s="532"/>
      <c r="F17" s="532"/>
      <c r="G17" s="532"/>
      <c r="H17" s="533"/>
    </row>
    <row r="18" spans="1:8" x14ac:dyDescent="0.2">
      <c r="A18" s="526" t="s">
        <v>882</v>
      </c>
      <c r="B18" s="527"/>
      <c r="C18" s="527"/>
      <c r="D18" s="528" t="s">
        <v>561</v>
      </c>
      <c r="E18" s="529"/>
      <c r="F18" s="529"/>
      <c r="G18" s="529"/>
      <c r="H18" s="530"/>
    </row>
    <row r="19" spans="1:8" x14ac:dyDescent="0.2">
      <c r="A19" s="526" t="s">
        <v>881</v>
      </c>
      <c r="B19" s="527"/>
      <c r="C19" s="527"/>
      <c r="D19" s="531" t="s">
        <v>880</v>
      </c>
      <c r="E19" s="532"/>
      <c r="F19" s="532"/>
      <c r="G19" s="532"/>
      <c r="H19" s="533"/>
    </row>
    <row r="20" spans="1:8" x14ac:dyDescent="0.2">
      <c r="A20" s="526" t="s">
        <v>571</v>
      </c>
      <c r="B20" s="527"/>
      <c r="C20" s="527"/>
      <c r="D20" s="528" t="s">
        <v>562</v>
      </c>
      <c r="E20" s="529"/>
      <c r="F20" s="529"/>
      <c r="G20" s="529"/>
      <c r="H20" s="530"/>
    </row>
    <row r="21" spans="1:8" x14ac:dyDescent="0.2">
      <c r="A21" s="526" t="s">
        <v>829</v>
      </c>
      <c r="B21" s="527"/>
      <c r="C21" s="527"/>
      <c r="D21" s="528" t="s">
        <v>562</v>
      </c>
      <c r="E21" s="529"/>
      <c r="F21" s="529"/>
      <c r="G21" s="529"/>
      <c r="H21" s="530"/>
    </row>
    <row r="22" spans="1:8" ht="15" thickBot="1" x14ac:dyDescent="0.25">
      <c r="A22" s="537" t="s">
        <v>830</v>
      </c>
      <c r="B22" s="538"/>
      <c r="C22" s="538"/>
      <c r="D22" s="539" t="s">
        <v>562</v>
      </c>
      <c r="E22" s="540"/>
      <c r="F22" s="540"/>
      <c r="G22" s="540"/>
      <c r="H22" s="541"/>
    </row>
    <row r="23" spans="1:8" ht="15" thickBot="1" x14ac:dyDescent="0.25"/>
    <row r="24" spans="1:8" ht="15" customHeight="1" x14ac:dyDescent="0.2">
      <c r="A24" s="378" t="s">
        <v>841</v>
      </c>
      <c r="B24" s="379"/>
      <c r="C24" s="379"/>
      <c r="D24" s="379"/>
      <c r="E24" s="379"/>
      <c r="F24" s="379"/>
      <c r="G24" s="379"/>
      <c r="H24" s="380"/>
    </row>
    <row r="25" spans="1:8" ht="15" customHeight="1" thickBot="1" x14ac:dyDescent="0.25">
      <c r="A25" s="381"/>
      <c r="B25" s="382"/>
      <c r="C25" s="382"/>
      <c r="D25" s="382"/>
      <c r="E25" s="382"/>
      <c r="F25" s="382"/>
      <c r="G25" s="382"/>
      <c r="H25" s="383"/>
    </row>
    <row r="26" spans="1:8" ht="15" customHeight="1" thickBot="1" x14ac:dyDescent="0.3">
      <c r="A26"/>
      <c r="B26"/>
      <c r="C26"/>
      <c r="D26"/>
      <c r="E26"/>
      <c r="F26"/>
      <c r="G26"/>
      <c r="H26"/>
    </row>
    <row r="27" spans="1:8" ht="15" customHeight="1" thickBot="1" x14ac:dyDescent="0.25">
      <c r="A27" s="542" t="s">
        <v>498</v>
      </c>
      <c r="B27" s="543"/>
      <c r="C27" s="543"/>
      <c r="D27" s="543" t="s">
        <v>501</v>
      </c>
      <c r="E27" s="543"/>
      <c r="F27" s="543"/>
      <c r="G27" s="543"/>
      <c r="H27" s="544"/>
    </row>
    <row r="28" spans="1:8" ht="15" customHeight="1" x14ac:dyDescent="0.2">
      <c r="A28" s="545" t="s">
        <v>872</v>
      </c>
      <c r="B28" s="546"/>
      <c r="C28" s="546"/>
      <c r="D28" s="547" t="s">
        <v>839</v>
      </c>
      <c r="E28" s="547"/>
      <c r="F28" s="547"/>
      <c r="G28" s="547"/>
      <c r="H28" s="548"/>
    </row>
    <row r="29" spans="1:8" ht="15" customHeight="1" x14ac:dyDescent="0.2">
      <c r="A29" s="549" t="s">
        <v>873</v>
      </c>
      <c r="B29" s="550"/>
      <c r="C29" s="550"/>
      <c r="D29" s="551" t="s">
        <v>563</v>
      </c>
      <c r="E29" s="551"/>
      <c r="F29" s="551"/>
      <c r="G29" s="551"/>
      <c r="H29" s="552"/>
    </row>
    <row r="30" spans="1:8" ht="15" customHeight="1" x14ac:dyDescent="0.2">
      <c r="A30" s="549" t="s">
        <v>874</v>
      </c>
      <c r="B30" s="550"/>
      <c r="C30" s="550"/>
      <c r="D30" s="551" t="s">
        <v>634</v>
      </c>
      <c r="E30" s="551"/>
      <c r="F30" s="551"/>
      <c r="G30" s="551"/>
      <c r="H30" s="552"/>
    </row>
    <row r="31" spans="1:8" ht="15" customHeight="1" x14ac:dyDescent="0.2">
      <c r="A31" s="549" t="s">
        <v>875</v>
      </c>
      <c r="B31" s="550"/>
      <c r="C31" s="550"/>
      <c r="D31" s="551" t="s">
        <v>564</v>
      </c>
      <c r="E31" s="551"/>
      <c r="F31" s="551"/>
      <c r="G31" s="551"/>
      <c r="H31" s="552"/>
    </row>
    <row r="32" spans="1:8" ht="15" customHeight="1" x14ac:dyDescent="0.2">
      <c r="A32" s="549" t="s">
        <v>877</v>
      </c>
      <c r="B32" s="550"/>
      <c r="C32" s="550"/>
      <c r="D32" s="553" t="s">
        <v>879</v>
      </c>
      <c r="E32" s="554"/>
      <c r="F32" s="554"/>
      <c r="G32" s="554"/>
      <c r="H32" s="555"/>
    </row>
    <row r="33" spans="1:8" ht="15" customHeight="1" thickBot="1" x14ac:dyDescent="0.25">
      <c r="A33" s="556" t="s">
        <v>876</v>
      </c>
      <c r="B33" s="557"/>
      <c r="C33" s="557"/>
      <c r="D33" s="558" t="s">
        <v>878</v>
      </c>
      <c r="E33" s="558"/>
      <c r="F33" s="558"/>
      <c r="G33" s="558"/>
      <c r="H33" s="559"/>
    </row>
    <row r="34" spans="1:8" ht="15" customHeight="1" thickBot="1" x14ac:dyDescent="0.25"/>
    <row r="35" spans="1:8" x14ac:dyDescent="0.2">
      <c r="A35" s="369" t="s">
        <v>729</v>
      </c>
      <c r="B35" s="370"/>
      <c r="C35" s="370"/>
      <c r="D35" s="370"/>
      <c r="E35" s="370"/>
      <c r="F35" s="370"/>
      <c r="G35" s="370"/>
      <c r="H35" s="371"/>
    </row>
    <row r="36" spans="1:8" x14ac:dyDescent="0.2">
      <c r="A36" s="372"/>
      <c r="B36" s="373"/>
      <c r="C36" s="373"/>
      <c r="D36" s="373"/>
      <c r="E36" s="373"/>
      <c r="F36" s="373"/>
      <c r="G36" s="373"/>
      <c r="H36" s="374"/>
    </row>
    <row r="37" spans="1:8" x14ac:dyDescent="0.2">
      <c r="A37" s="372"/>
      <c r="B37" s="373"/>
      <c r="C37" s="373"/>
      <c r="D37" s="373"/>
      <c r="E37" s="373"/>
      <c r="F37" s="373"/>
      <c r="G37" s="373"/>
      <c r="H37" s="374"/>
    </row>
    <row r="38" spans="1:8" ht="15" thickBot="1" x14ac:dyDescent="0.25">
      <c r="A38" s="375"/>
      <c r="B38" s="376"/>
      <c r="C38" s="376"/>
      <c r="D38" s="376"/>
      <c r="E38" s="376"/>
      <c r="F38" s="376"/>
      <c r="G38" s="376"/>
      <c r="H38" s="377"/>
    </row>
    <row r="39" spans="1:8" ht="15" thickBot="1" x14ac:dyDescent="0.25"/>
    <row r="40" spans="1:8" ht="15.75" customHeight="1" x14ac:dyDescent="0.2">
      <c r="A40" s="351" t="s">
        <v>730</v>
      </c>
      <c r="B40" s="352"/>
      <c r="C40" s="352"/>
      <c r="D40" s="352"/>
      <c r="E40" s="352"/>
      <c r="F40" s="352"/>
      <c r="G40" s="352"/>
      <c r="H40" s="353"/>
    </row>
    <row r="41" spans="1:8" x14ac:dyDescent="0.2">
      <c r="A41" s="354"/>
      <c r="B41" s="355"/>
      <c r="C41" s="355"/>
      <c r="D41" s="355"/>
      <c r="E41" s="355"/>
      <c r="F41" s="355"/>
      <c r="G41" s="355"/>
      <c r="H41" s="356"/>
    </row>
    <row r="42" spans="1:8" x14ac:dyDescent="0.2">
      <c r="A42" s="354"/>
      <c r="B42" s="355"/>
      <c r="C42" s="355"/>
      <c r="D42" s="355"/>
      <c r="E42" s="355"/>
      <c r="F42" s="355"/>
      <c r="G42" s="355"/>
      <c r="H42" s="356"/>
    </row>
    <row r="43" spans="1:8" x14ac:dyDescent="0.2">
      <c r="A43" s="354"/>
      <c r="B43" s="355"/>
      <c r="C43" s="355"/>
      <c r="D43" s="355"/>
      <c r="E43" s="355"/>
      <c r="F43" s="355"/>
      <c r="G43" s="355"/>
      <c r="H43" s="356"/>
    </row>
    <row r="44" spans="1:8" ht="20.25" customHeight="1" x14ac:dyDescent="0.2">
      <c r="A44" s="354"/>
      <c r="B44" s="355"/>
      <c r="C44" s="355"/>
      <c r="D44" s="355"/>
      <c r="E44" s="355"/>
      <c r="F44" s="355"/>
      <c r="G44" s="355"/>
      <c r="H44" s="356"/>
    </row>
    <row r="45" spans="1:8" ht="25.5" x14ac:dyDescent="0.2">
      <c r="A45" s="196"/>
      <c r="B45" s="197" t="s">
        <v>503</v>
      </c>
      <c r="C45" s="197" t="s">
        <v>504</v>
      </c>
      <c r="D45" s="197" t="s">
        <v>475</v>
      </c>
      <c r="E45" s="198" t="s">
        <v>505</v>
      </c>
      <c r="F45" s="199"/>
      <c r="G45" s="199"/>
      <c r="H45" s="200"/>
    </row>
    <row r="46" spans="1:8" x14ac:dyDescent="0.2">
      <c r="A46" s="201" t="s">
        <v>502</v>
      </c>
      <c r="B46" s="202">
        <v>0.95833333333333337</v>
      </c>
      <c r="C46" s="202">
        <v>8.3333333333333329E-2</v>
      </c>
      <c r="D46" s="202">
        <f>C46-B46</f>
        <v>-0.875</v>
      </c>
      <c r="E46" s="203">
        <f>D46+1</f>
        <v>0.125</v>
      </c>
      <c r="F46" s="204"/>
      <c r="G46" s="204"/>
      <c r="H46" s="205"/>
    </row>
    <row r="47" spans="1:8" x14ac:dyDescent="0.2">
      <c r="A47" s="206" t="s">
        <v>506</v>
      </c>
      <c r="B47" s="207">
        <f>B46</f>
        <v>0.95833333333333337</v>
      </c>
      <c r="C47" s="207">
        <f>C46</f>
        <v>8.3333333333333329E-2</v>
      </c>
      <c r="D47" s="207">
        <f>C47-B47</f>
        <v>-0.875</v>
      </c>
      <c r="E47" s="208">
        <f>E46</f>
        <v>0.125</v>
      </c>
      <c r="F47" s="204"/>
      <c r="G47" s="204"/>
      <c r="H47" s="205"/>
    </row>
    <row r="48" spans="1:8" ht="7.5" customHeight="1" x14ac:dyDescent="0.2">
      <c r="A48" s="209"/>
      <c r="B48" s="204"/>
      <c r="C48" s="204"/>
      <c r="D48" s="204"/>
      <c r="E48" s="204"/>
      <c r="F48" s="204"/>
      <c r="G48" s="204"/>
      <c r="H48" s="205"/>
    </row>
    <row r="49" spans="1:8" ht="15" customHeight="1" x14ac:dyDescent="0.2">
      <c r="A49" s="357" t="s">
        <v>731</v>
      </c>
      <c r="B49" s="358"/>
      <c r="C49" s="358"/>
      <c r="D49" s="358"/>
      <c r="E49" s="358"/>
      <c r="F49" s="358"/>
      <c r="G49" s="358"/>
      <c r="H49" s="359"/>
    </row>
    <row r="50" spans="1:8" x14ac:dyDescent="0.2">
      <c r="A50" s="357"/>
      <c r="B50" s="358"/>
      <c r="C50" s="358"/>
      <c r="D50" s="358"/>
      <c r="E50" s="358"/>
      <c r="F50" s="358"/>
      <c r="G50" s="358"/>
      <c r="H50" s="359"/>
    </row>
    <row r="51" spans="1:8" ht="15" thickBot="1" x14ac:dyDescent="0.25">
      <c r="A51" s="360"/>
      <c r="B51" s="361"/>
      <c r="C51" s="361"/>
      <c r="D51" s="361"/>
      <c r="E51" s="361"/>
      <c r="F51" s="361"/>
      <c r="G51" s="361"/>
      <c r="H51" s="362"/>
    </row>
    <row r="52" spans="1:8" ht="15" thickBot="1" x14ac:dyDescent="0.25">
      <c r="A52" s="210"/>
      <c r="B52" s="210"/>
      <c r="C52" s="210"/>
      <c r="D52" s="210"/>
      <c r="E52" s="210"/>
      <c r="F52" s="210"/>
      <c r="G52" s="210"/>
      <c r="H52" s="210"/>
    </row>
    <row r="53" spans="1:8" ht="15" customHeight="1" thickBot="1" x14ac:dyDescent="0.25">
      <c r="A53" s="348" t="str">
        <f ca="1">"Diese Sammlung wurde 2019 von Paggo Luminous erstellt, von Dr. T überarbeitet sowie von 2019 bis "&amp;YEAR(TODAY())&amp; " ergänzt."</f>
        <v>Diese Sammlung wurde 2019 von Paggo Luminous erstellt, von Dr. T überarbeitet sowie von 2019 bis 2025 ergänzt.</v>
      </c>
      <c r="B53" s="349"/>
      <c r="C53" s="349"/>
      <c r="D53" s="349"/>
      <c r="E53" s="349"/>
      <c r="F53" s="349"/>
      <c r="G53" s="349"/>
      <c r="H53" s="350"/>
    </row>
    <row r="54" spans="1:8" ht="15.75" customHeight="1" x14ac:dyDescent="0.2">
      <c r="A54" s="211"/>
      <c r="B54" s="211"/>
      <c r="C54" s="211"/>
      <c r="D54" s="211"/>
      <c r="E54" s="211"/>
      <c r="F54" s="211"/>
      <c r="G54" s="211"/>
      <c r="H54" s="211"/>
    </row>
    <row r="55" spans="1:8" x14ac:dyDescent="0.2">
      <c r="A55" s="210"/>
      <c r="B55" s="210"/>
      <c r="C55" s="210"/>
      <c r="D55" s="210"/>
      <c r="E55" s="210"/>
      <c r="F55" s="210"/>
      <c r="G55" s="210"/>
      <c r="H55" s="210"/>
    </row>
    <row r="56" spans="1:8" x14ac:dyDescent="0.2">
      <c r="A56" s="210"/>
      <c r="B56" s="210"/>
      <c r="C56" s="210"/>
      <c r="D56" s="210"/>
      <c r="E56" s="210"/>
      <c r="F56" s="210"/>
      <c r="G56" s="210"/>
      <c r="H56" s="210"/>
    </row>
  </sheetData>
  <mergeCells count="58">
    <mergeCell ref="A17:C17"/>
    <mergeCell ref="D17:H17"/>
    <mergeCell ref="D32:H32"/>
    <mergeCell ref="A33:C33"/>
    <mergeCell ref="A28:C28"/>
    <mergeCell ref="D28:H28"/>
    <mergeCell ref="A24:H25"/>
    <mergeCell ref="A27:C27"/>
    <mergeCell ref="D27:H27"/>
    <mergeCell ref="A1:H2"/>
    <mergeCell ref="A4:C4"/>
    <mergeCell ref="D4:H4"/>
    <mergeCell ref="A5:C5"/>
    <mergeCell ref="D5:H5"/>
    <mergeCell ref="A9:C9"/>
    <mergeCell ref="D9:H9"/>
    <mergeCell ref="A10:C10"/>
    <mergeCell ref="D10:H10"/>
    <mergeCell ref="A11:C11"/>
    <mergeCell ref="D11:H11"/>
    <mergeCell ref="A6:C6"/>
    <mergeCell ref="D6:H6"/>
    <mergeCell ref="A7:C7"/>
    <mergeCell ref="D7:H7"/>
    <mergeCell ref="A8:C8"/>
    <mergeCell ref="D8:H8"/>
    <mergeCell ref="A15:C15"/>
    <mergeCell ref="A14:C14"/>
    <mergeCell ref="D19:H19"/>
    <mergeCell ref="A53:H53"/>
    <mergeCell ref="A40:H44"/>
    <mergeCell ref="D16:H16"/>
    <mergeCell ref="A49:H51"/>
    <mergeCell ref="A35:H38"/>
    <mergeCell ref="A18:C18"/>
    <mergeCell ref="D18:H18"/>
    <mergeCell ref="A20:C20"/>
    <mergeCell ref="D20:H20"/>
    <mergeCell ref="A30:C30"/>
    <mergeCell ref="D30:H30"/>
    <mergeCell ref="A21:C21"/>
    <mergeCell ref="A32:C32"/>
    <mergeCell ref="D33:H33"/>
    <mergeCell ref="A31:C31"/>
    <mergeCell ref="D31:H31"/>
    <mergeCell ref="A12:C12"/>
    <mergeCell ref="D12:H12"/>
    <mergeCell ref="D22:H22"/>
    <mergeCell ref="A29:C29"/>
    <mergeCell ref="D29:H29"/>
    <mergeCell ref="D21:H21"/>
    <mergeCell ref="A22:C22"/>
    <mergeCell ref="A13:C13"/>
    <mergeCell ref="D14:H14"/>
    <mergeCell ref="D15:H15"/>
    <mergeCell ref="D13:H13"/>
    <mergeCell ref="A16:C16"/>
    <mergeCell ref="A19:C19"/>
  </mergeCells>
  <phoneticPr fontId="15" type="noConversion"/>
  <hyperlinks>
    <hyperlink ref="A5:C5" location="'Einfache Berechnungen 1'!A1" display="Einfache Berechnungen 1" xr:uid="{00000000-0004-0000-0000-000000000000}"/>
    <hyperlink ref="A6:C6" location="'Einfache Berechnungen 2'!A1" display="Einfache Berechnungen 2" xr:uid="{00000000-0004-0000-0000-000001000000}"/>
    <hyperlink ref="A7:C7" location="Funktionen!A1" display="Funktionen" xr:uid="{00000000-0004-0000-0000-000002000000}"/>
    <hyperlink ref="A8:C8" location="Bezüge!A1" display="Bezüge" xr:uid="{00000000-0004-0000-0000-000003000000}"/>
    <hyperlink ref="A9:C9" location="'Wenn 1'!A1" display="Wenn 1" xr:uid="{00000000-0004-0000-0000-000004000000}"/>
    <hyperlink ref="A10:C10" location="'Wenn 2'!A1" display="Wenn 2" xr:uid="{00000000-0004-0000-0000-000005000000}"/>
    <hyperlink ref="A11:C11" location="'Wenn 3'!A1" display="Wenn 3" xr:uid="{00000000-0004-0000-0000-000006000000}"/>
    <hyperlink ref="A12:C12" location="'Wenn 4'!A1" display="Wenn 4" xr:uid="{00000000-0004-0000-0000-000007000000}"/>
    <hyperlink ref="A18:C18" location="'Tage und Zeiten'!A1" display="Tage und Zeiten" xr:uid="{00000000-0004-0000-0000-000008000000}"/>
    <hyperlink ref="A20:C20" location="'SVerweis 1'!A1" display="SVerweis 1" xr:uid="{00000000-0004-0000-0000-000009000000}"/>
    <hyperlink ref="A21:C21" location="'SVerweis 2'!A1" display="Sverweis 2" xr:uid="{00000000-0004-0000-0000-00000A000000}"/>
    <hyperlink ref="A22:C22" location="'SVerweis 3'!A1" display="Sverweis 3" xr:uid="{00000000-0004-0000-0000-00000B000000}"/>
    <hyperlink ref="A29:C29" location="'Angebotsvergleich #'!A1" display="Angebotsvergleich #" xr:uid="{00000000-0004-0000-0000-00000C000000}"/>
    <hyperlink ref="A31:C31" location="'Lagerbestände #'!A1" display="Lagerbestände #" xr:uid="{00000000-0004-0000-0000-00000D000000}"/>
    <hyperlink ref="A33:C33" location="'Statistik I #'!A1" display="Statistik I #" xr:uid="{00000000-0004-0000-0000-00000E000000}"/>
    <hyperlink ref="A30:C30" location="'BAB #'!A1" display="BAB #" xr:uid="{00000000-0004-0000-0000-00000F000000}"/>
    <hyperlink ref="A15:C15" location="'Wenn UndOder 2'!A1" display="Wenn UndOder 2" xr:uid="{00000000-0004-0000-0000-000010000000}"/>
    <hyperlink ref="A13:C13" location="'Wenn 5'!A1" display="Wenn 5" xr:uid="{00000000-0004-0000-0000-000011000000}"/>
    <hyperlink ref="A14:C14" location="'Wenn UndOder 1'!A1" display="Wenn UndOder 1" xr:uid="{00000000-0004-0000-0000-000012000000}"/>
    <hyperlink ref="A19:C19" location="'Jahre und Zeiten'!A1" display="Jahre und Zeiten" xr:uid="{00000000-0004-0000-0000-000013000000}"/>
    <hyperlink ref="A16:C16" location="'Wenn UndOder 3'!A1" display="Wenn UndOder 3" xr:uid="{00000000-0004-0000-0000-000014000000}"/>
    <hyperlink ref="A28:C28" location="'Angebotsvergleich #'!A1" display="ABC-Analyse #" xr:uid="{00000000-0004-0000-0000-000015000000}"/>
    <hyperlink ref="A32:C32" location="'Optimale Bestellmenge #'!A1" display="Optimale Bestellmenge #" xr:uid="{00000000-0004-0000-0000-000016000000}"/>
    <hyperlink ref="A17:C17" location="'Wenn Multitalent'!A1" display="Wenn Multitalent" xr:uid="{541A275E-9742-404F-941D-7DE194EC622C}"/>
  </hyperlinks>
  <pageMargins left="0.25" right="0.25" top="0.75" bottom="0.75" header="0.3" footer="0.3"/>
  <pageSetup paperSize="9" orientation="portrait" horizontalDpi="300" verticalDpi="300" r:id="rId1"/>
  <ignoredErrors>
    <ignoredError sqref="B47:C47 E47"/>
    <ignoredError sqref="D47"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tabColor theme="0" tint="-0.499984740745262"/>
  </sheetPr>
  <dimension ref="A1:S64"/>
  <sheetViews>
    <sheetView showGridLines="0" zoomScaleNormal="100" zoomScalePageLayoutView="130" workbookViewId="0">
      <selection activeCell="J62" sqref="J62"/>
    </sheetView>
  </sheetViews>
  <sheetFormatPr baseColWidth="10" defaultColWidth="11.42578125" defaultRowHeight="15" customHeight="1" x14ac:dyDescent="0.2"/>
  <cols>
    <col min="1" max="6" width="14.85546875" style="2" customWidth="1"/>
    <col min="7" max="15" width="13.85546875" style="2" customWidth="1"/>
    <col min="16" max="16" width="13.85546875" style="2" hidden="1" customWidth="1"/>
    <col min="17" max="19" width="11.42578125" style="2" hidden="1" customWidth="1"/>
    <col min="20" max="16384" width="11.42578125" style="2"/>
  </cols>
  <sheetData>
    <row r="1" spans="1:19" ht="15" customHeight="1" thickBot="1" x14ac:dyDescent="0.25"/>
    <row r="2" spans="1:19" ht="15" customHeight="1" x14ac:dyDescent="0.2">
      <c r="A2" s="386" t="s">
        <v>81</v>
      </c>
      <c r="B2" s="387"/>
      <c r="C2" s="387"/>
      <c r="D2" s="387"/>
      <c r="E2" s="387"/>
      <c r="F2" s="388"/>
      <c r="L2" s="306" t="s">
        <v>900</v>
      </c>
      <c r="M2" s="220" t="s">
        <v>732</v>
      </c>
    </row>
    <row r="3" spans="1:19" ht="15" customHeight="1" x14ac:dyDescent="0.2">
      <c r="A3" s="389"/>
      <c r="B3" s="390"/>
      <c r="C3" s="390"/>
      <c r="D3" s="390"/>
      <c r="E3" s="390"/>
      <c r="F3" s="391"/>
    </row>
    <row r="4" spans="1:19" ht="15" customHeight="1" thickBot="1" x14ac:dyDescent="0.25">
      <c r="A4" s="392"/>
      <c r="B4" s="393"/>
      <c r="C4" s="393"/>
      <c r="D4" s="393"/>
      <c r="E4" s="393"/>
      <c r="F4" s="394"/>
    </row>
    <row r="5" spans="1:19" customFormat="1" ht="15" customHeight="1" thickBot="1" x14ac:dyDescent="0.3"/>
    <row r="6" spans="1:19" ht="15" customHeight="1" x14ac:dyDescent="0.2">
      <c r="A6" s="396" t="s">
        <v>0</v>
      </c>
      <c r="B6" s="397"/>
      <c r="C6" s="397"/>
      <c r="D6" s="397"/>
      <c r="E6" s="397"/>
      <c r="F6" s="398"/>
    </row>
    <row r="7" spans="1:19" ht="15" customHeight="1" x14ac:dyDescent="0.2">
      <c r="A7" s="116" t="s">
        <v>551</v>
      </c>
      <c r="B7" s="116" t="s">
        <v>552</v>
      </c>
      <c r="C7" s="117" t="s">
        <v>1</v>
      </c>
      <c r="D7" s="117" t="s">
        <v>2</v>
      </c>
      <c r="E7" s="117" t="s">
        <v>3</v>
      </c>
      <c r="F7" s="117" t="s">
        <v>4</v>
      </c>
    </row>
    <row r="8" spans="1:19" ht="15" customHeight="1" x14ac:dyDescent="0.25">
      <c r="A8" s="31">
        <v>4</v>
      </c>
      <c r="B8" s="31">
        <v>5</v>
      </c>
      <c r="C8" s="76"/>
      <c r="D8" s="76"/>
      <c r="E8" s="76"/>
      <c r="F8" s="76"/>
      <c r="I8"/>
      <c r="P8" s="2">
        <v>9</v>
      </c>
      <c r="Q8" s="2">
        <v>-1</v>
      </c>
      <c r="R8" s="2">
        <v>20</v>
      </c>
      <c r="S8" s="2">
        <v>0.8</v>
      </c>
    </row>
    <row r="9" spans="1:19" ht="15" customHeight="1" x14ac:dyDescent="0.2">
      <c r="A9" s="31">
        <v>3</v>
      </c>
      <c r="B9" s="31">
        <v>3</v>
      </c>
      <c r="C9" s="76"/>
      <c r="D9" s="76"/>
      <c r="E9" s="76"/>
      <c r="F9" s="76"/>
      <c r="P9" s="2">
        <v>6</v>
      </c>
      <c r="Q9" s="2">
        <v>0</v>
      </c>
      <c r="R9" s="2">
        <v>9</v>
      </c>
      <c r="S9" s="2">
        <v>1</v>
      </c>
    </row>
    <row r="10" spans="1:19" ht="15" customHeight="1" x14ac:dyDescent="0.2">
      <c r="A10" s="31">
        <v>3</v>
      </c>
      <c r="B10" s="31">
        <v>-3</v>
      </c>
      <c r="C10" s="76"/>
      <c r="D10" s="76"/>
      <c r="E10" s="76"/>
      <c r="F10" s="76"/>
      <c r="P10" s="2">
        <v>0</v>
      </c>
      <c r="Q10" s="2">
        <v>6</v>
      </c>
      <c r="R10" s="2">
        <v>-9</v>
      </c>
      <c r="S10" s="2">
        <v>-1</v>
      </c>
    </row>
    <row r="11" spans="1:19" ht="15" customHeight="1" x14ac:dyDescent="0.2">
      <c r="A11" s="31">
        <v>2</v>
      </c>
      <c r="B11" s="31">
        <v>0</v>
      </c>
      <c r="C11" s="76"/>
      <c r="D11" s="76"/>
      <c r="E11" s="76"/>
      <c r="F11" s="76"/>
      <c r="P11" s="2">
        <v>2</v>
      </c>
      <c r="Q11" s="2">
        <v>2</v>
      </c>
      <c r="R11" s="2">
        <v>0</v>
      </c>
      <c r="S11" s="2" t="e">
        <v>#DIV/0!</v>
      </c>
    </row>
    <row r="12" spans="1:19" ht="15" customHeight="1" x14ac:dyDescent="0.2">
      <c r="A12" s="31">
        <v>10</v>
      </c>
      <c r="B12" s="31">
        <v>-28</v>
      </c>
      <c r="C12" s="76"/>
      <c r="D12" s="76"/>
      <c r="E12" s="76"/>
      <c r="F12" s="76"/>
      <c r="P12" s="2">
        <v>-18</v>
      </c>
      <c r="Q12" s="2">
        <v>38</v>
      </c>
      <c r="R12" s="2">
        <v>-280</v>
      </c>
      <c r="S12" s="2">
        <v>-0.35714285714285715</v>
      </c>
    </row>
    <row r="14" spans="1:19" ht="15" customHeight="1" thickBot="1" x14ac:dyDescent="0.25"/>
    <row r="15" spans="1:19" ht="15" customHeight="1" x14ac:dyDescent="0.2">
      <c r="A15" s="386" t="s">
        <v>34</v>
      </c>
      <c r="B15" s="387"/>
      <c r="C15" s="387"/>
      <c r="D15" s="387"/>
      <c r="E15" s="387"/>
      <c r="F15" s="388"/>
    </row>
    <row r="16" spans="1:19" ht="15" customHeight="1" x14ac:dyDescent="0.2">
      <c r="A16" s="389"/>
      <c r="B16" s="390"/>
      <c r="C16" s="390"/>
      <c r="D16" s="390"/>
      <c r="E16" s="390"/>
      <c r="F16" s="391"/>
    </row>
    <row r="17" spans="1:16" ht="15" customHeight="1" thickBot="1" x14ac:dyDescent="0.25">
      <c r="A17" s="392"/>
      <c r="B17" s="393"/>
      <c r="C17" s="393"/>
      <c r="D17" s="393"/>
      <c r="E17" s="393"/>
      <c r="F17" s="394"/>
    </row>
    <row r="19" spans="1:16" ht="15" customHeight="1" x14ac:dyDescent="0.2">
      <c r="A19" s="395" t="s">
        <v>21</v>
      </c>
      <c r="B19" s="395"/>
      <c r="C19" s="395"/>
      <c r="D19" s="395"/>
      <c r="L19" s="306" t="s">
        <v>900</v>
      </c>
      <c r="M19" s="220" t="s">
        <v>732</v>
      </c>
    </row>
    <row r="20" spans="1:16" ht="15" customHeight="1" x14ac:dyDescent="0.2">
      <c r="A20" s="116" t="s">
        <v>22</v>
      </c>
      <c r="B20" s="117" t="s">
        <v>23</v>
      </c>
      <c r="C20" s="117" t="s">
        <v>8</v>
      </c>
      <c r="D20" s="117" t="s">
        <v>24</v>
      </c>
    </row>
    <row r="21" spans="1:16" ht="15" customHeight="1" x14ac:dyDescent="0.2">
      <c r="A21" s="31" t="s">
        <v>25</v>
      </c>
      <c r="B21" s="34">
        <v>60</v>
      </c>
      <c r="C21" s="31">
        <v>1</v>
      </c>
      <c r="D21" s="82"/>
      <c r="P21" s="2">
        <v>60</v>
      </c>
    </row>
    <row r="22" spans="1:16" ht="15" customHeight="1" x14ac:dyDescent="0.2">
      <c r="A22" s="31" t="s">
        <v>26</v>
      </c>
      <c r="B22" s="34">
        <v>18</v>
      </c>
      <c r="C22" s="31">
        <v>1</v>
      </c>
      <c r="D22" s="82"/>
      <c r="P22" s="2">
        <v>18</v>
      </c>
    </row>
    <row r="23" spans="1:16" ht="15" customHeight="1" x14ac:dyDescent="0.2">
      <c r="A23" s="31" t="s">
        <v>27</v>
      </c>
      <c r="B23" s="34">
        <v>8</v>
      </c>
      <c r="C23" s="31">
        <v>8</v>
      </c>
      <c r="D23" s="82"/>
      <c r="P23" s="2">
        <v>64</v>
      </c>
    </row>
    <row r="24" spans="1:16" ht="15" customHeight="1" x14ac:dyDescent="0.2">
      <c r="A24" s="31" t="s">
        <v>28</v>
      </c>
      <c r="B24" s="34">
        <v>5</v>
      </c>
      <c r="C24" s="31">
        <v>8</v>
      </c>
      <c r="D24" s="82"/>
      <c r="P24" s="2">
        <v>40</v>
      </c>
    </row>
    <row r="25" spans="1:16" ht="15" customHeight="1" x14ac:dyDescent="0.2">
      <c r="A25" s="31" t="s">
        <v>29</v>
      </c>
      <c r="B25" s="34">
        <v>12</v>
      </c>
      <c r="C25" s="31">
        <v>8</v>
      </c>
      <c r="D25" s="82"/>
      <c r="P25" s="2">
        <v>96</v>
      </c>
    </row>
    <row r="26" spans="1:16" ht="15" customHeight="1" x14ac:dyDescent="0.2">
      <c r="A26" s="31" t="s">
        <v>30</v>
      </c>
      <c r="B26" s="34">
        <v>25</v>
      </c>
      <c r="C26" s="31">
        <v>1</v>
      </c>
      <c r="D26" s="82"/>
      <c r="P26" s="2">
        <v>25</v>
      </c>
    </row>
    <row r="27" spans="1:16" ht="15" customHeight="1" x14ac:dyDescent="0.2">
      <c r="A27" s="31" t="s">
        <v>31</v>
      </c>
      <c r="B27" s="34">
        <v>16</v>
      </c>
      <c r="C27" s="31">
        <v>1</v>
      </c>
      <c r="D27" s="82"/>
      <c r="P27" s="2">
        <v>16</v>
      </c>
    </row>
    <row r="28" spans="1:16" ht="15" customHeight="1" x14ac:dyDescent="0.2">
      <c r="A28" s="31" t="s">
        <v>32</v>
      </c>
      <c r="B28" s="34">
        <v>16</v>
      </c>
      <c r="C28" s="31">
        <v>1</v>
      </c>
      <c r="D28" s="82"/>
      <c r="P28" s="2">
        <v>16</v>
      </c>
    </row>
    <row r="29" spans="1:16" ht="15" customHeight="1" x14ac:dyDescent="0.2">
      <c r="A29" s="31" t="s">
        <v>33</v>
      </c>
      <c r="B29" s="34">
        <v>7</v>
      </c>
      <c r="C29" s="31">
        <v>2</v>
      </c>
      <c r="D29" s="82"/>
      <c r="P29" s="2">
        <v>14</v>
      </c>
    </row>
    <row r="30" spans="1:16" ht="15" customHeight="1" x14ac:dyDescent="0.2">
      <c r="A30" s="81" t="s">
        <v>56</v>
      </c>
      <c r="B30" s="81"/>
      <c r="C30" s="81"/>
      <c r="D30" s="85"/>
      <c r="P30" s="2">
        <v>349</v>
      </c>
    </row>
    <row r="31" spans="1:16" ht="15" customHeight="1" x14ac:dyDescent="0.25">
      <c r="C31" s="4"/>
      <c r="D31" s="4"/>
      <c r="E31" s="37"/>
      <c r="F31"/>
    </row>
    <row r="32" spans="1:16" ht="15" customHeight="1" thickBot="1" x14ac:dyDescent="0.25"/>
    <row r="33" spans="1:16" ht="15" customHeight="1" x14ac:dyDescent="0.2">
      <c r="A33" s="386" t="s">
        <v>553</v>
      </c>
      <c r="B33" s="387"/>
      <c r="C33" s="387"/>
      <c r="D33" s="387"/>
      <c r="E33" s="387"/>
      <c r="F33" s="388"/>
    </row>
    <row r="34" spans="1:16" ht="15" customHeight="1" x14ac:dyDescent="0.2">
      <c r="A34" s="389"/>
      <c r="B34" s="390"/>
      <c r="C34" s="390"/>
      <c r="D34" s="390"/>
      <c r="E34" s="390"/>
      <c r="F34" s="391"/>
    </row>
    <row r="35" spans="1:16" ht="15" customHeight="1" thickBot="1" x14ac:dyDescent="0.25">
      <c r="A35" s="392"/>
      <c r="B35" s="393"/>
      <c r="C35" s="393"/>
      <c r="D35" s="393"/>
      <c r="E35" s="393"/>
      <c r="F35" s="394"/>
    </row>
    <row r="37" spans="1:16" ht="15" customHeight="1" x14ac:dyDescent="0.2">
      <c r="A37" s="395" t="s">
        <v>35</v>
      </c>
      <c r="B37" s="395"/>
      <c r="C37" s="395"/>
      <c r="D37" s="395"/>
      <c r="L37" s="306" t="s">
        <v>900</v>
      </c>
      <c r="M37" s="220" t="s">
        <v>732</v>
      </c>
    </row>
    <row r="38" spans="1:16" ht="15" customHeight="1" x14ac:dyDescent="0.2">
      <c r="A38" s="261"/>
      <c r="B38" s="117" t="s">
        <v>36</v>
      </c>
      <c r="C38" s="117" t="s">
        <v>37</v>
      </c>
      <c r="D38" s="117" t="s">
        <v>512</v>
      </c>
    </row>
    <row r="39" spans="1:16" ht="15" customHeight="1" x14ac:dyDescent="0.2">
      <c r="A39" s="31" t="s">
        <v>38</v>
      </c>
      <c r="B39" s="92">
        <v>108</v>
      </c>
      <c r="C39" s="87">
        <v>432</v>
      </c>
      <c r="D39" s="115"/>
      <c r="P39" s="2">
        <v>4</v>
      </c>
    </row>
    <row r="40" spans="1:16" ht="15" customHeight="1" x14ac:dyDescent="0.2">
      <c r="A40" s="31" t="s">
        <v>39</v>
      </c>
      <c r="B40" s="92">
        <v>86</v>
      </c>
      <c r="C40" s="87">
        <v>412.8</v>
      </c>
      <c r="D40" s="115"/>
      <c r="P40" s="2">
        <v>4.8</v>
      </c>
    </row>
    <row r="41" spans="1:16" ht="15" customHeight="1" x14ac:dyDescent="0.2">
      <c r="A41" s="31" t="s">
        <v>40</v>
      </c>
      <c r="B41" s="92">
        <v>110</v>
      </c>
      <c r="C41" s="87">
        <v>594</v>
      </c>
      <c r="D41" s="115"/>
      <c r="P41" s="2">
        <v>5.4</v>
      </c>
    </row>
    <row r="42" spans="1:16" ht="15" customHeight="1" x14ac:dyDescent="0.2">
      <c r="A42" s="31" t="s">
        <v>41</v>
      </c>
      <c r="B42" s="92">
        <v>85</v>
      </c>
      <c r="C42" s="87">
        <v>603.5</v>
      </c>
      <c r="D42" s="115"/>
      <c r="P42" s="2">
        <v>7.1</v>
      </c>
    </row>
    <row r="43" spans="1:16" ht="15" customHeight="1" x14ac:dyDescent="0.2">
      <c r="A43" s="31" t="s">
        <v>42</v>
      </c>
      <c r="B43" s="92">
        <v>105</v>
      </c>
      <c r="C43" s="87">
        <v>840</v>
      </c>
      <c r="D43" s="115"/>
      <c r="P43" s="2">
        <v>8</v>
      </c>
    </row>
    <row r="44" spans="1:16" ht="15" customHeight="1" x14ac:dyDescent="0.2">
      <c r="A44" s="31" t="s">
        <v>43</v>
      </c>
      <c r="B44" s="92">
        <v>82</v>
      </c>
      <c r="C44" s="87">
        <v>779</v>
      </c>
      <c r="D44" s="115"/>
      <c r="P44" s="2">
        <v>9.5</v>
      </c>
    </row>
    <row r="46" spans="1:16" ht="15" customHeight="1" x14ac:dyDescent="0.2">
      <c r="A46" s="395" t="s">
        <v>44</v>
      </c>
      <c r="B46" s="395"/>
      <c r="C46" s="395"/>
      <c r="D46" s="395"/>
    </row>
    <row r="47" spans="1:16" ht="15" customHeight="1" x14ac:dyDescent="0.2">
      <c r="A47" s="261"/>
      <c r="B47" s="117" t="s">
        <v>45</v>
      </c>
      <c r="C47" s="117" t="s">
        <v>46</v>
      </c>
      <c r="D47" s="117" t="s">
        <v>514</v>
      </c>
    </row>
    <row r="48" spans="1:16" ht="15" customHeight="1" x14ac:dyDescent="0.2">
      <c r="A48" s="31" t="s">
        <v>47</v>
      </c>
      <c r="B48" s="92">
        <v>1.8</v>
      </c>
      <c r="C48" s="87">
        <v>63</v>
      </c>
      <c r="D48" s="115"/>
      <c r="P48" s="2">
        <v>35</v>
      </c>
    </row>
    <row r="49" spans="1:16" ht="15" customHeight="1" x14ac:dyDescent="0.2">
      <c r="A49" s="31" t="s">
        <v>48</v>
      </c>
      <c r="B49" s="92">
        <v>1.6</v>
      </c>
      <c r="C49" s="87">
        <v>72</v>
      </c>
      <c r="D49" s="115"/>
      <c r="P49" s="2">
        <v>45</v>
      </c>
    </row>
    <row r="50" spans="1:16" ht="15" customHeight="1" x14ac:dyDescent="0.2">
      <c r="A50" s="31" t="s">
        <v>49</v>
      </c>
      <c r="B50" s="92">
        <v>2.6</v>
      </c>
      <c r="C50" s="87">
        <v>78</v>
      </c>
      <c r="D50" s="115"/>
      <c r="P50" s="2">
        <v>30</v>
      </c>
    </row>
    <row r="51" spans="1:16" ht="15" customHeight="1" x14ac:dyDescent="0.2">
      <c r="A51" s="31" t="s">
        <v>50</v>
      </c>
      <c r="B51" s="92">
        <v>2.6</v>
      </c>
      <c r="C51" s="87">
        <v>156</v>
      </c>
      <c r="D51" s="115"/>
      <c r="P51" s="2">
        <v>60</v>
      </c>
    </row>
    <row r="52" spans="1:16" ht="15" customHeight="1" x14ac:dyDescent="0.2">
      <c r="A52" s="31" t="s">
        <v>51</v>
      </c>
      <c r="B52" s="92">
        <v>2.4</v>
      </c>
      <c r="C52" s="87">
        <v>30</v>
      </c>
      <c r="D52" s="115"/>
      <c r="P52" s="2">
        <v>12.5</v>
      </c>
    </row>
    <row r="53" spans="1:16" ht="15" customHeight="1" x14ac:dyDescent="0.2">
      <c r="A53" s="31" t="s">
        <v>52</v>
      </c>
      <c r="B53" s="92">
        <v>9</v>
      </c>
      <c r="C53" s="87">
        <v>13.5</v>
      </c>
      <c r="D53" s="115"/>
      <c r="P53" s="2">
        <v>1.5</v>
      </c>
    </row>
    <row r="54" spans="1:16" ht="15" customHeight="1" x14ac:dyDescent="0.25">
      <c r="C54" s="4"/>
      <c r="D54" s="36"/>
      <c r="E54" s="35"/>
      <c r="F54"/>
    </row>
    <row r="55" spans="1:16" ht="15" customHeight="1" thickBot="1" x14ac:dyDescent="0.25"/>
    <row r="56" spans="1:16" ht="15" customHeight="1" x14ac:dyDescent="0.2">
      <c r="A56" s="386" t="s">
        <v>513</v>
      </c>
      <c r="B56" s="387"/>
      <c r="C56" s="387"/>
      <c r="D56" s="387"/>
      <c r="E56" s="387"/>
      <c r="F56" s="388"/>
    </row>
    <row r="57" spans="1:16" ht="15" customHeight="1" x14ac:dyDescent="0.2">
      <c r="A57" s="389"/>
      <c r="B57" s="390"/>
      <c r="C57" s="390"/>
      <c r="D57" s="390"/>
      <c r="E57" s="390"/>
      <c r="F57" s="391"/>
    </row>
    <row r="58" spans="1:16" ht="15" customHeight="1" thickBot="1" x14ac:dyDescent="0.25">
      <c r="A58" s="392"/>
      <c r="B58" s="393"/>
      <c r="C58" s="393"/>
      <c r="D58" s="393"/>
      <c r="E58" s="393"/>
      <c r="F58" s="394"/>
    </row>
    <row r="60" spans="1:16" ht="15" customHeight="1" x14ac:dyDescent="0.2">
      <c r="A60" s="395" t="s">
        <v>16</v>
      </c>
      <c r="B60" s="395"/>
      <c r="C60" s="395"/>
    </row>
    <row r="61" spans="1:16" ht="15" customHeight="1" x14ac:dyDescent="0.2">
      <c r="A61" s="384" t="s">
        <v>17</v>
      </c>
      <c r="B61" s="384"/>
      <c r="C61" s="34">
        <v>1600</v>
      </c>
    </row>
    <row r="62" spans="1:16" ht="15" customHeight="1" x14ac:dyDescent="0.2">
      <c r="A62" s="384" t="s">
        <v>18</v>
      </c>
      <c r="B62" s="384"/>
      <c r="C62" s="34">
        <v>280</v>
      </c>
    </row>
    <row r="63" spans="1:16" ht="15" customHeight="1" x14ac:dyDescent="0.2">
      <c r="A63" s="384" t="s">
        <v>19</v>
      </c>
      <c r="B63" s="384"/>
      <c r="C63" s="93">
        <v>6</v>
      </c>
    </row>
    <row r="64" spans="1:16" ht="15" customHeight="1" x14ac:dyDescent="0.2">
      <c r="A64" s="385" t="s">
        <v>20</v>
      </c>
      <c r="B64" s="385"/>
      <c r="C64" s="85"/>
      <c r="L64" s="306" t="s">
        <v>900</v>
      </c>
      <c r="M64" s="220" t="s">
        <v>732</v>
      </c>
      <c r="P64" s="2">
        <v>220</v>
      </c>
    </row>
  </sheetData>
  <sheetProtection sheet="1" objects="1" scenarios="1" formatCells="0"/>
  <protectedRanges>
    <protectedRange sqref="C64 C8:F12 D21:D30 D39:D44 D48:D53" name="Bereich1"/>
  </protectedRanges>
  <mergeCells count="13">
    <mergeCell ref="A46:D46"/>
    <mergeCell ref="A60:C60"/>
    <mergeCell ref="A15:F17"/>
    <mergeCell ref="A2:F4"/>
    <mergeCell ref="A6:F6"/>
    <mergeCell ref="A19:D19"/>
    <mergeCell ref="A33:F35"/>
    <mergeCell ref="A37:D37"/>
    <mergeCell ref="A62:B62"/>
    <mergeCell ref="A63:B63"/>
    <mergeCell ref="A64:B64"/>
    <mergeCell ref="A56:F58"/>
    <mergeCell ref="A61:B61"/>
  </mergeCells>
  <conditionalFormatting sqref="C8:F12">
    <cfRule type="expression" dxfId="257" priority="6">
      <formula>AND(C8&lt;&gt;"",C8&lt;&gt;P8)</formula>
    </cfRule>
    <cfRule type="expression" dxfId="256" priority="7">
      <formula>AND(C8&lt;&gt;"",C8=P8)</formula>
    </cfRule>
  </conditionalFormatting>
  <conditionalFormatting sqref="D21:D30 D39:D44">
    <cfRule type="expression" dxfId="255" priority="4">
      <formula>AND(D21&lt;&gt;"",D21&lt;&gt;P21)</formula>
    </cfRule>
    <cfRule type="expression" dxfId="254" priority="5">
      <formula>AND(D21&lt;&gt;"",D21=P21)</formula>
    </cfRule>
  </conditionalFormatting>
  <conditionalFormatting sqref="C64">
    <cfRule type="expression" dxfId="253" priority="8">
      <formula>AND(C64&lt;&gt;"",C64=P64)</formula>
    </cfRule>
    <cfRule type="expression" dxfId="252" priority="9">
      <formula>AND(C64&lt;&gt;"",C64&lt;&gt;P64)</formula>
    </cfRule>
  </conditionalFormatting>
  <conditionalFormatting sqref="F8:F12">
    <cfRule type="containsErrors" dxfId="251" priority="1">
      <formula>ISERROR(F8)</formula>
    </cfRule>
  </conditionalFormatting>
  <conditionalFormatting sqref="D48:D53">
    <cfRule type="expression" dxfId="250" priority="37">
      <formula>AND(D48&lt;&gt;"",D48&lt;&gt;P48)</formula>
    </cfRule>
    <cfRule type="expression" dxfId="249" priority="38">
      <formula>AND(D48&lt;&gt;"",D48=P48)</formula>
    </cfRule>
  </conditionalFormatting>
  <hyperlinks>
    <hyperlink ref="M2" location="Übersicht!A1" display="Zur Übersicht" xr:uid="{00000000-0004-0000-0100-000000000000}"/>
    <hyperlink ref="M19" location="Übersicht!A1" display="Zur Übersicht" xr:uid="{00000000-0004-0000-0100-000001000000}"/>
    <hyperlink ref="M37" location="Übersicht!A1" display="Zur Übersicht" xr:uid="{00000000-0004-0000-0100-000002000000}"/>
    <hyperlink ref="M64" location="Übersicht!A1" display="Zur Übersicht" xr:uid="{00000000-0004-0000-0100-000003000000}"/>
  </hyperlinks>
  <pageMargins left="0.25" right="0.25" top="0.75" bottom="0.75" header="0.3" footer="0.3"/>
  <pageSetup paperSize="9" orientation="landscape"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tabColor theme="0" tint="-0.499984740745262"/>
  </sheetPr>
  <dimension ref="A1:T64"/>
  <sheetViews>
    <sheetView showGridLines="0" zoomScaleNormal="100" zoomScalePageLayoutView="130" workbookViewId="0">
      <selection activeCell="M60" sqref="M60"/>
    </sheetView>
  </sheetViews>
  <sheetFormatPr baseColWidth="10" defaultColWidth="11.42578125" defaultRowHeight="15" customHeight="1" x14ac:dyDescent="0.2"/>
  <cols>
    <col min="1" max="6" width="15.5703125" style="2" customWidth="1"/>
    <col min="7" max="7" width="15.28515625" style="2" bestFit="1" customWidth="1"/>
    <col min="8" max="8" width="16.5703125" style="2" customWidth="1"/>
    <col min="9" max="9" width="16.5703125" style="2" bestFit="1" customWidth="1"/>
    <col min="10" max="11" width="16.5703125" style="2" customWidth="1"/>
    <col min="12" max="12" width="11.42578125" style="2"/>
    <col min="13" max="13" width="13.5703125" style="2" customWidth="1"/>
    <col min="14" max="15" width="11.42578125" style="2"/>
    <col min="16" max="20" width="11.42578125" style="2" hidden="1" customWidth="1"/>
    <col min="21" max="16384" width="11.42578125" style="2"/>
  </cols>
  <sheetData>
    <row r="1" spans="1:16" ht="15" customHeight="1" thickBot="1" x14ac:dyDescent="0.25"/>
    <row r="2" spans="1:16" ht="15" customHeight="1" x14ac:dyDescent="0.2">
      <c r="A2" s="386" t="s">
        <v>737</v>
      </c>
      <c r="B2" s="387"/>
      <c r="C2" s="387"/>
      <c r="D2" s="387"/>
      <c r="E2" s="387"/>
      <c r="F2" s="387"/>
      <c r="G2" s="387"/>
      <c r="H2" s="387"/>
      <c r="I2" s="388"/>
      <c r="L2" s="306" t="s">
        <v>900</v>
      </c>
      <c r="M2" s="220" t="s">
        <v>732</v>
      </c>
    </row>
    <row r="3" spans="1:16" ht="15" customHeight="1" thickBot="1" x14ac:dyDescent="0.25">
      <c r="A3" s="392"/>
      <c r="B3" s="393"/>
      <c r="C3" s="393"/>
      <c r="D3" s="393"/>
      <c r="E3" s="393"/>
      <c r="F3" s="393"/>
      <c r="G3" s="393"/>
      <c r="H3" s="393"/>
      <c r="I3" s="394"/>
    </row>
    <row r="5" spans="1:16" ht="15" customHeight="1" x14ac:dyDescent="0.2">
      <c r="A5" s="395" t="s">
        <v>5</v>
      </c>
      <c r="B5" s="395"/>
      <c r="C5" s="395"/>
      <c r="D5" s="395"/>
    </row>
    <row r="6" spans="1:16" ht="15" customHeight="1" x14ac:dyDescent="0.2">
      <c r="A6" s="116" t="s">
        <v>6</v>
      </c>
      <c r="B6" s="117" t="s">
        <v>7</v>
      </c>
      <c r="C6" s="117" t="s">
        <v>8</v>
      </c>
      <c r="D6" s="117" t="s">
        <v>9</v>
      </c>
    </row>
    <row r="7" spans="1:16" ht="15" customHeight="1" x14ac:dyDescent="0.2">
      <c r="A7" s="31" t="s">
        <v>10</v>
      </c>
      <c r="B7" s="34">
        <v>30</v>
      </c>
      <c r="C7" s="31">
        <v>18</v>
      </c>
      <c r="D7" s="82"/>
      <c r="P7" s="2">
        <v>540</v>
      </c>
    </row>
    <row r="8" spans="1:16" ht="15" customHeight="1" x14ac:dyDescent="0.2">
      <c r="A8" s="31" t="s">
        <v>11</v>
      </c>
      <c r="B8" s="34">
        <v>28</v>
      </c>
      <c r="C8" s="31">
        <v>60</v>
      </c>
      <c r="D8" s="82"/>
      <c r="P8" s="2">
        <v>1680</v>
      </c>
    </row>
    <row r="9" spans="1:16" ht="15" customHeight="1" x14ac:dyDescent="0.2">
      <c r="A9" s="31" t="s">
        <v>12</v>
      </c>
      <c r="B9" s="34">
        <v>24</v>
      </c>
      <c r="C9" s="31">
        <v>57</v>
      </c>
      <c r="D9" s="82"/>
      <c r="P9" s="2">
        <v>1368</v>
      </c>
    </row>
    <row r="10" spans="1:16" ht="15" customHeight="1" x14ac:dyDescent="0.2">
      <c r="A10" s="31" t="s">
        <v>13</v>
      </c>
      <c r="B10" s="34">
        <v>15</v>
      </c>
      <c r="C10" s="31">
        <v>49</v>
      </c>
      <c r="D10" s="82"/>
      <c r="P10" s="2">
        <v>735</v>
      </c>
    </row>
    <row r="11" spans="1:16" ht="15" customHeight="1" x14ac:dyDescent="0.2">
      <c r="A11" s="31" t="s">
        <v>14</v>
      </c>
      <c r="B11" s="34">
        <v>7</v>
      </c>
      <c r="C11" s="31">
        <v>36</v>
      </c>
      <c r="D11" s="82"/>
      <c r="P11" s="2">
        <v>252</v>
      </c>
    </row>
    <row r="12" spans="1:16" ht="15" customHeight="1" x14ac:dyDescent="0.2">
      <c r="A12" s="402" t="s">
        <v>15</v>
      </c>
      <c r="B12" s="402"/>
      <c r="C12" s="402"/>
      <c r="D12" s="83"/>
      <c r="P12" s="2">
        <v>4575</v>
      </c>
    </row>
    <row r="13" spans="1:16" ht="15" customHeight="1" x14ac:dyDescent="0.2">
      <c r="A13" s="38"/>
      <c r="B13" s="38"/>
      <c r="C13" s="38"/>
      <c r="D13" s="38"/>
    </row>
    <row r="14" spans="1:16" ht="15" customHeight="1" x14ac:dyDescent="0.2">
      <c r="A14" s="38"/>
      <c r="B14" s="38"/>
      <c r="C14" s="38"/>
      <c r="D14" s="38"/>
    </row>
    <row r="15" spans="1:16" ht="15" customHeight="1" x14ac:dyDescent="0.2">
      <c r="A15" s="395" t="s">
        <v>90</v>
      </c>
      <c r="B15" s="395"/>
      <c r="C15" s="395"/>
      <c r="D15" s="395"/>
      <c r="E15" s="395"/>
      <c r="F15" s="395"/>
      <c r="L15" s="306" t="s">
        <v>900</v>
      </c>
      <c r="M15" s="220" t="s">
        <v>732</v>
      </c>
    </row>
    <row r="16" spans="1:16" ht="15" customHeight="1" x14ac:dyDescent="0.2">
      <c r="A16" s="116" t="s">
        <v>22</v>
      </c>
      <c r="B16" s="117" t="s">
        <v>96</v>
      </c>
      <c r="C16" s="332">
        <v>0.19</v>
      </c>
      <c r="D16" s="117" t="s">
        <v>8</v>
      </c>
      <c r="E16" s="117" t="s">
        <v>91</v>
      </c>
      <c r="F16" s="117" t="s">
        <v>92</v>
      </c>
    </row>
    <row r="17" spans="1:18" ht="15" customHeight="1" x14ac:dyDescent="0.2">
      <c r="A17" s="81" t="s">
        <v>93</v>
      </c>
      <c r="B17" s="13">
        <v>690</v>
      </c>
      <c r="C17" s="115"/>
      <c r="D17" s="31">
        <v>3</v>
      </c>
      <c r="E17" s="115"/>
      <c r="F17" s="115"/>
      <c r="P17" s="2">
        <f>B17*$C$16</f>
        <v>131.1</v>
      </c>
      <c r="Q17" s="2">
        <f>B17*D17</f>
        <v>2070</v>
      </c>
      <c r="R17" s="2">
        <f>(B17+P17)*D17</f>
        <v>2463.3000000000002</v>
      </c>
    </row>
    <row r="18" spans="1:18" ht="15" customHeight="1" x14ac:dyDescent="0.2">
      <c r="A18" s="81" t="s">
        <v>94</v>
      </c>
      <c r="B18" s="13">
        <v>540</v>
      </c>
      <c r="C18" s="115"/>
      <c r="D18" s="31">
        <v>4</v>
      </c>
      <c r="E18" s="115"/>
      <c r="F18" s="115"/>
      <c r="P18" s="2">
        <f t="shared" ref="P18:P19" si="0">B18*$C$16</f>
        <v>102.6</v>
      </c>
      <c r="Q18" s="2">
        <f t="shared" ref="Q18:Q19" si="1">B18*D18</f>
        <v>2160</v>
      </c>
      <c r="R18" s="2">
        <f t="shared" ref="R18:R19" si="2">(B18+P18)*D18</f>
        <v>2570.4</v>
      </c>
    </row>
    <row r="19" spans="1:18" ht="15" customHeight="1" x14ac:dyDescent="0.2">
      <c r="A19" s="81" t="s">
        <v>95</v>
      </c>
      <c r="B19" s="13">
        <v>180</v>
      </c>
      <c r="C19" s="115"/>
      <c r="D19" s="31">
        <v>4</v>
      </c>
      <c r="E19" s="115"/>
      <c r="F19" s="115"/>
      <c r="H19" s="38"/>
      <c r="I19" s="38"/>
      <c r="J19" s="28"/>
      <c r="P19" s="2">
        <f t="shared" si="0"/>
        <v>34.200000000000003</v>
      </c>
      <c r="Q19" s="2">
        <f t="shared" si="1"/>
        <v>720</v>
      </c>
      <c r="R19" s="2">
        <f t="shared" si="2"/>
        <v>856.8</v>
      </c>
    </row>
    <row r="20" spans="1:18" ht="15" customHeight="1" x14ac:dyDescent="0.25">
      <c r="A20" s="385" t="s">
        <v>15</v>
      </c>
      <c r="B20" s="385"/>
      <c r="C20" s="385"/>
      <c r="D20" s="385"/>
      <c r="E20" s="83"/>
      <c r="F20" s="83"/>
      <c r="G20"/>
      <c r="Q20" s="2">
        <f>SUM(Q17:Q19)</f>
        <v>4950</v>
      </c>
      <c r="R20" s="2">
        <f>SUM(R17:R19)</f>
        <v>5890.5000000000009</v>
      </c>
    </row>
    <row r="21" spans="1:18" ht="15" customHeight="1" x14ac:dyDescent="0.25">
      <c r="G21"/>
    </row>
    <row r="22" spans="1:18" ht="15" customHeight="1" x14ac:dyDescent="0.25">
      <c r="G22"/>
    </row>
    <row r="23" spans="1:18" ht="15" customHeight="1" x14ac:dyDescent="0.25">
      <c r="A23" s="403">
        <v>0.3</v>
      </c>
      <c r="B23" s="403"/>
      <c r="C23" s="403"/>
      <c r="G23"/>
    </row>
    <row r="24" spans="1:18" ht="15" customHeight="1" x14ac:dyDescent="0.25">
      <c r="A24" s="116" t="s">
        <v>22</v>
      </c>
      <c r="B24" s="117" t="s">
        <v>658</v>
      </c>
      <c r="C24" s="117" t="s">
        <v>659</v>
      </c>
      <c r="G24"/>
    </row>
    <row r="25" spans="1:18" ht="15" customHeight="1" x14ac:dyDescent="0.25">
      <c r="A25" s="31" t="s">
        <v>74</v>
      </c>
      <c r="B25" s="34">
        <v>59</v>
      </c>
      <c r="C25" s="170"/>
      <c r="G25"/>
      <c r="P25" s="2">
        <f>B25-(B25*$A$23)</f>
        <v>41.3</v>
      </c>
    </row>
    <row r="26" spans="1:18" ht="15" customHeight="1" x14ac:dyDescent="0.25">
      <c r="A26" s="31" t="s">
        <v>75</v>
      </c>
      <c r="B26" s="34">
        <v>79</v>
      </c>
      <c r="C26" s="170"/>
      <c r="G26"/>
      <c r="P26" s="2">
        <f t="shared" ref="P26:P31" si="3">B26-(B26*$A$23)</f>
        <v>55.3</v>
      </c>
    </row>
    <row r="27" spans="1:18" ht="15" customHeight="1" x14ac:dyDescent="0.2">
      <c r="A27" s="31" t="s">
        <v>76</v>
      </c>
      <c r="B27" s="34">
        <v>49</v>
      </c>
      <c r="C27" s="170"/>
      <c r="D27" s="38"/>
      <c r="E27" s="38"/>
      <c r="F27" s="38"/>
      <c r="P27" s="2">
        <f t="shared" si="3"/>
        <v>34.299999999999997</v>
      </c>
    </row>
    <row r="28" spans="1:18" ht="15" customHeight="1" x14ac:dyDescent="0.2">
      <c r="A28" s="31" t="s">
        <v>77</v>
      </c>
      <c r="B28" s="34">
        <v>99</v>
      </c>
      <c r="C28" s="170"/>
      <c r="P28" s="2">
        <f t="shared" si="3"/>
        <v>69.3</v>
      </c>
    </row>
    <row r="29" spans="1:18" ht="15" customHeight="1" x14ac:dyDescent="0.2">
      <c r="A29" s="31" t="s">
        <v>78</v>
      </c>
      <c r="B29" s="34">
        <v>149</v>
      </c>
      <c r="C29" s="170"/>
      <c r="P29" s="2">
        <f t="shared" si="3"/>
        <v>104.30000000000001</v>
      </c>
    </row>
    <row r="30" spans="1:18" ht="15" customHeight="1" x14ac:dyDescent="0.2">
      <c r="A30" s="31" t="s">
        <v>79</v>
      </c>
      <c r="B30" s="34">
        <v>29</v>
      </c>
      <c r="C30" s="170"/>
      <c r="P30" s="2">
        <f t="shared" si="3"/>
        <v>20.3</v>
      </c>
    </row>
    <row r="31" spans="1:18" ht="15" customHeight="1" x14ac:dyDescent="0.2">
      <c r="A31" s="31" t="s">
        <v>80</v>
      </c>
      <c r="B31" s="34">
        <v>289</v>
      </c>
      <c r="C31" s="170"/>
      <c r="P31" s="2">
        <f t="shared" si="3"/>
        <v>202.3</v>
      </c>
    </row>
    <row r="34" spans="1:20" ht="15" customHeight="1" x14ac:dyDescent="0.2">
      <c r="A34" s="395" t="s">
        <v>53</v>
      </c>
      <c r="B34" s="395"/>
      <c r="C34" s="395"/>
      <c r="D34" s="4"/>
      <c r="E34" s="395" t="s">
        <v>9</v>
      </c>
      <c r="F34" s="395"/>
      <c r="G34" s="395"/>
      <c r="H34" s="395"/>
      <c r="I34" s="395"/>
    </row>
    <row r="35" spans="1:20" ht="15" customHeight="1" x14ac:dyDescent="0.2">
      <c r="A35" s="116" t="s">
        <v>54</v>
      </c>
      <c r="B35" s="117" t="s">
        <v>55</v>
      </c>
      <c r="C35" s="117" t="s">
        <v>56</v>
      </c>
      <c r="D35" s="4"/>
      <c r="E35" s="116" t="s">
        <v>54</v>
      </c>
      <c r="F35" s="117" t="s">
        <v>59</v>
      </c>
      <c r="G35" s="117" t="s">
        <v>60</v>
      </c>
      <c r="H35" s="117" t="s">
        <v>61</v>
      </c>
      <c r="I35" s="117" t="s">
        <v>62</v>
      </c>
    </row>
    <row r="36" spans="1:20" ht="15" customHeight="1" x14ac:dyDescent="0.2">
      <c r="A36" s="84">
        <f ca="1">DATE(YEAR(TODAY()),1,2)</f>
        <v>45659</v>
      </c>
      <c r="B36" s="31" t="s">
        <v>37</v>
      </c>
      <c r="C36" s="34">
        <v>360</v>
      </c>
      <c r="D36" s="4"/>
      <c r="E36" s="84">
        <f ca="1">DATE(YEAR(TODAY()),1,3)</f>
        <v>45660</v>
      </c>
      <c r="F36" s="31" t="s">
        <v>63</v>
      </c>
      <c r="G36" s="34">
        <v>15</v>
      </c>
      <c r="H36" s="86">
        <v>6</v>
      </c>
      <c r="I36" s="82"/>
      <c r="Q36" s="2">
        <f>G36*H36</f>
        <v>90</v>
      </c>
    </row>
    <row r="37" spans="1:20" ht="15" customHeight="1" x14ac:dyDescent="0.2">
      <c r="A37" s="84">
        <f ca="1">DATE(YEAR(TODAY()),1,6)</f>
        <v>45663</v>
      </c>
      <c r="B37" s="31" t="s">
        <v>57</v>
      </c>
      <c r="C37" s="34">
        <v>28</v>
      </c>
      <c r="D37" s="4"/>
      <c r="E37" s="84">
        <f ca="1">DATE(YEAR(TODAY()),1,11)</f>
        <v>45668</v>
      </c>
      <c r="F37" s="31" t="s">
        <v>64</v>
      </c>
      <c r="G37" s="34">
        <v>12.5</v>
      </c>
      <c r="H37" s="86">
        <v>7</v>
      </c>
      <c r="I37" s="82"/>
      <c r="Q37" s="2">
        <f t="shared" ref="Q37:Q38" si="4">G37*H37</f>
        <v>87.5</v>
      </c>
    </row>
    <row r="38" spans="1:20" ht="15" customHeight="1" x14ac:dyDescent="0.2">
      <c r="A38" s="84">
        <f ca="1">DATE(YEAR(TODAY()),1,9)</f>
        <v>45666</v>
      </c>
      <c r="B38" s="31" t="s">
        <v>58</v>
      </c>
      <c r="C38" s="34">
        <v>53</v>
      </c>
      <c r="D38" s="4"/>
      <c r="E38" s="84">
        <f ca="1">DATE(YEAR(TODAY()),1,17)</f>
        <v>45674</v>
      </c>
      <c r="F38" s="31" t="s">
        <v>63</v>
      </c>
      <c r="G38" s="34">
        <v>15</v>
      </c>
      <c r="H38" s="86">
        <v>9</v>
      </c>
      <c r="I38" s="82"/>
      <c r="Q38" s="2">
        <f t="shared" si="4"/>
        <v>135</v>
      </c>
    </row>
    <row r="39" spans="1:20" ht="15" customHeight="1" x14ac:dyDescent="0.2">
      <c r="A39" s="404" t="s">
        <v>515</v>
      </c>
      <c r="B39" s="404"/>
      <c r="C39" s="85"/>
      <c r="D39" s="4"/>
      <c r="E39" s="404" t="s">
        <v>517</v>
      </c>
      <c r="F39" s="404"/>
      <c r="G39" s="404"/>
      <c r="H39" s="404"/>
      <c r="I39" s="85"/>
      <c r="P39" s="2">
        <f>SUM(C36:C38)</f>
        <v>441</v>
      </c>
      <c r="Q39" s="2">
        <f>SUM(Q36:Q38)</f>
        <v>312.5</v>
      </c>
    </row>
    <row r="40" spans="1:20" customFormat="1" ht="15" customHeight="1" x14ac:dyDescent="0.25">
      <c r="E40" s="2"/>
      <c r="F40" s="2"/>
      <c r="G40" s="2"/>
      <c r="H40" s="2"/>
      <c r="I40" s="2"/>
    </row>
    <row r="41" spans="1:20" ht="15" customHeight="1" x14ac:dyDescent="0.2">
      <c r="A41" s="405" t="s">
        <v>516</v>
      </c>
      <c r="B41" s="405"/>
      <c r="C41" s="405"/>
      <c r="D41" s="405"/>
      <c r="E41" s="405"/>
      <c r="F41" s="405"/>
      <c r="G41" s="405"/>
      <c r="H41" s="405"/>
      <c r="I41" s="85"/>
      <c r="Q41" s="2">
        <f>Q39-P39</f>
        <v>-128.5</v>
      </c>
    </row>
    <row r="44" spans="1:20" ht="15" customHeight="1" x14ac:dyDescent="0.2">
      <c r="A44" s="395" t="s">
        <v>37</v>
      </c>
      <c r="B44" s="395"/>
      <c r="C44" s="395"/>
      <c r="E44" s="399" t="s">
        <v>794</v>
      </c>
      <c r="F44" s="400"/>
      <c r="G44" s="400"/>
      <c r="H44" s="400"/>
      <c r="I44" s="400"/>
      <c r="J44" s="400"/>
      <c r="K44" s="401"/>
      <c r="L44" s="306" t="s">
        <v>900</v>
      </c>
      <c r="M44" s="220" t="s">
        <v>732</v>
      </c>
    </row>
    <row r="45" spans="1:20" ht="15" customHeight="1" x14ac:dyDescent="0.2">
      <c r="A45" s="333"/>
      <c r="B45" s="117" t="s">
        <v>68</v>
      </c>
      <c r="C45" s="117" t="s">
        <v>69</v>
      </c>
      <c r="E45" s="116" t="s">
        <v>327</v>
      </c>
      <c r="F45" s="117" t="s">
        <v>232</v>
      </c>
      <c r="G45" s="117" t="s">
        <v>795</v>
      </c>
      <c r="H45" s="156" t="s">
        <v>801</v>
      </c>
      <c r="I45" s="117" t="s">
        <v>796</v>
      </c>
      <c r="J45" s="117" t="s">
        <v>800</v>
      </c>
      <c r="K45" s="117" t="s">
        <v>802</v>
      </c>
    </row>
    <row r="46" spans="1:20" ht="15" customHeight="1" x14ac:dyDescent="0.2">
      <c r="A46" s="31" t="s">
        <v>70</v>
      </c>
      <c r="B46" s="87">
        <v>780</v>
      </c>
      <c r="C46" s="82"/>
      <c r="E46" s="84" t="s">
        <v>797</v>
      </c>
      <c r="F46" s="212">
        <v>417.4</v>
      </c>
      <c r="G46" s="34">
        <v>385</v>
      </c>
      <c r="H46" s="169"/>
      <c r="I46" s="213">
        <v>380</v>
      </c>
      <c r="J46" s="214"/>
      <c r="K46" s="214"/>
      <c r="Q46" s="2">
        <f>B46*12</f>
        <v>9360</v>
      </c>
      <c r="R46" s="2">
        <v>-7.762338284619065E-2</v>
      </c>
      <c r="S46" s="2">
        <v>-8.9602299952084283E-2</v>
      </c>
      <c r="T46" s="2">
        <v>-1.2987012987012988E-2</v>
      </c>
    </row>
    <row r="47" spans="1:20" ht="15" customHeight="1" x14ac:dyDescent="0.2">
      <c r="A47" s="31" t="s">
        <v>71</v>
      </c>
      <c r="B47" s="87">
        <v>570</v>
      </c>
      <c r="C47" s="82"/>
      <c r="E47" s="84" t="s">
        <v>798</v>
      </c>
      <c r="F47" s="212">
        <v>689.6</v>
      </c>
      <c r="G47" s="34">
        <v>700</v>
      </c>
      <c r="H47" s="169"/>
      <c r="I47" s="213">
        <v>710</v>
      </c>
      <c r="J47" s="214"/>
      <c r="K47" s="214"/>
      <c r="Q47" s="2">
        <f>B47*12</f>
        <v>6840</v>
      </c>
      <c r="R47" s="2">
        <v>1.5081206496519688E-2</v>
      </c>
      <c r="S47" s="2">
        <v>2.9582366589327114E-2</v>
      </c>
      <c r="T47" s="2">
        <v>1.4285714285714285E-2</v>
      </c>
    </row>
    <row r="48" spans="1:20" ht="15" customHeight="1" x14ac:dyDescent="0.2">
      <c r="A48" s="31" t="s">
        <v>72</v>
      </c>
      <c r="B48" s="87">
        <v>200</v>
      </c>
      <c r="C48" s="82"/>
      <c r="E48" s="84" t="s">
        <v>799</v>
      </c>
      <c r="F48" s="212">
        <v>1109.75</v>
      </c>
      <c r="G48" s="34">
        <v>1100</v>
      </c>
      <c r="H48" s="169"/>
      <c r="I48" s="213">
        <v>1200</v>
      </c>
      <c r="J48" s="214"/>
      <c r="K48" s="214"/>
      <c r="Q48" s="2">
        <f>B48*12</f>
        <v>2400</v>
      </c>
      <c r="R48" s="2">
        <v>-8.7857625591349405E-3</v>
      </c>
      <c r="S48" s="2">
        <v>8.1324622662761886E-2</v>
      </c>
      <c r="T48" s="2">
        <v>9.0909090909090912E-2</v>
      </c>
    </row>
    <row r="49" spans="1:18" ht="15" customHeight="1" thickBot="1" x14ac:dyDescent="0.3">
      <c r="A49" s="31" t="s">
        <v>73</v>
      </c>
      <c r="B49" s="87">
        <v>90</v>
      </c>
      <c r="C49" s="82"/>
      <c r="E49"/>
      <c r="F49"/>
      <c r="G49"/>
      <c r="H49"/>
      <c r="I49"/>
      <c r="Q49" s="2">
        <f>B49*12</f>
        <v>1080</v>
      </c>
    </row>
    <row r="50" spans="1:18" ht="15" customHeight="1" x14ac:dyDescent="0.2">
      <c r="A50" s="80" t="s">
        <v>15</v>
      </c>
      <c r="B50" s="85"/>
      <c r="C50" s="85"/>
      <c r="E50" s="386" t="s">
        <v>803</v>
      </c>
      <c r="F50" s="387"/>
      <c r="G50" s="387"/>
      <c r="H50" s="387"/>
      <c r="I50" s="387"/>
      <c r="J50" s="387"/>
      <c r="K50" s="388"/>
      <c r="P50" s="2">
        <f>SUM(B46:B49)</f>
        <v>1640</v>
      </c>
      <c r="Q50" s="2">
        <f>SUM(Q46:Q49)</f>
        <v>19680</v>
      </c>
    </row>
    <row r="51" spans="1:18" ht="15" customHeight="1" thickBot="1" x14ac:dyDescent="0.25">
      <c r="E51" s="392"/>
      <c r="F51" s="393"/>
      <c r="G51" s="393"/>
      <c r="H51" s="393"/>
      <c r="I51" s="393"/>
      <c r="J51" s="393"/>
      <c r="K51" s="394"/>
    </row>
    <row r="53" spans="1:18" ht="15" customHeight="1" x14ac:dyDescent="0.2">
      <c r="A53" s="395" t="s">
        <v>82</v>
      </c>
      <c r="B53" s="395"/>
      <c r="C53" s="395"/>
      <c r="D53" s="395"/>
      <c r="F53" s="395" t="s">
        <v>804</v>
      </c>
      <c r="G53" s="395"/>
      <c r="H53" s="395"/>
      <c r="I53" s="395"/>
    </row>
    <row r="54" spans="1:18" ht="15" customHeight="1" x14ac:dyDescent="0.2">
      <c r="A54" s="116" t="s">
        <v>83</v>
      </c>
      <c r="B54" s="117" t="s">
        <v>84</v>
      </c>
      <c r="C54" s="117" t="s">
        <v>85</v>
      </c>
      <c r="D54" s="117" t="s">
        <v>1</v>
      </c>
      <c r="F54" s="116" t="s">
        <v>83</v>
      </c>
      <c r="G54" s="117" t="s">
        <v>84</v>
      </c>
      <c r="H54" s="117" t="s">
        <v>85</v>
      </c>
      <c r="I54" s="117" t="s">
        <v>1</v>
      </c>
    </row>
    <row r="55" spans="1:18" ht="15" customHeight="1" x14ac:dyDescent="0.2">
      <c r="A55" s="27" t="s">
        <v>86</v>
      </c>
      <c r="B55" s="32">
        <v>60</v>
      </c>
      <c r="C55" s="89">
        <v>6</v>
      </c>
      <c r="D55" s="138"/>
      <c r="F55" s="27" t="s">
        <v>86</v>
      </c>
      <c r="G55" s="32">
        <v>60</v>
      </c>
      <c r="H55" s="216">
        <v>0.25</v>
      </c>
      <c r="I55" s="138"/>
      <c r="Q55" s="2">
        <f>B55*C55</f>
        <v>360</v>
      </c>
    </row>
    <row r="56" spans="1:18" ht="15" customHeight="1" x14ac:dyDescent="0.2">
      <c r="A56" s="27" t="s">
        <v>87</v>
      </c>
      <c r="B56" s="32">
        <v>50</v>
      </c>
      <c r="C56" s="89">
        <v>8</v>
      </c>
      <c r="D56" s="138"/>
      <c r="F56" s="27" t="s">
        <v>87</v>
      </c>
      <c r="G56" s="32">
        <v>50</v>
      </c>
      <c r="H56" s="216">
        <v>0.33333333333333331</v>
      </c>
      <c r="I56" s="138"/>
      <c r="Q56" s="2">
        <f>B56*C56</f>
        <v>400</v>
      </c>
    </row>
    <row r="57" spans="1:18" ht="15" customHeight="1" x14ac:dyDescent="0.2">
      <c r="A57" s="27" t="s">
        <v>88</v>
      </c>
      <c r="B57" s="32">
        <v>50</v>
      </c>
      <c r="C57" s="89">
        <v>5.5</v>
      </c>
      <c r="D57" s="138"/>
      <c r="F57" s="27" t="s">
        <v>88</v>
      </c>
      <c r="G57" s="32">
        <v>50</v>
      </c>
      <c r="H57" s="216">
        <v>0.22916666666666666</v>
      </c>
      <c r="I57" s="138"/>
      <c r="Q57" s="2">
        <f>B57*C57</f>
        <v>275</v>
      </c>
    </row>
    <row r="58" spans="1:18" ht="15" customHeight="1" x14ac:dyDescent="0.2">
      <c r="A58" s="27" t="s">
        <v>89</v>
      </c>
      <c r="B58" s="32">
        <v>80</v>
      </c>
      <c r="C58" s="89">
        <v>16</v>
      </c>
      <c r="D58" s="138"/>
      <c r="F58" s="27" t="s">
        <v>89</v>
      </c>
      <c r="G58" s="32">
        <v>80</v>
      </c>
      <c r="H58" s="216">
        <v>0.66666666666666663</v>
      </c>
      <c r="I58" s="138"/>
      <c r="Q58" s="2">
        <f>B58*C58</f>
        <v>1280</v>
      </c>
    </row>
    <row r="59" spans="1:18" ht="15" customHeight="1" x14ac:dyDescent="0.2">
      <c r="B59" s="80" t="s">
        <v>15</v>
      </c>
      <c r="C59" s="171"/>
      <c r="D59" s="215"/>
      <c r="G59" s="80" t="s">
        <v>15</v>
      </c>
      <c r="H59" s="218"/>
      <c r="I59" s="215"/>
      <c r="P59" s="70">
        <f>SUM(C55:C58)</f>
        <v>35.5</v>
      </c>
      <c r="Q59" s="2">
        <f>SUM(Q55:Q58)</f>
        <v>2315</v>
      </c>
      <c r="R59" s="219">
        <v>1.4791666666666667</v>
      </c>
    </row>
    <row r="60" spans="1:18" ht="15" customHeight="1" x14ac:dyDescent="0.2">
      <c r="B60" s="80" t="s">
        <v>518</v>
      </c>
      <c r="C60" s="91">
        <v>0.19</v>
      </c>
      <c r="D60" s="138"/>
      <c r="G60" s="80" t="s">
        <v>518</v>
      </c>
      <c r="H60" s="217">
        <v>19</v>
      </c>
      <c r="I60" s="138"/>
      <c r="Q60" s="2">
        <f>Q59*C60</f>
        <v>439.85</v>
      </c>
    </row>
    <row r="61" spans="1:18" ht="15" customHeight="1" x14ac:dyDescent="0.2">
      <c r="C61" s="80" t="s">
        <v>56</v>
      </c>
      <c r="D61" s="172"/>
      <c r="H61" s="80" t="s">
        <v>56</v>
      </c>
      <c r="I61" s="172"/>
      <c r="Q61" s="2">
        <f>Q59+Q60</f>
        <v>2754.85</v>
      </c>
    </row>
    <row r="62" spans="1:18" ht="15" customHeight="1" thickBot="1" x14ac:dyDescent="0.25"/>
    <row r="63" spans="1:18" ht="15" customHeight="1" x14ac:dyDescent="0.2">
      <c r="F63" s="386" t="s">
        <v>805</v>
      </c>
      <c r="G63" s="387"/>
      <c r="H63" s="387"/>
      <c r="I63" s="388"/>
    </row>
    <row r="64" spans="1:18" ht="15" customHeight="1" thickBot="1" x14ac:dyDescent="0.25">
      <c r="F64" s="392"/>
      <c r="G64" s="393"/>
      <c r="H64" s="393"/>
      <c r="I64" s="394"/>
    </row>
  </sheetData>
  <sheetProtection sheet="1" objects="1" scenarios="1" formatCells="0"/>
  <protectedRanges>
    <protectedRange sqref="D7:D12 C17:C19 E17:F20 C25:C31 I41 C39 C46:C50 B50 D55:D61 C59 I36:I39 I49 J46:J48 H59 I55:I61" name="Bereich1"/>
  </protectedRanges>
  <mergeCells count="17">
    <mergeCell ref="E50:K51"/>
    <mergeCell ref="E44:K44"/>
    <mergeCell ref="F53:I53"/>
    <mergeCell ref="F63:I64"/>
    <mergeCell ref="A2:I3"/>
    <mergeCell ref="A12:C12"/>
    <mergeCell ref="A20:D20"/>
    <mergeCell ref="A15:F15"/>
    <mergeCell ref="A23:C23"/>
    <mergeCell ref="A5:D5"/>
    <mergeCell ref="A53:D53"/>
    <mergeCell ref="A39:B39"/>
    <mergeCell ref="A34:C34"/>
    <mergeCell ref="E39:H39"/>
    <mergeCell ref="A41:H41"/>
    <mergeCell ref="A44:C44"/>
    <mergeCell ref="E34:I34"/>
  </mergeCells>
  <conditionalFormatting sqref="D7:D12">
    <cfRule type="expression" dxfId="248" priority="34">
      <formula>AND(D7&lt;&gt;"",D7&lt;&gt;P7)</formula>
    </cfRule>
    <cfRule type="expression" dxfId="247" priority="35">
      <formula>AND(D7&lt;&gt;"",D7=P7)</formula>
    </cfRule>
  </conditionalFormatting>
  <conditionalFormatting sqref="C17:C19">
    <cfRule type="expression" dxfId="246" priority="32">
      <formula>AND(C17&lt;&gt;"",C17&lt;&gt;P17)</formula>
    </cfRule>
    <cfRule type="expression" dxfId="245" priority="33">
      <formula>AND(C17&lt;&gt;"",C17=P17)</formula>
    </cfRule>
  </conditionalFormatting>
  <conditionalFormatting sqref="E17:E20">
    <cfRule type="expression" dxfId="244" priority="30">
      <formula>AND(E17&lt;&gt;"",E17&lt;&gt;Q17)</formula>
    </cfRule>
    <cfRule type="expression" dxfId="243" priority="31">
      <formula>AND(E17&lt;&gt;"",E17=Q17)</formula>
    </cfRule>
  </conditionalFormatting>
  <conditionalFormatting sqref="F17:F20">
    <cfRule type="expression" dxfId="242" priority="28">
      <formula>AND(F17&lt;&gt;"",F17&lt;&gt;R17)</formula>
    </cfRule>
    <cfRule type="expression" dxfId="241" priority="29">
      <formula>AND(F17&lt;&gt;"",F17=R17)</formula>
    </cfRule>
  </conditionalFormatting>
  <conditionalFormatting sqref="C25:C31">
    <cfRule type="expression" dxfId="240" priority="26">
      <formula>AND(C25&lt;&gt;"",C25&lt;&gt;P25)</formula>
    </cfRule>
    <cfRule type="expression" dxfId="239" priority="27">
      <formula>AND(C25&lt;&gt;"",C25=P25)</formula>
    </cfRule>
  </conditionalFormatting>
  <conditionalFormatting sqref="C39">
    <cfRule type="expression" dxfId="238" priority="24">
      <formula>AND(C39&lt;&gt;"",C39&lt;&gt;P39)</formula>
    </cfRule>
    <cfRule type="expression" dxfId="237" priority="25">
      <formula>AND(C39&lt;&gt;"",C39=P39)</formula>
    </cfRule>
  </conditionalFormatting>
  <conditionalFormatting sqref="I41 I36:I39">
    <cfRule type="expression" dxfId="236" priority="22">
      <formula>AND(I36&lt;&gt;"",I36&lt;&gt;Q36)</formula>
    </cfRule>
    <cfRule type="expression" dxfId="235" priority="23">
      <formula>AND(I36&lt;&gt;"",I36=Q36)</formula>
    </cfRule>
  </conditionalFormatting>
  <conditionalFormatting sqref="B50">
    <cfRule type="expression" dxfId="234" priority="20">
      <formula>AND(B50&lt;&gt;"",B50&lt;&gt;P50)</formula>
    </cfRule>
    <cfRule type="expression" dxfId="233" priority="21">
      <formula>AND(B50&lt;&gt;"",B50=P50)</formula>
    </cfRule>
  </conditionalFormatting>
  <conditionalFormatting sqref="C46:C50">
    <cfRule type="expression" dxfId="232" priority="18">
      <formula>AND(C46&lt;&gt;"",C46&lt;&gt;Q46)</formula>
    </cfRule>
    <cfRule type="expression" dxfId="231" priority="19">
      <formula>AND(C46&lt;&gt;"",C46=Q46)</formula>
    </cfRule>
  </conditionalFormatting>
  <conditionalFormatting sqref="C59:D59">
    <cfRule type="expression" dxfId="230" priority="16">
      <formula>AND(C59&lt;&gt;"",C59&lt;&gt;P59)</formula>
    </cfRule>
    <cfRule type="expression" dxfId="229" priority="17">
      <formula>AND(C59&lt;&gt;"",C59=P59)</formula>
    </cfRule>
  </conditionalFormatting>
  <conditionalFormatting sqref="D55:D58 D60:D61">
    <cfRule type="expression" dxfId="228" priority="14">
      <formula>AND(D55&lt;&gt;"",D55&lt;&gt;Q55)</formula>
    </cfRule>
    <cfRule type="expression" dxfId="227" priority="15">
      <formula>AND(D55&lt;&gt;"",D55=Q55)</formula>
    </cfRule>
  </conditionalFormatting>
  <conditionalFormatting sqref="J46:J48">
    <cfRule type="expression" dxfId="226" priority="52">
      <formula>AND(J46&lt;&gt;"",J46&lt;&gt;S46)</formula>
    </cfRule>
    <cfRule type="expression" dxfId="225" priority="53">
      <formula>AND(J46&lt;&gt;"",J46=S46)</formula>
    </cfRule>
  </conditionalFormatting>
  <conditionalFormatting sqref="K46:K48">
    <cfRule type="expression" dxfId="224" priority="10">
      <formula>AND(K46&lt;&gt;"",K46&lt;&gt;T46)</formula>
    </cfRule>
    <cfRule type="expression" dxfId="223" priority="11">
      <formula>AND(K46&lt;&gt;"",K46=T46)</formula>
    </cfRule>
  </conditionalFormatting>
  <conditionalFormatting sqref="H46:H48">
    <cfRule type="expression" dxfId="222" priority="7">
      <formula>AND(H46&lt;&gt;"",H46=R46)</formula>
    </cfRule>
    <cfRule type="expression" dxfId="221" priority="9">
      <formula>AND(H46&lt;&gt;"",H46&lt;&gt;R46)</formula>
    </cfRule>
  </conditionalFormatting>
  <conditionalFormatting sqref="H59">
    <cfRule type="expression" dxfId="220" priority="1">
      <formula>AND(H59&lt;&gt;"",H59=R59)</formula>
    </cfRule>
    <cfRule type="expression" dxfId="219" priority="2">
      <formula>AND(H59&lt;&gt;"",H59&lt;&gt;R59)</formula>
    </cfRule>
  </conditionalFormatting>
  <conditionalFormatting sqref="I55:I61">
    <cfRule type="expression" dxfId="218" priority="3">
      <formula>AND(I55&lt;&gt;"",I55&lt;&gt;Q55)</formula>
    </cfRule>
    <cfRule type="expression" dxfId="217" priority="4">
      <formula>AND(I55&lt;&gt;"",I55=Q55)</formula>
    </cfRule>
  </conditionalFormatting>
  <hyperlinks>
    <hyperlink ref="M2" location="Übersicht!A1" display="Zur Übersicht" xr:uid="{00000000-0004-0000-0200-000000000000}"/>
    <hyperlink ref="M15" location="Übersicht!A1" display="Zur Übersicht" xr:uid="{00000000-0004-0000-0200-000001000000}"/>
    <hyperlink ref="M44" location="Übersicht!A1" display="Zur Übersicht" xr:uid="{00000000-0004-0000-0200-000002000000}"/>
  </hyperlinks>
  <pageMargins left="0.25" right="0.25" top="0.75" bottom="0.75" header="0.3" footer="0.3"/>
  <pageSetup paperSize="9" orientation="landscape"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tabColor theme="1" tint="0.499984740745262"/>
  </sheetPr>
  <dimension ref="A1:Q79"/>
  <sheetViews>
    <sheetView showGridLines="0" zoomScaleNormal="100" zoomScalePageLayoutView="130" workbookViewId="0">
      <selection activeCell="I76" sqref="I76"/>
    </sheetView>
  </sheetViews>
  <sheetFormatPr baseColWidth="10" defaultColWidth="11.28515625" defaultRowHeight="15" customHeight="1" x14ac:dyDescent="0.2"/>
  <cols>
    <col min="1" max="6" width="18.140625" style="2" customWidth="1"/>
    <col min="7" max="7" width="18" style="2" customWidth="1"/>
    <col min="8" max="9" width="7.5703125" style="2" customWidth="1"/>
    <col min="10" max="10" width="11.28515625" style="2"/>
    <col min="11" max="11" width="16.7109375" style="2" bestFit="1" customWidth="1"/>
    <col min="12" max="12" width="13.42578125" style="2" bestFit="1" customWidth="1"/>
    <col min="13" max="13" width="13" style="2" customWidth="1"/>
    <col min="14" max="15" width="11.28515625" style="2"/>
    <col min="16" max="17" width="11.28515625" style="2" hidden="1" customWidth="1"/>
    <col min="18" max="16384" width="11.28515625" style="2"/>
  </cols>
  <sheetData>
    <row r="1" spans="1:16" ht="15" customHeight="1" thickBot="1" x14ac:dyDescent="0.25"/>
    <row r="2" spans="1:16" ht="15" customHeight="1" x14ac:dyDescent="0.25">
      <c r="A2" s="406" t="s">
        <v>734</v>
      </c>
      <c r="B2" s="407"/>
      <c r="C2" s="407"/>
      <c r="D2" s="407"/>
      <c r="E2" s="408"/>
      <c r="F2"/>
      <c r="G2"/>
      <c r="L2" s="306" t="s">
        <v>900</v>
      </c>
      <c r="M2" s="220" t="s">
        <v>732</v>
      </c>
    </row>
    <row r="3" spans="1:16" ht="15" customHeight="1" x14ac:dyDescent="0.25">
      <c r="A3" s="409"/>
      <c r="B3" s="410"/>
      <c r="C3" s="410"/>
      <c r="D3" s="410"/>
      <c r="E3" s="411"/>
      <c r="F3"/>
      <c r="G3"/>
    </row>
    <row r="4" spans="1:16" ht="15" customHeight="1" thickBot="1" x14ac:dyDescent="0.3">
      <c r="A4" s="412"/>
      <c r="B4" s="413"/>
      <c r="C4" s="413"/>
      <c r="D4" s="413"/>
      <c r="E4" s="414"/>
      <c r="F4"/>
      <c r="G4"/>
    </row>
    <row r="6" spans="1:16" ht="15" customHeight="1" x14ac:dyDescent="0.2">
      <c r="A6" s="418" t="s">
        <v>344</v>
      </c>
      <c r="B6" s="418"/>
      <c r="C6" s="418"/>
      <c r="D6" s="418"/>
    </row>
    <row r="7" spans="1:16" ht="15" customHeight="1" x14ac:dyDescent="0.2">
      <c r="A7" s="421" t="s">
        <v>519</v>
      </c>
      <c r="B7" s="421"/>
      <c r="C7" s="421"/>
      <c r="D7" s="421"/>
    </row>
    <row r="8" spans="1:16" ht="15" customHeight="1" x14ac:dyDescent="0.2">
      <c r="A8" s="94" t="s">
        <v>97</v>
      </c>
      <c r="B8" s="31" t="s">
        <v>98</v>
      </c>
      <c r="C8" s="40" t="s">
        <v>99</v>
      </c>
      <c r="D8" s="95">
        <v>10.75</v>
      </c>
    </row>
    <row r="9" spans="1:16" ht="15" customHeight="1" x14ac:dyDescent="0.2">
      <c r="A9" s="94" t="s">
        <v>100</v>
      </c>
      <c r="B9" s="31" t="s">
        <v>101</v>
      </c>
      <c r="C9" s="40" t="s">
        <v>102</v>
      </c>
      <c r="D9" s="95">
        <v>11.12</v>
      </c>
    </row>
    <row r="10" spans="1:16" ht="15" customHeight="1" x14ac:dyDescent="0.2">
      <c r="A10" s="94" t="s">
        <v>103</v>
      </c>
      <c r="B10" s="31" t="s">
        <v>104</v>
      </c>
      <c r="C10" s="40" t="s">
        <v>105</v>
      </c>
      <c r="D10" s="95">
        <v>11.18</v>
      </c>
    </row>
    <row r="11" spans="1:16" ht="15" customHeight="1" x14ac:dyDescent="0.2">
      <c r="A11" s="94" t="s">
        <v>106</v>
      </c>
      <c r="B11" s="31" t="s">
        <v>107</v>
      </c>
      <c r="C11" s="40" t="s">
        <v>105</v>
      </c>
      <c r="D11" s="95">
        <v>11.19</v>
      </c>
    </row>
    <row r="12" spans="1:16" ht="15" customHeight="1" x14ac:dyDescent="0.2">
      <c r="A12" s="94" t="s">
        <v>108</v>
      </c>
      <c r="B12" s="31" t="s">
        <v>109</v>
      </c>
      <c r="C12" s="40" t="s">
        <v>110</v>
      </c>
      <c r="D12" s="95">
        <v>11.2</v>
      </c>
      <c r="E12" s="39"/>
      <c r="F12" s="39"/>
      <c r="G12" s="39"/>
    </row>
    <row r="13" spans="1:16" ht="15" customHeight="1" x14ac:dyDescent="0.2">
      <c r="A13" s="94" t="s">
        <v>111</v>
      </c>
      <c r="B13" s="31" t="s">
        <v>112</v>
      </c>
      <c r="C13" s="40" t="s">
        <v>113</v>
      </c>
      <c r="D13" s="95">
        <v>11.21</v>
      </c>
      <c r="E13" s="39"/>
      <c r="F13" s="39"/>
      <c r="G13" s="39"/>
    </row>
    <row r="14" spans="1:16" ht="15" customHeight="1" x14ac:dyDescent="0.2">
      <c r="A14" s="94" t="s">
        <v>114</v>
      </c>
      <c r="B14" s="31" t="s">
        <v>115</v>
      </c>
      <c r="C14" s="40" t="s">
        <v>113</v>
      </c>
      <c r="D14" s="95">
        <v>11.22</v>
      </c>
      <c r="E14" s="39"/>
    </row>
    <row r="15" spans="1:16" ht="15" customHeight="1" x14ac:dyDescent="0.2">
      <c r="A15" s="94" t="s">
        <v>116</v>
      </c>
      <c r="B15" s="31" t="s">
        <v>117</v>
      </c>
      <c r="C15" s="40" t="s">
        <v>113</v>
      </c>
      <c r="D15" s="95" t="s">
        <v>544</v>
      </c>
      <c r="E15" s="39"/>
    </row>
    <row r="16" spans="1:16" ht="15" customHeight="1" x14ac:dyDescent="0.2">
      <c r="A16" s="420" t="s">
        <v>539</v>
      </c>
      <c r="B16" s="420"/>
      <c r="C16" s="420"/>
      <c r="D16" s="96"/>
      <c r="P16" s="2">
        <v>11.124285714285715</v>
      </c>
    </row>
    <row r="17" spans="1:16" ht="15" customHeight="1" x14ac:dyDescent="0.2">
      <c r="A17" s="420" t="s">
        <v>540</v>
      </c>
      <c r="B17" s="420"/>
      <c r="C17" s="420"/>
      <c r="D17" s="96"/>
      <c r="P17" s="2">
        <v>10.75</v>
      </c>
    </row>
    <row r="18" spans="1:16" ht="15" customHeight="1" x14ac:dyDescent="0.2">
      <c r="A18" s="420" t="s">
        <v>541</v>
      </c>
      <c r="B18" s="420" t="s">
        <v>118</v>
      </c>
      <c r="C18" s="420"/>
      <c r="D18" s="96"/>
      <c r="P18" s="2">
        <v>11.22</v>
      </c>
    </row>
    <row r="19" spans="1:16" ht="15" customHeight="1" x14ac:dyDescent="0.2">
      <c r="A19" s="420" t="s">
        <v>542</v>
      </c>
      <c r="B19" s="420" t="s">
        <v>119</v>
      </c>
      <c r="C19" s="420"/>
      <c r="D19" s="88"/>
      <c r="P19" s="2">
        <v>8</v>
      </c>
    </row>
    <row r="20" spans="1:16" ht="15" customHeight="1" x14ac:dyDescent="0.2">
      <c r="A20" s="420" t="s">
        <v>543</v>
      </c>
      <c r="B20" s="420" t="s">
        <v>120</v>
      </c>
      <c r="C20" s="420"/>
      <c r="D20" s="88"/>
      <c r="P20" s="2">
        <v>7</v>
      </c>
    </row>
    <row r="22" spans="1:16" ht="15" customHeight="1" thickBot="1" x14ac:dyDescent="0.25"/>
    <row r="23" spans="1:16" ht="15" customHeight="1" x14ac:dyDescent="0.25">
      <c r="A23" s="422" t="s">
        <v>520</v>
      </c>
      <c r="B23" s="423"/>
      <c r="C23" s="423"/>
      <c r="D23" s="423"/>
      <c r="E23" s="424"/>
      <c r="F23"/>
      <c r="G23"/>
      <c r="L23" s="306" t="s">
        <v>900</v>
      </c>
      <c r="M23" s="220" t="s">
        <v>732</v>
      </c>
    </row>
    <row r="24" spans="1:16" ht="15" customHeight="1" thickBot="1" x14ac:dyDescent="0.3">
      <c r="A24" s="425"/>
      <c r="B24" s="426"/>
      <c r="C24" s="426"/>
      <c r="D24" s="426"/>
      <c r="E24" s="427"/>
      <c r="F24"/>
      <c r="G24"/>
    </row>
    <row r="26" spans="1:16" ht="15" customHeight="1" x14ac:dyDescent="0.2">
      <c r="A26" s="27">
        <v>50</v>
      </c>
      <c r="B26" s="27">
        <v>65</v>
      </c>
      <c r="C26" s="27">
        <v>880</v>
      </c>
      <c r="D26" s="27" t="s">
        <v>345</v>
      </c>
    </row>
    <row r="27" spans="1:16" ht="15" customHeight="1" x14ac:dyDescent="0.2">
      <c r="A27" s="27">
        <v>6690</v>
      </c>
      <c r="B27" s="27">
        <v>1000</v>
      </c>
      <c r="C27" s="27">
        <v>3</v>
      </c>
      <c r="D27" s="27">
        <v>99</v>
      </c>
    </row>
    <row r="28" spans="1:16" ht="15" customHeight="1" x14ac:dyDescent="0.2">
      <c r="A28" s="27"/>
      <c r="B28" s="27">
        <v>332</v>
      </c>
      <c r="C28" s="27" t="s">
        <v>346</v>
      </c>
      <c r="D28" s="27" t="s">
        <v>347</v>
      </c>
    </row>
    <row r="29" spans="1:16" ht="15" customHeight="1" x14ac:dyDescent="0.2">
      <c r="A29" s="27">
        <v>355</v>
      </c>
      <c r="B29" s="27">
        <v>882</v>
      </c>
      <c r="C29" s="27">
        <v>103</v>
      </c>
      <c r="D29" s="27">
        <v>144</v>
      </c>
    </row>
    <row r="30" spans="1:16" ht="15" customHeight="1" x14ac:dyDescent="0.2">
      <c r="A30" s="27" t="s">
        <v>348</v>
      </c>
      <c r="B30" s="27">
        <v>654</v>
      </c>
      <c r="C30" s="27">
        <v>972</v>
      </c>
      <c r="D30" s="27">
        <v>112</v>
      </c>
    </row>
    <row r="31" spans="1:16" ht="15" customHeight="1" x14ac:dyDescent="0.2">
      <c r="A31" s="417" t="s">
        <v>1</v>
      </c>
      <c r="B31" s="417"/>
      <c r="C31" s="417"/>
      <c r="D31" s="88"/>
      <c r="P31" s="2">
        <v>12341</v>
      </c>
    </row>
    <row r="32" spans="1:16" ht="15" customHeight="1" x14ac:dyDescent="0.2">
      <c r="A32" s="417" t="s">
        <v>521</v>
      </c>
      <c r="B32" s="417"/>
      <c r="C32" s="417"/>
      <c r="D32" s="88"/>
      <c r="P32" s="2">
        <v>19</v>
      </c>
    </row>
    <row r="33" spans="1:16" ht="15" customHeight="1" x14ac:dyDescent="0.2">
      <c r="A33" s="417" t="s">
        <v>522</v>
      </c>
      <c r="B33" s="417"/>
      <c r="C33" s="417"/>
      <c r="D33" s="88"/>
      <c r="P33" s="2">
        <v>15</v>
      </c>
    </row>
    <row r="34" spans="1:16" ht="15" customHeight="1" x14ac:dyDescent="0.2">
      <c r="A34" s="417" t="s">
        <v>523</v>
      </c>
      <c r="B34" s="417"/>
      <c r="C34" s="417"/>
      <c r="D34" s="88"/>
      <c r="P34" s="2">
        <v>4</v>
      </c>
    </row>
    <row r="35" spans="1:16" ht="15" customHeight="1" x14ac:dyDescent="0.2">
      <c r="A35" s="417" t="s">
        <v>524</v>
      </c>
      <c r="B35" s="417"/>
      <c r="C35" s="417"/>
      <c r="D35" s="88"/>
      <c r="P35" s="2">
        <v>6690</v>
      </c>
    </row>
    <row r="36" spans="1:16" ht="15" customHeight="1" x14ac:dyDescent="0.2">
      <c r="A36" s="417" t="s">
        <v>525</v>
      </c>
      <c r="B36" s="417"/>
      <c r="C36" s="417"/>
      <c r="D36" s="88"/>
      <c r="P36" s="2">
        <v>3</v>
      </c>
    </row>
    <row r="37" spans="1:16" ht="15" customHeight="1" x14ac:dyDescent="0.2">
      <c r="A37" s="417" t="s">
        <v>232</v>
      </c>
      <c r="B37" s="417"/>
      <c r="C37" s="417"/>
      <c r="D37" s="88"/>
      <c r="P37" s="2">
        <v>822.73333333333335</v>
      </c>
    </row>
    <row r="39" spans="1:16" ht="15" customHeight="1" thickBot="1" x14ac:dyDescent="0.25"/>
    <row r="40" spans="1:16" ht="15" customHeight="1" x14ac:dyDescent="0.25">
      <c r="A40" s="386" t="s">
        <v>735</v>
      </c>
      <c r="B40" s="387"/>
      <c r="C40" s="387"/>
      <c r="D40" s="387"/>
      <c r="E40" s="388"/>
      <c r="F40"/>
      <c r="G40"/>
      <c r="L40" s="306" t="s">
        <v>900</v>
      </c>
      <c r="M40" s="220" t="s">
        <v>732</v>
      </c>
    </row>
    <row r="41" spans="1:16" ht="15" customHeight="1" thickBot="1" x14ac:dyDescent="0.3">
      <c r="A41" s="392"/>
      <c r="B41" s="393"/>
      <c r="C41" s="393"/>
      <c r="D41" s="393"/>
      <c r="E41" s="394"/>
      <c r="F41"/>
      <c r="G41"/>
    </row>
    <row r="42" spans="1:16" ht="15" customHeight="1" x14ac:dyDescent="0.25">
      <c r="F42"/>
    </row>
    <row r="43" spans="1:16" ht="15" customHeight="1" x14ac:dyDescent="0.25">
      <c r="A43" s="231" t="s">
        <v>54</v>
      </c>
      <c r="B43" s="156" t="s">
        <v>121</v>
      </c>
      <c r="C43" s="415" t="s">
        <v>122</v>
      </c>
      <c r="D43" s="415"/>
      <c r="E43" s="156" t="s">
        <v>123</v>
      </c>
      <c r="F43"/>
    </row>
    <row r="44" spans="1:16" ht="15" customHeight="1" x14ac:dyDescent="0.25">
      <c r="A44" s="99">
        <f ca="1">DATE(YEAR(TODAY())-1,10,10)</f>
        <v>45575</v>
      </c>
      <c r="B44" s="27" t="s">
        <v>124</v>
      </c>
      <c r="C44" s="416" t="s">
        <v>125</v>
      </c>
      <c r="D44" s="416"/>
      <c r="E44" s="100">
        <v>1</v>
      </c>
      <c r="F44"/>
    </row>
    <row r="45" spans="1:16" ht="15" customHeight="1" x14ac:dyDescent="0.25">
      <c r="A45" s="99">
        <f ca="1">DATE(YEAR(TODAY())-1,10,17)</f>
        <v>45582</v>
      </c>
      <c r="B45" s="27" t="s">
        <v>126</v>
      </c>
      <c r="C45" s="416" t="s">
        <v>127</v>
      </c>
      <c r="D45" s="416"/>
      <c r="E45" s="100">
        <v>2</v>
      </c>
      <c r="F45"/>
    </row>
    <row r="46" spans="1:16" ht="15" customHeight="1" x14ac:dyDescent="0.25">
      <c r="A46" s="99">
        <f ca="1">DATE(YEAR(TODAY())-1,10,24)</f>
        <v>45589</v>
      </c>
      <c r="B46" s="27" t="s">
        <v>128</v>
      </c>
      <c r="C46" s="416" t="s">
        <v>129</v>
      </c>
      <c r="D46" s="416"/>
      <c r="E46" s="100">
        <v>1</v>
      </c>
      <c r="F46"/>
    </row>
    <row r="47" spans="1:16" ht="15" customHeight="1" x14ac:dyDescent="0.25">
      <c r="A47" s="99">
        <f ca="1">DATE(YEAR(TODAY())-1,10,31)</f>
        <v>45596</v>
      </c>
      <c r="B47" s="27" t="s">
        <v>130</v>
      </c>
      <c r="C47" s="416" t="s">
        <v>131</v>
      </c>
      <c r="D47" s="416"/>
      <c r="E47" s="100">
        <v>1</v>
      </c>
      <c r="F47"/>
    </row>
    <row r="48" spans="1:16" ht="15" customHeight="1" x14ac:dyDescent="0.25">
      <c r="A48" s="99">
        <f ca="1">DATE(YEAR(TODAY())-1,11,7)</f>
        <v>45603</v>
      </c>
      <c r="B48" s="27" t="s">
        <v>132</v>
      </c>
      <c r="C48" s="416" t="s">
        <v>133</v>
      </c>
      <c r="D48" s="416"/>
      <c r="E48" s="100">
        <v>3</v>
      </c>
      <c r="F48"/>
    </row>
    <row r="49" spans="1:17" ht="15" customHeight="1" x14ac:dyDescent="0.25">
      <c r="A49" s="99">
        <f ca="1">DATE(YEAR(TODAY())-1,11,14)</f>
        <v>45610</v>
      </c>
      <c r="B49" s="27" t="s">
        <v>134</v>
      </c>
      <c r="C49" s="416" t="s">
        <v>135</v>
      </c>
      <c r="D49" s="416"/>
      <c r="E49" s="100">
        <v>2</v>
      </c>
      <c r="F49"/>
    </row>
    <row r="50" spans="1:17" ht="15" customHeight="1" x14ac:dyDescent="0.25">
      <c r="A50" s="99">
        <f ca="1">DATE(YEAR(TODAY())-1,11,28)</f>
        <v>45624</v>
      </c>
      <c r="B50" s="27" t="s">
        <v>136</v>
      </c>
      <c r="C50" s="416" t="s">
        <v>137</v>
      </c>
      <c r="D50" s="416"/>
      <c r="E50" s="100">
        <v>4</v>
      </c>
      <c r="F50"/>
    </row>
    <row r="51" spans="1:17" ht="15" customHeight="1" x14ac:dyDescent="0.25">
      <c r="A51" s="99">
        <f ca="1">DATE(YEAR(TODAY())-1,12,5)</f>
        <v>45631</v>
      </c>
      <c r="B51" s="27" t="s">
        <v>138</v>
      </c>
      <c r="C51" s="416" t="s">
        <v>139</v>
      </c>
      <c r="D51" s="416"/>
      <c r="E51" s="100">
        <v>2</v>
      </c>
      <c r="F51"/>
    </row>
    <row r="52" spans="1:17" ht="15" customHeight="1" x14ac:dyDescent="0.25">
      <c r="A52" s="99">
        <f ca="1">DATE(YEAR(TODAY())-1,12,12)</f>
        <v>45638</v>
      </c>
      <c r="B52" s="27" t="s">
        <v>140</v>
      </c>
      <c r="C52" s="416" t="s">
        <v>141</v>
      </c>
      <c r="D52" s="416"/>
      <c r="E52" s="100">
        <v>1</v>
      </c>
      <c r="F52"/>
    </row>
    <row r="53" spans="1:17" ht="15" customHeight="1" x14ac:dyDescent="0.25">
      <c r="A53" s="99">
        <f ca="1">DATE(YEAR(TODAY())-1,12,19)</f>
        <v>45645</v>
      </c>
      <c r="B53" s="27" t="s">
        <v>142</v>
      </c>
      <c r="C53" s="416" t="s">
        <v>143</v>
      </c>
      <c r="D53" s="416"/>
      <c r="E53" s="100">
        <v>4</v>
      </c>
      <c r="F53"/>
    </row>
    <row r="54" spans="1:17" ht="15" customHeight="1" x14ac:dyDescent="0.25">
      <c r="A54" s="99">
        <f ca="1">DATE(YEAR(TODAY()),1,2)</f>
        <v>45659</v>
      </c>
      <c r="B54" s="27" t="s">
        <v>144</v>
      </c>
      <c r="C54" s="416" t="s">
        <v>145</v>
      </c>
      <c r="D54" s="416"/>
      <c r="E54" s="100">
        <v>3</v>
      </c>
      <c r="F54"/>
    </row>
    <row r="55" spans="1:17" ht="15" customHeight="1" x14ac:dyDescent="0.25">
      <c r="A55" s="99">
        <f ca="1">DATE(YEAR(TODAY()),1,9)</f>
        <v>45666</v>
      </c>
      <c r="B55" s="27" t="s">
        <v>146</v>
      </c>
      <c r="C55" s="416" t="s">
        <v>147</v>
      </c>
      <c r="D55" s="416"/>
      <c r="E55" s="100">
        <v>1</v>
      </c>
      <c r="F55"/>
    </row>
    <row r="56" spans="1:17" ht="15" customHeight="1" x14ac:dyDescent="0.25">
      <c r="A56" s="99">
        <f ca="1">DATE(YEAR(TODAY()),1,16)</f>
        <v>45673</v>
      </c>
      <c r="B56" s="27" t="s">
        <v>148</v>
      </c>
      <c r="C56" s="416" t="s">
        <v>149</v>
      </c>
      <c r="D56" s="416"/>
      <c r="E56" s="100">
        <v>2</v>
      </c>
      <c r="F56"/>
    </row>
    <row r="57" spans="1:17" ht="15" customHeight="1" x14ac:dyDescent="0.25">
      <c r="A57" s="99">
        <f ca="1">DATE(YEAR(TODAY()),1,23)</f>
        <v>45680</v>
      </c>
      <c r="B57" s="27" t="s">
        <v>150</v>
      </c>
      <c r="C57" s="416" t="s">
        <v>151</v>
      </c>
      <c r="D57" s="416"/>
      <c r="E57" s="100">
        <v>4</v>
      </c>
      <c r="F57"/>
    </row>
    <row r="58" spans="1:17" ht="15" customHeight="1" x14ac:dyDescent="0.25">
      <c r="A58" s="74" t="s">
        <v>526</v>
      </c>
      <c r="B58" s="101"/>
      <c r="C58" s="419" t="s">
        <v>527</v>
      </c>
      <c r="D58" s="419"/>
      <c r="E58" s="101"/>
      <c r="F58"/>
      <c r="P58" s="2">
        <v>14</v>
      </c>
      <c r="Q58" s="2">
        <f>AVERAGE(E44:E57)</f>
        <v>2.2142857142857144</v>
      </c>
    </row>
    <row r="60" spans="1:17" ht="15" customHeight="1" thickBot="1" x14ac:dyDescent="0.25"/>
    <row r="61" spans="1:17" ht="15" customHeight="1" x14ac:dyDescent="0.2">
      <c r="A61" s="386" t="s">
        <v>736</v>
      </c>
      <c r="B61" s="387"/>
      <c r="C61" s="387"/>
      <c r="D61" s="387"/>
      <c r="E61" s="388"/>
      <c r="L61" s="306" t="s">
        <v>900</v>
      </c>
      <c r="M61" s="220" t="s">
        <v>732</v>
      </c>
    </row>
    <row r="62" spans="1:17" ht="15" customHeight="1" x14ac:dyDescent="0.2">
      <c r="A62" s="389"/>
      <c r="B62" s="390"/>
      <c r="C62" s="390"/>
      <c r="D62" s="390"/>
      <c r="E62" s="391"/>
    </row>
    <row r="63" spans="1:17" ht="15" customHeight="1" thickBot="1" x14ac:dyDescent="0.25">
      <c r="A63" s="392"/>
      <c r="B63" s="393"/>
      <c r="C63" s="393"/>
      <c r="D63" s="393"/>
      <c r="E63" s="394"/>
    </row>
    <row r="64" spans="1:17" customFormat="1" ht="15" customHeight="1" x14ac:dyDescent="0.25"/>
    <row r="65" spans="1:16" ht="15" customHeight="1" x14ac:dyDescent="0.2">
      <c r="A65" s="395" t="s">
        <v>325</v>
      </c>
      <c r="B65" s="395"/>
      <c r="C65" s="395"/>
    </row>
    <row r="66" spans="1:16" ht="15" customHeight="1" x14ac:dyDescent="0.2">
      <c r="A66" s="116" t="s">
        <v>326</v>
      </c>
      <c r="B66" s="117" t="s">
        <v>327</v>
      </c>
      <c r="C66" s="331" t="s">
        <v>7</v>
      </c>
    </row>
    <row r="67" spans="1:16" ht="15" customHeight="1" x14ac:dyDescent="0.2">
      <c r="A67" s="27" t="s">
        <v>328</v>
      </c>
      <c r="B67" s="27" t="s">
        <v>329</v>
      </c>
      <c r="C67" s="87">
        <v>699</v>
      </c>
    </row>
    <row r="68" spans="1:16" ht="15" customHeight="1" x14ac:dyDescent="0.2">
      <c r="A68" s="27" t="s">
        <v>330</v>
      </c>
      <c r="B68" s="27" t="s">
        <v>331</v>
      </c>
      <c r="C68" s="87">
        <v>299</v>
      </c>
    </row>
    <row r="69" spans="1:16" ht="15" customHeight="1" x14ac:dyDescent="0.2">
      <c r="A69" s="27" t="s">
        <v>332</v>
      </c>
      <c r="B69" s="27" t="s">
        <v>333</v>
      </c>
      <c r="C69" s="87">
        <v>999</v>
      </c>
    </row>
    <row r="70" spans="1:16" ht="15" customHeight="1" x14ac:dyDescent="0.2">
      <c r="A70" s="27" t="s">
        <v>328</v>
      </c>
      <c r="B70" s="27" t="s">
        <v>334</v>
      </c>
      <c r="C70" s="87">
        <v>529</v>
      </c>
    </row>
    <row r="71" spans="1:16" ht="15" customHeight="1" x14ac:dyDescent="0.2">
      <c r="A71" s="27" t="s">
        <v>335</v>
      </c>
      <c r="B71" s="27" t="s">
        <v>336</v>
      </c>
      <c r="C71" s="87" t="s">
        <v>337</v>
      </c>
    </row>
    <row r="72" spans="1:16" ht="15" customHeight="1" x14ac:dyDescent="0.2">
      <c r="A72" s="27" t="s">
        <v>338</v>
      </c>
      <c r="B72" s="27" t="s">
        <v>339</v>
      </c>
      <c r="C72" s="87">
        <v>499</v>
      </c>
    </row>
    <row r="73" spans="1:16" ht="15" customHeight="1" x14ac:dyDescent="0.2">
      <c r="A73" s="27" t="s">
        <v>332</v>
      </c>
      <c r="B73" s="27" t="s">
        <v>340</v>
      </c>
      <c r="C73" s="87">
        <v>1059</v>
      </c>
    </row>
    <row r="74" spans="1:16" ht="15" customHeight="1" x14ac:dyDescent="0.2">
      <c r="A74" s="27" t="s">
        <v>341</v>
      </c>
      <c r="B74" s="27" t="s">
        <v>342</v>
      </c>
      <c r="C74" s="87" t="s">
        <v>337</v>
      </c>
    </row>
    <row r="75" spans="1:16" ht="15" customHeight="1" x14ac:dyDescent="0.2">
      <c r="A75" s="27" t="s">
        <v>341</v>
      </c>
      <c r="B75" s="27" t="s">
        <v>343</v>
      </c>
      <c r="C75" s="87">
        <v>699</v>
      </c>
    </row>
    <row r="76" spans="1:16" ht="15" customHeight="1" x14ac:dyDescent="0.2">
      <c r="A76" s="385" t="s">
        <v>535</v>
      </c>
      <c r="B76" s="385"/>
      <c r="C76" s="102"/>
      <c r="P76" s="2">
        <v>7</v>
      </c>
    </row>
    <row r="77" spans="1:16" ht="15" customHeight="1" x14ac:dyDescent="0.2">
      <c r="A77" s="385" t="s">
        <v>536</v>
      </c>
      <c r="B77" s="385"/>
      <c r="C77" s="103"/>
      <c r="P77" s="2">
        <v>299</v>
      </c>
    </row>
    <row r="78" spans="1:16" ht="15" customHeight="1" x14ac:dyDescent="0.2">
      <c r="A78" s="385" t="s">
        <v>537</v>
      </c>
      <c r="B78" s="385"/>
      <c r="C78" s="103"/>
      <c r="P78" s="2">
        <v>1059</v>
      </c>
    </row>
    <row r="79" spans="1:16" ht="15" customHeight="1" x14ac:dyDescent="0.2">
      <c r="A79" s="385" t="s">
        <v>538</v>
      </c>
      <c r="B79" s="385"/>
      <c r="C79" s="103"/>
      <c r="P79" s="2">
        <v>683.28571428571433</v>
      </c>
    </row>
  </sheetData>
  <sheetProtection sheet="1" objects="1" scenarios="1" formatCells="0"/>
  <protectedRanges>
    <protectedRange sqref="D16:D20 D31:D37 B58 E58 C76:C79" name="Bereich1"/>
  </protectedRanges>
  <mergeCells count="39">
    <mergeCell ref="A16:C16"/>
    <mergeCell ref="A17:C17"/>
    <mergeCell ref="A18:C18"/>
    <mergeCell ref="A32:C32"/>
    <mergeCell ref="A7:D7"/>
    <mergeCell ref="A19:C19"/>
    <mergeCell ref="A20:C20"/>
    <mergeCell ref="A31:C31"/>
    <mergeCell ref="A23:E24"/>
    <mergeCell ref="A61:E63"/>
    <mergeCell ref="A40:E41"/>
    <mergeCell ref="C57:D57"/>
    <mergeCell ref="C58:D58"/>
    <mergeCell ref="A33:C33"/>
    <mergeCell ref="A35:C35"/>
    <mergeCell ref="C45:D45"/>
    <mergeCell ref="C46:D46"/>
    <mergeCell ref="C47:D47"/>
    <mergeCell ref="A2:E4"/>
    <mergeCell ref="C43:D43"/>
    <mergeCell ref="C54:D54"/>
    <mergeCell ref="C55:D55"/>
    <mergeCell ref="C56:D56"/>
    <mergeCell ref="C49:D49"/>
    <mergeCell ref="C50:D50"/>
    <mergeCell ref="C51:D51"/>
    <mergeCell ref="C52:D52"/>
    <mergeCell ref="C53:D53"/>
    <mergeCell ref="C44:D44"/>
    <mergeCell ref="C48:D48"/>
    <mergeCell ref="A34:C34"/>
    <mergeCell ref="A37:C37"/>
    <mergeCell ref="A36:C36"/>
    <mergeCell ref="A6:D6"/>
    <mergeCell ref="A65:C65"/>
    <mergeCell ref="A76:B76"/>
    <mergeCell ref="A77:B77"/>
    <mergeCell ref="A78:B78"/>
    <mergeCell ref="A79:B79"/>
  </mergeCells>
  <conditionalFormatting sqref="D16:D20">
    <cfRule type="expression" dxfId="216" priority="7">
      <formula>AND(D16&lt;&gt;"",D16&lt;&gt;P16)</formula>
    </cfRule>
    <cfRule type="expression" dxfId="215" priority="10">
      <formula>AND(D16&lt;&gt;"",D16=P16)</formula>
    </cfRule>
  </conditionalFormatting>
  <conditionalFormatting sqref="D31:D37">
    <cfRule type="expression" dxfId="214" priority="8">
      <formula>AND(D31&lt;&gt;"",D31=P31)</formula>
    </cfRule>
    <cfRule type="expression" dxfId="213" priority="9">
      <formula>AND(D31&lt;&gt;"",D31&lt;&gt;P31)</formula>
    </cfRule>
  </conditionalFormatting>
  <conditionalFormatting sqref="B58">
    <cfRule type="expression" dxfId="212" priority="3">
      <formula>AND(B58&lt;&gt;"",B58&lt;&gt;P58)</formula>
    </cfRule>
    <cfRule type="expression" dxfId="211" priority="6">
      <formula>AND(B58&lt;&gt;"",B58=P58)</formula>
    </cfRule>
  </conditionalFormatting>
  <conditionalFormatting sqref="E58">
    <cfRule type="expression" dxfId="210" priority="4">
      <formula>AND(E58&lt;&gt;"",E58&lt;&gt;Q58)</formula>
    </cfRule>
    <cfRule type="expression" dxfId="209" priority="5">
      <formula>AND(E58&lt;&gt;"",E58=Q58)</formula>
    </cfRule>
  </conditionalFormatting>
  <conditionalFormatting sqref="C76:C79">
    <cfRule type="expression" dxfId="208" priority="1">
      <formula>AND(C76&lt;&gt;"",C76=P76)</formula>
    </cfRule>
    <cfRule type="expression" dxfId="207" priority="2">
      <formula>AND(C76&lt;&gt;"",C76&lt;&gt;P76)</formula>
    </cfRule>
  </conditionalFormatting>
  <hyperlinks>
    <hyperlink ref="M2" location="Übersicht!A1" display="Zur Übersicht" xr:uid="{00000000-0004-0000-0300-000000000000}"/>
    <hyperlink ref="M23" location="Übersicht!A1" display="Zur Übersicht" xr:uid="{00000000-0004-0000-0300-000001000000}"/>
    <hyperlink ref="M40" location="Übersicht!A1" display="Zur Übersicht" xr:uid="{00000000-0004-0000-0300-000002000000}"/>
    <hyperlink ref="M61" location="Übersicht!A1" display="Zur Übersicht" xr:uid="{00000000-0004-0000-0300-000003000000}"/>
  </hyperlinks>
  <pageMargins left="0.25" right="0.25" top="0.75" bottom="0.75" header="0.3" footer="0.3"/>
  <pageSetup paperSize="9" orientation="landscape"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tabColor theme="1" tint="0.499984740745262"/>
  </sheetPr>
  <dimension ref="A1:T66"/>
  <sheetViews>
    <sheetView showGridLines="0" zoomScaleNormal="100" zoomScalePageLayoutView="85" workbookViewId="0">
      <selection activeCell="K55" sqref="K55"/>
    </sheetView>
  </sheetViews>
  <sheetFormatPr baseColWidth="10" defaultColWidth="11.42578125" defaultRowHeight="15" customHeight="1" x14ac:dyDescent="0.2"/>
  <cols>
    <col min="1" max="3" width="16.140625" style="2" customWidth="1"/>
    <col min="4" max="4" width="11.5703125" style="2" bestFit="1" customWidth="1"/>
    <col min="5" max="8" width="16.140625" style="2" customWidth="1"/>
    <col min="9" max="9" width="21.42578125" style="2" bestFit="1" customWidth="1"/>
    <col min="10" max="10" width="16.140625" style="2" customWidth="1"/>
    <col min="11" max="12" width="11.42578125" style="2"/>
    <col min="13" max="13" width="12.85546875" style="2" bestFit="1" customWidth="1"/>
    <col min="14" max="15" width="11.42578125" style="2"/>
    <col min="16" max="17" width="11.7109375" style="2" hidden="1" customWidth="1"/>
    <col min="18" max="20" width="11.42578125" style="2" hidden="1" customWidth="1"/>
    <col min="21" max="16384" width="11.42578125" style="2"/>
  </cols>
  <sheetData>
    <row r="1" spans="1:17" ht="15" customHeight="1" thickBot="1" x14ac:dyDescent="0.25"/>
    <row r="2" spans="1:17" ht="15" customHeight="1" x14ac:dyDescent="0.2">
      <c r="A2" s="386" t="s">
        <v>733</v>
      </c>
      <c r="B2" s="387"/>
      <c r="C2" s="387"/>
      <c r="D2" s="387"/>
      <c r="E2" s="387"/>
      <c r="F2" s="387"/>
      <c r="G2" s="387"/>
      <c r="H2" s="387"/>
      <c r="I2" s="387"/>
      <c r="J2" s="388"/>
      <c r="L2" s="306" t="s">
        <v>900</v>
      </c>
      <c r="M2" s="220" t="s">
        <v>732</v>
      </c>
    </row>
    <row r="3" spans="1:17" ht="15" customHeight="1" thickBot="1" x14ac:dyDescent="0.25">
      <c r="A3" s="392"/>
      <c r="B3" s="393"/>
      <c r="C3" s="393"/>
      <c r="D3" s="393"/>
      <c r="E3" s="393"/>
      <c r="F3" s="393"/>
      <c r="G3" s="393"/>
      <c r="H3" s="393"/>
      <c r="I3" s="393"/>
      <c r="J3" s="394"/>
    </row>
    <row r="4" spans="1:17" ht="15" customHeight="1" x14ac:dyDescent="0.25">
      <c r="A4"/>
      <c r="B4"/>
      <c r="C4"/>
    </row>
    <row r="5" spans="1:17" ht="15" customHeight="1" x14ac:dyDescent="0.2">
      <c r="A5" s="116" t="s">
        <v>529</v>
      </c>
      <c r="B5" s="320">
        <v>1.01</v>
      </c>
      <c r="E5" s="395" t="s">
        <v>258</v>
      </c>
      <c r="F5" s="395"/>
      <c r="G5" s="395"/>
    </row>
    <row r="7" spans="1:17" ht="15" customHeight="1" x14ac:dyDescent="0.2">
      <c r="A7" s="116" t="s">
        <v>249</v>
      </c>
      <c r="B7" s="117" t="s">
        <v>250</v>
      </c>
      <c r="E7" s="321" t="s">
        <v>259</v>
      </c>
      <c r="F7" s="322"/>
      <c r="G7" s="323">
        <v>0.3</v>
      </c>
    </row>
    <row r="8" spans="1:17" ht="15" customHeight="1" x14ac:dyDescent="0.2">
      <c r="A8" s="104">
        <v>1</v>
      </c>
      <c r="B8" s="173"/>
      <c r="P8" s="59">
        <f>$B$5*A8</f>
        <v>1.01</v>
      </c>
    </row>
    <row r="9" spans="1:17" ht="15" customHeight="1" x14ac:dyDescent="0.2">
      <c r="A9" s="104">
        <v>2</v>
      </c>
      <c r="B9" s="173"/>
      <c r="E9" s="324"/>
      <c r="F9" s="117" t="s">
        <v>658</v>
      </c>
      <c r="G9" s="117" t="s">
        <v>659</v>
      </c>
      <c r="P9" s="59">
        <f t="shared" ref="P9:P16" si="0">$B$5*A9</f>
        <v>2.02</v>
      </c>
    </row>
    <row r="10" spans="1:17" ht="15" customHeight="1" x14ac:dyDescent="0.2">
      <c r="A10" s="104">
        <v>5</v>
      </c>
      <c r="B10" s="173"/>
      <c r="E10" s="31" t="s">
        <v>74</v>
      </c>
      <c r="F10" s="34">
        <v>59</v>
      </c>
      <c r="G10" s="82"/>
      <c r="P10" s="59">
        <f t="shared" si="0"/>
        <v>5.05</v>
      </c>
      <c r="Q10" s="35">
        <f>F10-(F10*$G$7)</f>
        <v>41.3</v>
      </c>
    </row>
    <row r="11" spans="1:17" ht="15" customHeight="1" x14ac:dyDescent="0.2">
      <c r="A11" s="104">
        <v>10</v>
      </c>
      <c r="B11" s="173"/>
      <c r="E11" s="31" t="s">
        <v>75</v>
      </c>
      <c r="F11" s="34">
        <v>79</v>
      </c>
      <c r="G11" s="82"/>
      <c r="P11" s="59">
        <f t="shared" si="0"/>
        <v>10.1</v>
      </c>
      <c r="Q11" s="35">
        <f t="shared" ref="Q11:Q16" si="1">F11-(F11*$G$7)</f>
        <v>55.3</v>
      </c>
    </row>
    <row r="12" spans="1:17" ht="15" customHeight="1" x14ac:dyDescent="0.2">
      <c r="A12" s="104">
        <v>20</v>
      </c>
      <c r="B12" s="173"/>
      <c r="E12" s="31" t="s">
        <v>76</v>
      </c>
      <c r="F12" s="34">
        <v>49</v>
      </c>
      <c r="G12" s="82"/>
      <c r="P12" s="59">
        <f t="shared" si="0"/>
        <v>20.2</v>
      </c>
      <c r="Q12" s="35">
        <f t="shared" si="1"/>
        <v>34.299999999999997</v>
      </c>
    </row>
    <row r="13" spans="1:17" ht="15" customHeight="1" x14ac:dyDescent="0.2">
      <c r="A13" s="104">
        <v>50</v>
      </c>
      <c r="B13" s="173"/>
      <c r="E13" s="31" t="s">
        <v>77</v>
      </c>
      <c r="F13" s="34">
        <v>99</v>
      </c>
      <c r="G13" s="82"/>
      <c r="P13" s="59">
        <f t="shared" si="0"/>
        <v>50.5</v>
      </c>
      <c r="Q13" s="35">
        <f t="shared" si="1"/>
        <v>69.3</v>
      </c>
    </row>
    <row r="14" spans="1:17" ht="15" customHeight="1" x14ac:dyDescent="0.2">
      <c r="A14" s="104">
        <v>100</v>
      </c>
      <c r="B14" s="173"/>
      <c r="E14" s="31" t="s">
        <v>78</v>
      </c>
      <c r="F14" s="34">
        <v>149</v>
      </c>
      <c r="G14" s="82"/>
      <c r="P14" s="59">
        <f t="shared" si="0"/>
        <v>101</v>
      </c>
      <c r="Q14" s="35">
        <f t="shared" si="1"/>
        <v>104.30000000000001</v>
      </c>
    </row>
    <row r="15" spans="1:17" ht="15" customHeight="1" x14ac:dyDescent="0.2">
      <c r="A15" s="104">
        <v>500</v>
      </c>
      <c r="B15" s="173"/>
      <c r="E15" s="31" t="s">
        <v>79</v>
      </c>
      <c r="F15" s="34">
        <v>29</v>
      </c>
      <c r="G15" s="82"/>
      <c r="P15" s="59">
        <f t="shared" si="0"/>
        <v>505</v>
      </c>
      <c r="Q15" s="35">
        <f t="shared" si="1"/>
        <v>20.3</v>
      </c>
    </row>
    <row r="16" spans="1:17" ht="15" customHeight="1" x14ac:dyDescent="0.2">
      <c r="A16" s="104">
        <v>1000</v>
      </c>
      <c r="B16" s="173"/>
      <c r="E16" s="31" t="s">
        <v>80</v>
      </c>
      <c r="F16" s="34">
        <v>289</v>
      </c>
      <c r="G16" s="82"/>
      <c r="P16" s="59">
        <f t="shared" si="0"/>
        <v>1010</v>
      </c>
      <c r="Q16" s="35">
        <f t="shared" si="1"/>
        <v>202.3</v>
      </c>
    </row>
    <row r="19" spans="1:19" ht="15" customHeight="1" x14ac:dyDescent="0.2">
      <c r="A19" s="395" t="s">
        <v>251</v>
      </c>
      <c r="B19" s="395"/>
      <c r="C19" s="395"/>
      <c r="E19" s="395" t="s">
        <v>260</v>
      </c>
      <c r="F19" s="395"/>
      <c r="G19" s="395"/>
      <c r="H19" s="395"/>
      <c r="I19" s="395"/>
      <c r="J19" s="395"/>
      <c r="L19" s="306" t="s">
        <v>900</v>
      </c>
      <c r="M19" s="220" t="s">
        <v>732</v>
      </c>
    </row>
    <row r="20" spans="1:19" ht="15" customHeight="1" x14ac:dyDescent="0.2">
      <c r="A20" s="108"/>
      <c r="B20" s="30"/>
      <c r="C20" s="30"/>
    </row>
    <row r="21" spans="1:19" ht="15" customHeight="1" x14ac:dyDescent="0.25">
      <c r="A21"/>
      <c r="B21" s="325" t="s">
        <v>252</v>
      </c>
      <c r="C21" s="326">
        <v>1200</v>
      </c>
      <c r="E21" s="329" t="s">
        <v>261</v>
      </c>
      <c r="F21" s="323">
        <v>0.05</v>
      </c>
      <c r="G21"/>
      <c r="H21"/>
      <c r="I21"/>
      <c r="J21"/>
    </row>
    <row r="22" spans="1:19" ht="15" customHeight="1" x14ac:dyDescent="0.25">
      <c r="A22"/>
      <c r="B22"/>
      <c r="C22"/>
    </row>
    <row r="23" spans="1:19" ht="15" customHeight="1" x14ac:dyDescent="0.2">
      <c r="A23" s="325" t="s">
        <v>121</v>
      </c>
      <c r="B23" s="327" t="s">
        <v>253</v>
      </c>
      <c r="C23" s="328" t="s">
        <v>227</v>
      </c>
      <c r="E23" s="116" t="s">
        <v>262</v>
      </c>
      <c r="F23" s="117" t="s">
        <v>263</v>
      </c>
      <c r="G23" s="117" t="s">
        <v>530</v>
      </c>
      <c r="H23" s="117" t="s">
        <v>264</v>
      </c>
      <c r="I23" s="117" t="s">
        <v>265</v>
      </c>
      <c r="J23" s="117" t="s">
        <v>266</v>
      </c>
    </row>
    <row r="24" spans="1:19" ht="15" customHeight="1" x14ac:dyDescent="0.2">
      <c r="A24" s="27" t="s">
        <v>254</v>
      </c>
      <c r="B24" s="87">
        <v>300</v>
      </c>
      <c r="C24" s="82"/>
      <c r="E24" s="31" t="s">
        <v>267</v>
      </c>
      <c r="F24" s="31" t="s">
        <v>268</v>
      </c>
      <c r="G24" s="13">
        <v>45</v>
      </c>
      <c r="H24" s="105">
        <v>18</v>
      </c>
      <c r="I24" s="76"/>
      <c r="J24" s="115"/>
      <c r="P24" s="35">
        <f>$C$21+B24</f>
        <v>1500</v>
      </c>
      <c r="R24" s="2">
        <f>H24+(H24*$F$21)</f>
        <v>18.899999999999999</v>
      </c>
      <c r="S24" s="35">
        <f>R24*G24</f>
        <v>850.49999999999989</v>
      </c>
    </row>
    <row r="25" spans="1:19" ht="15" customHeight="1" x14ac:dyDescent="0.2">
      <c r="A25" s="27" t="s">
        <v>255</v>
      </c>
      <c r="B25" s="87">
        <v>280</v>
      </c>
      <c r="C25" s="82"/>
      <c r="E25" s="31" t="s">
        <v>269</v>
      </c>
      <c r="F25" s="31" t="s">
        <v>268</v>
      </c>
      <c r="G25" s="13">
        <v>34.9</v>
      </c>
      <c r="H25" s="105">
        <v>12</v>
      </c>
      <c r="I25" s="76"/>
      <c r="J25" s="115"/>
      <c r="P25" s="35">
        <f t="shared" ref="P25:P27" si="2">$C$21+B25</f>
        <v>1480</v>
      </c>
      <c r="R25" s="2">
        <f t="shared" ref="R25:R32" si="3">H25+(H25*$F$21)</f>
        <v>12.6</v>
      </c>
      <c r="S25" s="35">
        <f t="shared" ref="S25:S32" si="4">R25*G25</f>
        <v>439.73999999999995</v>
      </c>
    </row>
    <row r="26" spans="1:19" ht="15" customHeight="1" x14ac:dyDescent="0.2">
      <c r="A26" s="27" t="s">
        <v>256</v>
      </c>
      <c r="B26" s="87">
        <v>240</v>
      </c>
      <c r="C26" s="82"/>
      <c r="E26" s="31" t="s">
        <v>270</v>
      </c>
      <c r="F26" s="31" t="s">
        <v>268</v>
      </c>
      <c r="G26" s="13">
        <v>34.9</v>
      </c>
      <c r="H26" s="105">
        <v>2.5</v>
      </c>
      <c r="I26" s="76"/>
      <c r="J26" s="115"/>
      <c r="P26" s="35">
        <f t="shared" si="2"/>
        <v>1440</v>
      </c>
      <c r="R26" s="2">
        <f t="shared" si="3"/>
        <v>2.625</v>
      </c>
      <c r="S26" s="35">
        <f t="shared" si="4"/>
        <v>91.612499999999997</v>
      </c>
    </row>
    <row r="27" spans="1:19" ht="15" customHeight="1" x14ac:dyDescent="0.2">
      <c r="A27" s="27" t="s">
        <v>257</v>
      </c>
      <c r="B27" s="87">
        <v>150</v>
      </c>
      <c r="C27" s="82"/>
      <c r="E27" s="31" t="s">
        <v>271</v>
      </c>
      <c r="F27" s="31" t="s">
        <v>268</v>
      </c>
      <c r="G27" s="13">
        <v>45</v>
      </c>
      <c r="H27" s="105">
        <v>4</v>
      </c>
      <c r="I27" s="76"/>
      <c r="J27" s="115"/>
      <c r="P27" s="35">
        <f t="shared" si="2"/>
        <v>1350</v>
      </c>
      <c r="R27" s="2">
        <f t="shared" si="3"/>
        <v>4.2</v>
      </c>
      <c r="S27" s="35">
        <f t="shared" si="4"/>
        <v>189</v>
      </c>
    </row>
    <row r="28" spans="1:19" ht="15" customHeight="1" x14ac:dyDescent="0.2">
      <c r="E28" s="31" t="s">
        <v>272</v>
      </c>
      <c r="F28" s="31" t="s">
        <v>273</v>
      </c>
      <c r="G28" s="13">
        <v>29</v>
      </c>
      <c r="H28" s="105">
        <v>6</v>
      </c>
      <c r="I28" s="76"/>
      <c r="J28" s="115"/>
      <c r="R28" s="2">
        <f t="shared" si="3"/>
        <v>6.3</v>
      </c>
      <c r="S28" s="35">
        <f t="shared" si="4"/>
        <v>182.7</v>
      </c>
    </row>
    <row r="29" spans="1:19" ht="15" customHeight="1" x14ac:dyDescent="0.2">
      <c r="E29" s="31" t="s">
        <v>274</v>
      </c>
      <c r="F29" s="31" t="s">
        <v>273</v>
      </c>
      <c r="G29" s="13">
        <v>29</v>
      </c>
      <c r="H29" s="105">
        <v>25</v>
      </c>
      <c r="I29" s="76"/>
      <c r="J29" s="115"/>
      <c r="R29" s="2">
        <f t="shared" si="3"/>
        <v>26.25</v>
      </c>
      <c r="S29" s="35">
        <f t="shared" si="4"/>
        <v>761.25</v>
      </c>
    </row>
    <row r="30" spans="1:19" ht="15" customHeight="1" x14ac:dyDescent="0.2">
      <c r="E30" s="31" t="s">
        <v>275</v>
      </c>
      <c r="F30" s="31" t="s">
        <v>276</v>
      </c>
      <c r="G30" s="13">
        <v>19.899999999999999</v>
      </c>
      <c r="H30" s="105">
        <v>16</v>
      </c>
      <c r="I30" s="76"/>
      <c r="J30" s="115"/>
      <c r="R30" s="2">
        <f t="shared" si="3"/>
        <v>16.8</v>
      </c>
      <c r="S30" s="35">
        <f t="shared" si="4"/>
        <v>334.32</v>
      </c>
    </row>
    <row r="31" spans="1:19" ht="15" customHeight="1" x14ac:dyDescent="0.2">
      <c r="E31" s="31" t="s">
        <v>277</v>
      </c>
      <c r="F31" s="31" t="s">
        <v>273</v>
      </c>
      <c r="G31" s="13">
        <v>29</v>
      </c>
      <c r="H31" s="105">
        <v>16</v>
      </c>
      <c r="I31" s="76"/>
      <c r="J31" s="115"/>
      <c r="R31" s="2">
        <f t="shared" si="3"/>
        <v>16.8</v>
      </c>
      <c r="S31" s="35">
        <f t="shared" si="4"/>
        <v>487.20000000000005</v>
      </c>
    </row>
    <row r="32" spans="1:19" ht="15" customHeight="1" x14ac:dyDescent="0.2">
      <c r="E32" s="31" t="s">
        <v>278</v>
      </c>
      <c r="F32" s="31" t="s">
        <v>276</v>
      </c>
      <c r="G32" s="13">
        <v>19.899999999999999</v>
      </c>
      <c r="H32" s="105">
        <v>16</v>
      </c>
      <c r="I32" s="76"/>
      <c r="J32" s="115"/>
      <c r="R32" s="2">
        <f t="shared" si="3"/>
        <v>16.8</v>
      </c>
      <c r="S32" s="35">
        <f t="shared" si="4"/>
        <v>334.32</v>
      </c>
    </row>
    <row r="33" spans="1:20" ht="15" customHeight="1" x14ac:dyDescent="0.2">
      <c r="E33" s="97" t="s">
        <v>15</v>
      </c>
      <c r="F33" s="106"/>
      <c r="G33" s="107"/>
      <c r="H33" s="174"/>
      <c r="I33" s="76"/>
      <c r="J33" s="115"/>
      <c r="Q33" s="36">
        <f>SUM(H24:H32)</f>
        <v>115.5</v>
      </c>
      <c r="R33" s="2">
        <f>SUM(R24:R32)</f>
        <v>121.27499999999999</v>
      </c>
      <c r="S33" s="2">
        <f>SUM(S24:S32)</f>
        <v>3670.6425000000004</v>
      </c>
    </row>
    <row r="36" spans="1:20" ht="15" customHeight="1" x14ac:dyDescent="0.2">
      <c r="A36" s="395" t="s">
        <v>531</v>
      </c>
      <c r="B36" s="395"/>
      <c r="C36" s="395"/>
      <c r="E36" s="395" t="s">
        <v>533</v>
      </c>
      <c r="F36" s="395"/>
      <c r="G36" s="395"/>
      <c r="H36" s="395"/>
      <c r="L36" s="306" t="s">
        <v>900</v>
      </c>
      <c r="M36" s="220" t="s">
        <v>732</v>
      </c>
    </row>
    <row r="38" spans="1:20" ht="15" customHeight="1" x14ac:dyDescent="0.2">
      <c r="B38" s="155" t="s">
        <v>532</v>
      </c>
      <c r="C38" s="330">
        <v>3.5000000000000003E-2</v>
      </c>
      <c r="E38" s="319" t="s">
        <v>288</v>
      </c>
      <c r="F38" s="117" t="s">
        <v>289</v>
      </c>
    </row>
    <row r="39" spans="1:20" ht="15" customHeight="1" x14ac:dyDescent="0.2">
      <c r="E39" s="74" t="s">
        <v>294</v>
      </c>
      <c r="F39" s="111">
        <v>0.1</v>
      </c>
    </row>
    <row r="40" spans="1:20" ht="15" customHeight="1" x14ac:dyDescent="0.2">
      <c r="A40" s="319" t="s">
        <v>65</v>
      </c>
      <c r="B40" s="117" t="s">
        <v>279</v>
      </c>
      <c r="C40" s="117" t="s">
        <v>280</v>
      </c>
      <c r="E40" s="74" t="s">
        <v>295</v>
      </c>
      <c r="F40" s="111">
        <v>0.2</v>
      </c>
    </row>
    <row r="41" spans="1:20" ht="15" customHeight="1" x14ac:dyDescent="0.2">
      <c r="A41" s="31" t="s">
        <v>67</v>
      </c>
      <c r="B41" s="109">
        <v>1540</v>
      </c>
      <c r="C41" s="175"/>
      <c r="Q41" s="2">
        <f>B41+(B41*$C$38)</f>
        <v>1593.9</v>
      </c>
    </row>
    <row r="42" spans="1:20" ht="15" customHeight="1" x14ac:dyDescent="0.2">
      <c r="A42" s="31" t="s">
        <v>281</v>
      </c>
      <c r="B42" s="109">
        <v>1220</v>
      </c>
      <c r="C42" s="175"/>
      <c r="E42" s="261"/>
      <c r="F42" s="117" t="s">
        <v>23</v>
      </c>
      <c r="G42" s="117" t="s">
        <v>651</v>
      </c>
      <c r="H42" s="117" t="s">
        <v>652</v>
      </c>
      <c r="Q42" s="2">
        <f t="shared" ref="Q42:Q47" si="5">B42+(B42*$C$38)</f>
        <v>1262.7</v>
      </c>
    </row>
    <row r="43" spans="1:20" ht="15" customHeight="1" x14ac:dyDescent="0.2">
      <c r="A43" s="31" t="s">
        <v>282</v>
      </c>
      <c r="B43" s="109">
        <v>1220</v>
      </c>
      <c r="C43" s="175"/>
      <c r="E43" s="31" t="s">
        <v>290</v>
      </c>
      <c r="F43" s="13">
        <v>1.2</v>
      </c>
      <c r="G43" s="115"/>
      <c r="H43" s="115"/>
      <c r="Q43" s="2">
        <f t="shared" si="5"/>
        <v>1262.7</v>
      </c>
      <c r="S43" s="2">
        <f>F43-(F43*$F$39)</f>
        <v>1.08</v>
      </c>
      <c r="T43" s="2">
        <f>F43-(F43*$F$40)</f>
        <v>0.96</v>
      </c>
    </row>
    <row r="44" spans="1:20" ht="15" customHeight="1" x14ac:dyDescent="0.2">
      <c r="A44" s="31" t="s">
        <v>234</v>
      </c>
      <c r="B44" s="109">
        <v>1540</v>
      </c>
      <c r="C44" s="175"/>
      <c r="E44" s="31" t="s">
        <v>291</v>
      </c>
      <c r="F44" s="13">
        <v>1.4</v>
      </c>
      <c r="G44" s="115"/>
      <c r="H44" s="115"/>
      <c r="Q44" s="2">
        <f t="shared" si="5"/>
        <v>1593.9</v>
      </c>
      <c r="S44" s="2">
        <f t="shared" ref="S44:S46" si="6">F44-(F44*$F$39)</f>
        <v>1.26</v>
      </c>
      <c r="T44" s="2">
        <f t="shared" ref="T44:T46" si="7">F44-(F44*$F$40)</f>
        <v>1.1199999999999999</v>
      </c>
    </row>
    <row r="45" spans="1:20" ht="15" customHeight="1" x14ac:dyDescent="0.2">
      <c r="A45" s="31" t="s">
        <v>237</v>
      </c>
      <c r="B45" s="109">
        <v>750</v>
      </c>
      <c r="C45" s="175"/>
      <c r="E45" s="31" t="s">
        <v>292</v>
      </c>
      <c r="F45" s="13">
        <v>0.89</v>
      </c>
      <c r="G45" s="115"/>
      <c r="H45" s="115"/>
      <c r="I45" s="28"/>
      <c r="J45" s="28"/>
      <c r="Q45" s="2">
        <f t="shared" si="5"/>
        <v>776.25</v>
      </c>
      <c r="S45" s="2">
        <f t="shared" si="6"/>
        <v>0.80100000000000005</v>
      </c>
      <c r="T45" s="2">
        <f t="shared" si="7"/>
        <v>0.71199999999999997</v>
      </c>
    </row>
    <row r="46" spans="1:20" ht="15" customHeight="1" x14ac:dyDescent="0.2">
      <c r="A46" s="31" t="s">
        <v>283</v>
      </c>
      <c r="B46" s="109">
        <v>1800</v>
      </c>
      <c r="C46" s="175"/>
      <c r="E46" s="31" t="s">
        <v>293</v>
      </c>
      <c r="F46" s="13">
        <v>1.1000000000000001</v>
      </c>
      <c r="G46" s="115"/>
      <c r="H46" s="115"/>
      <c r="Q46" s="2">
        <f t="shared" si="5"/>
        <v>1863</v>
      </c>
      <c r="S46" s="2">
        <f t="shared" si="6"/>
        <v>0.9900000000000001</v>
      </c>
      <c r="T46" s="2">
        <f t="shared" si="7"/>
        <v>0.88000000000000012</v>
      </c>
    </row>
    <row r="47" spans="1:20" ht="15" customHeight="1" x14ac:dyDescent="0.2">
      <c r="A47" s="31" t="s">
        <v>284</v>
      </c>
      <c r="B47" s="109">
        <v>750</v>
      </c>
      <c r="C47" s="175"/>
      <c r="Q47" s="2">
        <f t="shared" si="5"/>
        <v>776.25</v>
      </c>
    </row>
    <row r="48" spans="1:20" ht="15" customHeight="1" x14ac:dyDescent="0.2">
      <c r="A48" s="80" t="s">
        <v>285</v>
      </c>
      <c r="B48" s="175"/>
      <c r="C48" s="175"/>
      <c r="P48" s="2">
        <f>SUM(B41:B47)</f>
        <v>8820</v>
      </c>
      <c r="Q48" s="2">
        <f>SUM(Q41:Q47)</f>
        <v>9128.7000000000007</v>
      </c>
    </row>
    <row r="49" spans="1:18" ht="15" customHeight="1" x14ac:dyDescent="0.2">
      <c r="A49" s="110" t="s">
        <v>287</v>
      </c>
      <c r="B49" s="175"/>
      <c r="C49" s="175"/>
      <c r="P49" s="2">
        <f>P48*12</f>
        <v>105840</v>
      </c>
      <c r="Q49" s="2">
        <f>Q48*12</f>
        <v>109544.40000000001</v>
      </c>
    </row>
    <row r="50" spans="1:18" ht="15" customHeight="1" x14ac:dyDescent="0.2">
      <c r="A50" s="81" t="s">
        <v>286</v>
      </c>
      <c r="B50" s="81"/>
      <c r="C50" s="115"/>
      <c r="Q50" s="2">
        <f>Q49-P49</f>
        <v>3704.4000000000087</v>
      </c>
    </row>
    <row r="53" spans="1:18" ht="15" customHeight="1" x14ac:dyDescent="0.2">
      <c r="E53" s="395" t="str">
        <f ca="1">"Umsatzentwicklung "&amp;YEAR(TODAY())-1</f>
        <v>Umsatzentwicklung 2024</v>
      </c>
      <c r="F53" s="395"/>
      <c r="G53" s="395"/>
      <c r="H53" s="395"/>
      <c r="L53" s="306" t="s">
        <v>900</v>
      </c>
      <c r="M53" s="220" t="s">
        <v>732</v>
      </c>
    </row>
    <row r="55" spans="1:18" ht="38.25" x14ac:dyDescent="0.2">
      <c r="E55" s="112" t="s">
        <v>65</v>
      </c>
      <c r="F55" s="75" t="s">
        <v>152</v>
      </c>
      <c r="G55" s="75" t="s">
        <v>534</v>
      </c>
      <c r="H55" s="75" t="s">
        <v>645</v>
      </c>
    </row>
    <row r="56" spans="1:18" ht="15" customHeight="1" x14ac:dyDescent="0.2">
      <c r="E56" s="27" t="s">
        <v>66</v>
      </c>
      <c r="F56" s="113">
        <v>4850</v>
      </c>
      <c r="G56" s="114"/>
      <c r="H56" s="114"/>
      <c r="Q56" s="2">
        <f>F56/SUM($F$56:$F$60)*100</f>
        <v>16.69535283993115</v>
      </c>
      <c r="R56" s="2">
        <f>100*F56/$P$62-100</f>
        <v>-16.523235800344239</v>
      </c>
    </row>
    <row r="57" spans="1:18" ht="15" customHeight="1" x14ac:dyDescent="0.2">
      <c r="E57" s="27" t="s">
        <v>236</v>
      </c>
      <c r="F57" s="113">
        <v>6920</v>
      </c>
      <c r="G57" s="114"/>
      <c r="H57" s="114"/>
      <c r="Q57" s="2">
        <f t="shared" ref="Q57:Q60" si="8">F57/SUM($F$56:$F$60)*100</f>
        <v>23.820998278829606</v>
      </c>
      <c r="R57" s="2">
        <f t="shared" ref="R57:R60" si="9">100*F57/$P$62-100</f>
        <v>19.104991394148016</v>
      </c>
    </row>
    <row r="58" spans="1:18" ht="15" customHeight="1" x14ac:dyDescent="0.2">
      <c r="E58" s="27" t="s">
        <v>234</v>
      </c>
      <c r="F58" s="113">
        <v>3980</v>
      </c>
      <c r="G58" s="114"/>
      <c r="H58" s="114"/>
      <c r="Q58" s="2">
        <f t="shared" si="8"/>
        <v>13.700516351118761</v>
      </c>
      <c r="R58" s="2">
        <f t="shared" si="9"/>
        <v>-31.497418244406191</v>
      </c>
    </row>
    <row r="59" spans="1:18" ht="15" customHeight="1" x14ac:dyDescent="0.2">
      <c r="E59" s="27" t="s">
        <v>237</v>
      </c>
      <c r="F59" s="113">
        <v>5460</v>
      </c>
      <c r="G59" s="114"/>
      <c r="H59" s="114"/>
      <c r="Q59" s="2">
        <f t="shared" si="8"/>
        <v>18.795180722891565</v>
      </c>
      <c r="R59" s="2">
        <f t="shared" si="9"/>
        <v>-6.0240963855421654</v>
      </c>
    </row>
    <row r="60" spans="1:18" ht="15" customHeight="1" x14ac:dyDescent="0.25">
      <c r="E60" s="27" t="s">
        <v>296</v>
      </c>
      <c r="F60" s="113">
        <v>7840</v>
      </c>
      <c r="G60" s="114"/>
      <c r="H60" s="114"/>
      <c r="I60"/>
      <c r="Q60" s="2">
        <f t="shared" si="8"/>
        <v>26.987951807228917</v>
      </c>
      <c r="R60" s="2">
        <f t="shared" si="9"/>
        <v>34.939759036144579</v>
      </c>
    </row>
    <row r="61" spans="1:18" ht="15" customHeight="1" x14ac:dyDescent="0.25">
      <c r="E61" s="81" t="s">
        <v>15</v>
      </c>
      <c r="F61" s="115"/>
      <c r="I61"/>
      <c r="P61" s="2">
        <f>SUM(F56:F60)</f>
        <v>29050</v>
      </c>
    </row>
    <row r="62" spans="1:18" ht="15" customHeight="1" x14ac:dyDescent="0.25">
      <c r="E62" s="81" t="s">
        <v>232</v>
      </c>
      <c r="F62" s="115"/>
      <c r="I62"/>
      <c r="P62" s="2">
        <f>AVERAGE(F56:F60)</f>
        <v>5810</v>
      </c>
    </row>
    <row r="63" spans="1:18" ht="15" customHeight="1" thickBot="1" x14ac:dyDescent="0.3">
      <c r="I63"/>
    </row>
    <row r="64" spans="1:18" ht="15" customHeight="1" x14ac:dyDescent="0.2">
      <c r="E64" s="386" t="s">
        <v>528</v>
      </c>
      <c r="F64" s="387"/>
      <c r="G64" s="387"/>
      <c r="H64" s="388"/>
    </row>
    <row r="65" spans="5:8" ht="15" customHeight="1" x14ac:dyDescent="0.2">
      <c r="E65" s="389"/>
      <c r="F65" s="390"/>
      <c r="G65" s="390"/>
      <c r="H65" s="391"/>
    </row>
    <row r="66" spans="5:8" ht="15" customHeight="1" thickBot="1" x14ac:dyDescent="0.25">
      <c r="E66" s="392"/>
      <c r="F66" s="393"/>
      <c r="G66" s="393"/>
      <c r="H66" s="394"/>
    </row>
  </sheetData>
  <sheetProtection sheet="1" objects="1" scenarios="1" formatCells="0"/>
  <protectedRanges>
    <protectedRange sqref="B8:B16 G10:G16 C24:C27 I24:J33 H33 C41:C50 B48:B49 G43:H46 F61:F62 G56:H60" name="Bereich1"/>
  </protectedRanges>
  <mergeCells count="8">
    <mergeCell ref="E64:H66"/>
    <mergeCell ref="E53:H53"/>
    <mergeCell ref="A2:J3"/>
    <mergeCell ref="A19:C19"/>
    <mergeCell ref="E5:G5"/>
    <mergeCell ref="E19:J19"/>
    <mergeCell ref="A36:C36"/>
    <mergeCell ref="E36:H36"/>
  </mergeCells>
  <conditionalFormatting sqref="B8:B16">
    <cfRule type="expression" dxfId="206" priority="25">
      <formula>AND(B8&lt;&gt;"",B8&lt;&gt;P8)</formula>
    </cfRule>
    <cfRule type="expression" dxfId="205" priority="26">
      <formula>AND(B8&lt;&gt;"",B8=P8)</formula>
    </cfRule>
  </conditionalFormatting>
  <conditionalFormatting sqref="G10:G16">
    <cfRule type="expression" dxfId="204" priority="23">
      <formula>AND(G10&lt;&gt;"",G10&lt;&gt;Q10)</formula>
    </cfRule>
    <cfRule type="expression" dxfId="203" priority="24">
      <formula>AND(G10&lt;&gt;"",G10=Q10)</formula>
    </cfRule>
  </conditionalFormatting>
  <conditionalFormatting sqref="C24:C27">
    <cfRule type="expression" dxfId="202" priority="21">
      <formula>AND(C24&lt;&gt;"",C24&lt;&gt;P24)</formula>
    </cfRule>
    <cfRule type="expression" dxfId="201" priority="22">
      <formula>AND(C24&lt;&gt;"",C24=P24)</formula>
    </cfRule>
  </conditionalFormatting>
  <conditionalFormatting sqref="H33">
    <cfRule type="expression" dxfId="200" priority="19">
      <formula>AND(H33&lt;&gt;"",H33&lt;&gt;Q33)</formula>
    </cfRule>
    <cfRule type="expression" dxfId="199" priority="20">
      <formula>AND(H33&lt;&gt;"",H33=Q33)</formula>
    </cfRule>
  </conditionalFormatting>
  <conditionalFormatting sqref="I24:I33">
    <cfRule type="expression" dxfId="198" priority="17">
      <formula>AND(I24&lt;&gt;"",I24&lt;&gt;R24)</formula>
    </cfRule>
    <cfRule type="expression" dxfId="197" priority="18">
      <formula>AND(I24&lt;&gt;"",I24=R24)</formula>
    </cfRule>
  </conditionalFormatting>
  <conditionalFormatting sqref="J24:J33">
    <cfRule type="expression" dxfId="196" priority="15">
      <formula>AND(J24&lt;&gt;"",J24&lt;&gt;S24)</formula>
    </cfRule>
    <cfRule type="expression" dxfId="195" priority="16">
      <formula>AND(J24&lt;&gt;"",J24=S24)</formula>
    </cfRule>
  </conditionalFormatting>
  <conditionalFormatting sqref="B48:B49 C49">
    <cfRule type="expression" dxfId="194" priority="13">
      <formula>AND(B48&lt;&gt;"",B48&lt;&gt;P48)</formula>
    </cfRule>
    <cfRule type="expression" dxfId="193" priority="14">
      <formula>AND(B48&lt;&gt;"",B48=P48)</formula>
    </cfRule>
  </conditionalFormatting>
  <conditionalFormatting sqref="C41:C48 C50">
    <cfRule type="expression" dxfId="192" priority="11">
      <formula>AND(C41&lt;&gt;"",C41&lt;&gt;Q41)</formula>
    </cfRule>
    <cfRule type="expression" dxfId="191" priority="12">
      <formula>AND(C41&lt;&gt;"",C41=Q41)</formula>
    </cfRule>
  </conditionalFormatting>
  <conditionalFormatting sqref="G43:G46">
    <cfRule type="expression" dxfId="190" priority="9">
      <formula>AND(G43&lt;&gt;"",G43&lt;&gt;S43)</formula>
    </cfRule>
    <cfRule type="expression" dxfId="189" priority="10">
      <formula>AND(G43&lt;&gt;"",G43=S43)</formula>
    </cfRule>
  </conditionalFormatting>
  <conditionalFormatting sqref="H43:H46">
    <cfRule type="expression" dxfId="188" priority="7">
      <formula>AND(H43&lt;&gt;"",H43&lt;&gt;T43)</formula>
    </cfRule>
    <cfRule type="expression" dxfId="187" priority="8">
      <formula>AND(H43&lt;&gt;"",H43=T43)</formula>
    </cfRule>
  </conditionalFormatting>
  <conditionalFormatting sqref="F61:F62">
    <cfRule type="expression" dxfId="186" priority="5">
      <formula>AND(F61&lt;&gt;"",F61&lt;&gt;P61)</formula>
    </cfRule>
    <cfRule type="expression" dxfId="185" priority="6">
      <formula>AND(F61&lt;&gt;"",F61=P61)</formula>
    </cfRule>
  </conditionalFormatting>
  <conditionalFormatting sqref="G56:G60">
    <cfRule type="expression" dxfId="184" priority="1">
      <formula>AND(G56&lt;&gt;"",G56&lt;&gt;Q56)</formula>
    </cfRule>
    <cfRule type="expression" dxfId="183" priority="4">
      <formula>AND(G56&lt;&gt;"",G56=Q56)</formula>
    </cfRule>
  </conditionalFormatting>
  <conditionalFormatting sqref="H56:H60">
    <cfRule type="expression" dxfId="182" priority="2">
      <formula>AND(H56&lt;&gt;"",H56&lt;&gt;R56)</formula>
    </cfRule>
    <cfRule type="expression" dxfId="181" priority="3">
      <formula>AND(H56&lt;&gt;"",H56=R56)</formula>
    </cfRule>
  </conditionalFormatting>
  <hyperlinks>
    <hyperlink ref="M2" location="Übersicht!A1" display="Zur Übersicht" xr:uid="{00000000-0004-0000-0400-000000000000}"/>
    <hyperlink ref="M19" location="Übersicht!A1" display="Zur Übersicht" xr:uid="{00000000-0004-0000-0400-000001000000}"/>
    <hyperlink ref="M36" location="Übersicht!A1" display="Zur Übersicht" xr:uid="{00000000-0004-0000-0400-000002000000}"/>
    <hyperlink ref="M53" location="Übersicht!A1" display="Zur Übersicht" xr:uid="{00000000-0004-0000-0400-000003000000}"/>
  </hyperlinks>
  <pageMargins left="0.25" right="0.25" top="0.75" bottom="0.75" header="0.3" footer="0.3"/>
  <pageSetup paperSize="9" orientation="landscape"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tabColor theme="5" tint="-0.249977111117893"/>
  </sheetPr>
  <dimension ref="A1:P45"/>
  <sheetViews>
    <sheetView showGridLines="0" zoomScaleNormal="100" workbookViewId="0">
      <selection activeCell="Q23" sqref="Q23"/>
    </sheetView>
  </sheetViews>
  <sheetFormatPr baseColWidth="10" defaultColWidth="11.42578125" defaultRowHeight="15" customHeight="1" x14ac:dyDescent="0.2"/>
  <cols>
    <col min="1" max="1" width="20.42578125" style="2" bestFit="1" customWidth="1"/>
    <col min="2" max="3" width="16.140625" style="2" customWidth="1"/>
    <col min="4" max="12" width="11.42578125" style="2"/>
    <col min="13" max="13" width="12.85546875" style="2" bestFit="1" customWidth="1"/>
    <col min="14" max="15" width="11.42578125" style="2"/>
    <col min="16" max="16" width="11.42578125" style="2" hidden="1" customWidth="1"/>
    <col min="17" max="16384" width="11.42578125" style="2"/>
  </cols>
  <sheetData>
    <row r="1" spans="1:16" ht="15" customHeight="1" thickBot="1" x14ac:dyDescent="0.25"/>
    <row r="2" spans="1:16" ht="15" customHeight="1" x14ac:dyDescent="0.2">
      <c r="A2" s="155" t="s">
        <v>65</v>
      </c>
      <c r="B2" s="156" t="s">
        <v>152</v>
      </c>
      <c r="C2" s="156" t="s">
        <v>511</v>
      </c>
      <c r="E2" s="406" t="s">
        <v>647</v>
      </c>
      <c r="F2" s="407"/>
      <c r="G2" s="407"/>
      <c r="H2" s="408"/>
      <c r="L2" s="306" t="s">
        <v>900</v>
      </c>
      <c r="M2" s="220" t="s">
        <v>732</v>
      </c>
    </row>
    <row r="3" spans="1:16" ht="15" customHeight="1" x14ac:dyDescent="0.2">
      <c r="A3" s="27" t="s">
        <v>212</v>
      </c>
      <c r="B3" s="32">
        <v>22880</v>
      </c>
      <c r="C3" s="76"/>
      <c r="E3" s="409"/>
      <c r="F3" s="410"/>
      <c r="G3" s="410"/>
      <c r="H3" s="411"/>
      <c r="P3" s="2" t="str">
        <f>IF(B3&gt;50000,"Prämie!"," ")</f>
        <v xml:space="preserve"> </v>
      </c>
    </row>
    <row r="4" spans="1:16" ht="15" customHeight="1" thickBot="1" x14ac:dyDescent="0.25">
      <c r="A4" s="27" t="s">
        <v>213</v>
      </c>
      <c r="B4" s="32">
        <v>68240</v>
      </c>
      <c r="C4" s="76"/>
      <c r="E4" s="412"/>
      <c r="F4" s="413"/>
      <c r="G4" s="413"/>
      <c r="H4" s="414"/>
      <c r="P4" s="2" t="str">
        <f t="shared" ref="P4:P15" si="0">IF(B4&gt;50000,"Prämie!"," ")</f>
        <v>Prämie!</v>
      </c>
    </row>
    <row r="5" spans="1:16" ht="15" customHeight="1" x14ac:dyDescent="0.2">
      <c r="A5" s="27" t="s">
        <v>214</v>
      </c>
      <c r="B5" s="32">
        <v>40270</v>
      </c>
      <c r="C5" s="76"/>
      <c r="P5" s="2" t="str">
        <f t="shared" si="0"/>
        <v xml:space="preserve"> </v>
      </c>
    </row>
    <row r="6" spans="1:16" ht="15" customHeight="1" x14ac:dyDescent="0.2">
      <c r="A6" s="27" t="s">
        <v>215</v>
      </c>
      <c r="B6" s="32">
        <v>41460</v>
      </c>
      <c r="C6" s="76"/>
      <c r="P6" s="2" t="str">
        <f t="shared" si="0"/>
        <v xml:space="preserve"> </v>
      </c>
    </row>
    <row r="7" spans="1:16" ht="15" customHeight="1" x14ac:dyDescent="0.2">
      <c r="A7" s="27" t="s">
        <v>216</v>
      </c>
      <c r="B7" s="32">
        <v>13260</v>
      </c>
      <c r="C7" s="76"/>
      <c r="P7" s="2" t="str">
        <f t="shared" si="0"/>
        <v xml:space="preserve"> </v>
      </c>
    </row>
    <row r="8" spans="1:16" ht="15" customHeight="1" x14ac:dyDescent="0.2">
      <c r="A8" s="27" t="s">
        <v>217</v>
      </c>
      <c r="B8" s="32">
        <v>72770</v>
      </c>
      <c r="C8" s="76"/>
      <c r="P8" s="2" t="str">
        <f t="shared" si="0"/>
        <v>Prämie!</v>
      </c>
    </row>
    <row r="9" spans="1:16" ht="15" customHeight="1" x14ac:dyDescent="0.2">
      <c r="A9" s="27" t="s">
        <v>218</v>
      </c>
      <c r="B9" s="32">
        <v>32200</v>
      </c>
      <c r="C9" s="76"/>
      <c r="P9" s="2" t="str">
        <f t="shared" si="0"/>
        <v xml:space="preserve"> </v>
      </c>
    </row>
    <row r="10" spans="1:16" ht="15" customHeight="1" x14ac:dyDescent="0.2">
      <c r="A10" s="27" t="s">
        <v>219</v>
      </c>
      <c r="B10" s="32">
        <v>30640</v>
      </c>
      <c r="C10" s="76"/>
      <c r="P10" s="2" t="str">
        <f t="shared" si="0"/>
        <v xml:space="preserve"> </v>
      </c>
    </row>
    <row r="11" spans="1:16" ht="15" customHeight="1" x14ac:dyDescent="0.2">
      <c r="A11" s="27" t="s">
        <v>220</v>
      </c>
      <c r="B11" s="32">
        <v>40070</v>
      </c>
      <c r="C11" s="76"/>
      <c r="P11" s="2" t="str">
        <f t="shared" si="0"/>
        <v xml:space="preserve"> </v>
      </c>
    </row>
    <row r="12" spans="1:16" ht="15" customHeight="1" x14ac:dyDescent="0.2">
      <c r="A12" s="27" t="s">
        <v>221</v>
      </c>
      <c r="B12" s="32">
        <v>72800</v>
      </c>
      <c r="C12" s="76"/>
      <c r="P12" s="2" t="str">
        <f t="shared" si="0"/>
        <v>Prämie!</v>
      </c>
    </row>
    <row r="13" spans="1:16" ht="15" customHeight="1" x14ac:dyDescent="0.2">
      <c r="A13" s="27" t="s">
        <v>222</v>
      </c>
      <c r="B13" s="32">
        <v>22360</v>
      </c>
      <c r="C13" s="76"/>
      <c r="P13" s="2" t="str">
        <f t="shared" si="0"/>
        <v xml:space="preserve"> </v>
      </c>
    </row>
    <row r="14" spans="1:16" ht="15" customHeight="1" x14ac:dyDescent="0.2">
      <c r="A14" s="27" t="s">
        <v>223</v>
      </c>
      <c r="B14" s="32">
        <v>63930</v>
      </c>
      <c r="C14" s="76"/>
      <c r="P14" s="2" t="str">
        <f t="shared" si="0"/>
        <v>Prämie!</v>
      </c>
    </row>
    <row r="15" spans="1:16" ht="15" customHeight="1" x14ac:dyDescent="0.2">
      <c r="A15" s="27" t="s">
        <v>224</v>
      </c>
      <c r="B15" s="32">
        <v>7520</v>
      </c>
      <c r="C15" s="76"/>
      <c r="P15" s="2" t="str">
        <f t="shared" si="0"/>
        <v xml:space="preserve"> </v>
      </c>
    </row>
    <row r="16" spans="1:16" ht="15" customHeight="1" thickBot="1" x14ac:dyDescent="0.25"/>
    <row r="17" spans="1:16" ht="15" customHeight="1" x14ac:dyDescent="0.2">
      <c r="A17" s="155" t="s">
        <v>65</v>
      </c>
      <c r="B17" s="156" t="s">
        <v>152</v>
      </c>
      <c r="C17" s="156" t="s">
        <v>511</v>
      </c>
      <c r="E17" s="406" t="s">
        <v>653</v>
      </c>
      <c r="F17" s="407"/>
      <c r="G17" s="407"/>
      <c r="H17" s="408"/>
      <c r="L17" s="306" t="s">
        <v>900</v>
      </c>
      <c r="M17" s="220" t="s">
        <v>732</v>
      </c>
    </row>
    <row r="18" spans="1:16" ht="15" customHeight="1" x14ac:dyDescent="0.2">
      <c r="A18" s="27" t="s">
        <v>212</v>
      </c>
      <c r="B18" s="32">
        <v>40850</v>
      </c>
      <c r="C18" s="76"/>
      <c r="E18" s="409"/>
      <c r="F18" s="410"/>
      <c r="G18" s="410"/>
      <c r="H18" s="411"/>
      <c r="P18" s="2" t="str">
        <f>IF(B18&gt;=50000,"Prämie!",IF(B18&lt;15000,"Kontrolle!"," "))</f>
        <v xml:space="preserve"> </v>
      </c>
    </row>
    <row r="19" spans="1:16" ht="15" customHeight="1" x14ac:dyDescent="0.2">
      <c r="A19" s="27" t="s">
        <v>213</v>
      </c>
      <c r="B19" s="32">
        <v>69090</v>
      </c>
      <c r="C19" s="76"/>
      <c r="E19" s="409"/>
      <c r="F19" s="410"/>
      <c r="G19" s="410"/>
      <c r="H19" s="411"/>
      <c r="P19" s="2" t="str">
        <f t="shared" ref="P19:P30" si="1">IF(B19&gt;=50000,"Prämie!",IF(B19&lt;15000,"Kontrolle!"," "))</f>
        <v>Prämie!</v>
      </c>
    </row>
    <row r="20" spans="1:16" ht="15" customHeight="1" thickBot="1" x14ac:dyDescent="0.25">
      <c r="A20" s="27" t="s">
        <v>214</v>
      </c>
      <c r="B20" s="32">
        <v>10440</v>
      </c>
      <c r="C20" s="76"/>
      <c r="E20" s="412"/>
      <c r="F20" s="413"/>
      <c r="G20" s="413"/>
      <c r="H20" s="414"/>
      <c r="P20" s="2" t="str">
        <f t="shared" si="1"/>
        <v>Kontrolle!</v>
      </c>
    </row>
    <row r="21" spans="1:16" ht="15" customHeight="1" x14ac:dyDescent="0.2">
      <c r="A21" s="27" t="s">
        <v>215</v>
      </c>
      <c r="B21" s="32">
        <v>13760</v>
      </c>
      <c r="C21" s="76"/>
      <c r="P21" s="2" t="str">
        <f t="shared" si="1"/>
        <v>Kontrolle!</v>
      </c>
    </row>
    <row r="22" spans="1:16" ht="15" customHeight="1" x14ac:dyDescent="0.2">
      <c r="A22" s="27" t="s">
        <v>216</v>
      </c>
      <c r="B22" s="32">
        <v>40220</v>
      </c>
      <c r="C22" s="76"/>
      <c r="P22" s="2" t="str">
        <f t="shared" si="1"/>
        <v xml:space="preserve"> </v>
      </c>
    </row>
    <row r="23" spans="1:16" ht="15" customHeight="1" x14ac:dyDescent="0.2">
      <c r="A23" s="27" t="s">
        <v>217</v>
      </c>
      <c r="B23" s="32">
        <v>55180</v>
      </c>
      <c r="C23" s="76"/>
      <c r="P23" s="2" t="str">
        <f t="shared" si="1"/>
        <v>Prämie!</v>
      </c>
    </row>
    <row r="24" spans="1:16" ht="15" customHeight="1" x14ac:dyDescent="0.2">
      <c r="A24" s="27" t="s">
        <v>218</v>
      </c>
      <c r="B24" s="32">
        <v>47290</v>
      </c>
      <c r="C24" s="76"/>
      <c r="P24" s="2" t="str">
        <f t="shared" si="1"/>
        <v xml:space="preserve"> </v>
      </c>
    </row>
    <row r="25" spans="1:16" ht="15" customHeight="1" x14ac:dyDescent="0.2">
      <c r="A25" s="27" t="s">
        <v>219</v>
      </c>
      <c r="B25" s="32">
        <v>55780</v>
      </c>
      <c r="C25" s="76"/>
      <c r="P25" s="2" t="str">
        <f t="shared" si="1"/>
        <v>Prämie!</v>
      </c>
    </row>
    <row r="26" spans="1:16" ht="15" customHeight="1" x14ac:dyDescent="0.2">
      <c r="A26" s="27" t="s">
        <v>220</v>
      </c>
      <c r="B26" s="32">
        <v>67280</v>
      </c>
      <c r="C26" s="76"/>
      <c r="P26" s="2" t="str">
        <f t="shared" si="1"/>
        <v>Prämie!</v>
      </c>
    </row>
    <row r="27" spans="1:16" ht="15" customHeight="1" x14ac:dyDescent="0.2">
      <c r="A27" s="27" t="s">
        <v>221</v>
      </c>
      <c r="B27" s="32">
        <v>7290</v>
      </c>
      <c r="C27" s="76"/>
      <c r="P27" s="2" t="str">
        <f t="shared" si="1"/>
        <v>Kontrolle!</v>
      </c>
    </row>
    <row r="28" spans="1:16" ht="15" customHeight="1" x14ac:dyDescent="0.2">
      <c r="A28" s="27" t="s">
        <v>222</v>
      </c>
      <c r="B28" s="32">
        <v>67400</v>
      </c>
      <c r="C28" s="76"/>
      <c r="P28" s="2" t="str">
        <f t="shared" si="1"/>
        <v>Prämie!</v>
      </c>
    </row>
    <row r="29" spans="1:16" ht="15" customHeight="1" x14ac:dyDescent="0.2">
      <c r="A29" s="27" t="s">
        <v>223</v>
      </c>
      <c r="B29" s="32">
        <v>41160</v>
      </c>
      <c r="C29" s="76"/>
      <c r="P29" s="2" t="str">
        <f t="shared" si="1"/>
        <v xml:space="preserve"> </v>
      </c>
    </row>
    <row r="30" spans="1:16" ht="15" customHeight="1" x14ac:dyDescent="0.2">
      <c r="A30" s="27" t="s">
        <v>224</v>
      </c>
      <c r="B30" s="32">
        <v>34680</v>
      </c>
      <c r="C30" s="76"/>
      <c r="P30" s="2" t="str">
        <f t="shared" si="1"/>
        <v xml:space="preserve"> </v>
      </c>
    </row>
    <row r="31" spans="1:16" ht="15" customHeight="1" thickBot="1" x14ac:dyDescent="0.25"/>
    <row r="32" spans="1:16" ht="15" customHeight="1" x14ac:dyDescent="0.2">
      <c r="A32" s="116" t="s">
        <v>65</v>
      </c>
      <c r="B32" s="117" t="s">
        <v>152</v>
      </c>
      <c r="C32" s="117" t="s">
        <v>227</v>
      </c>
      <c r="E32" s="406" t="s">
        <v>509</v>
      </c>
      <c r="F32" s="407"/>
      <c r="G32" s="407"/>
      <c r="H32" s="408"/>
      <c r="L32" s="306" t="s">
        <v>900</v>
      </c>
      <c r="M32" s="220" t="s">
        <v>732</v>
      </c>
    </row>
    <row r="33" spans="1:16" ht="15" customHeight="1" x14ac:dyDescent="0.2">
      <c r="A33" s="27" t="s">
        <v>212</v>
      </c>
      <c r="B33" s="118">
        <v>19010</v>
      </c>
      <c r="C33" s="90"/>
      <c r="E33" s="409"/>
      <c r="F33" s="410"/>
      <c r="G33" s="410"/>
      <c r="H33" s="411"/>
      <c r="P33" s="2">
        <f>2500+IF(B33&gt;50000,(B33-50000)*3.5%,0)</f>
        <v>2500</v>
      </c>
    </row>
    <row r="34" spans="1:16" ht="15" customHeight="1" x14ac:dyDescent="0.2">
      <c r="A34" s="27" t="s">
        <v>213</v>
      </c>
      <c r="B34" s="118">
        <v>10130</v>
      </c>
      <c r="C34" s="90"/>
      <c r="E34" s="409"/>
      <c r="F34" s="410"/>
      <c r="G34" s="410"/>
      <c r="H34" s="411"/>
      <c r="P34" s="2">
        <f t="shared" ref="P34:P45" si="2">2500+IF(B34&gt;50000,(B34-50000)*3.5%,0)</f>
        <v>2500</v>
      </c>
    </row>
    <row r="35" spans="1:16" ht="15" customHeight="1" thickBot="1" x14ac:dyDescent="0.25">
      <c r="A35" s="27" t="s">
        <v>214</v>
      </c>
      <c r="B35" s="118">
        <v>55590</v>
      </c>
      <c r="C35" s="90"/>
      <c r="E35" s="412"/>
      <c r="F35" s="413"/>
      <c r="G35" s="413"/>
      <c r="H35" s="414"/>
      <c r="P35" s="2">
        <f t="shared" si="2"/>
        <v>2695.65</v>
      </c>
    </row>
    <row r="36" spans="1:16" ht="15" customHeight="1" x14ac:dyDescent="0.2">
      <c r="A36" s="27" t="s">
        <v>215</v>
      </c>
      <c r="B36" s="118">
        <v>11200</v>
      </c>
      <c r="C36" s="90"/>
      <c r="P36" s="2">
        <f t="shared" si="2"/>
        <v>2500</v>
      </c>
    </row>
    <row r="37" spans="1:16" ht="15" customHeight="1" x14ac:dyDescent="0.2">
      <c r="A37" s="27" t="s">
        <v>216</v>
      </c>
      <c r="B37" s="118">
        <v>79090</v>
      </c>
      <c r="C37" s="90"/>
      <c r="D37" s="33"/>
      <c r="E37" s="33"/>
      <c r="F37" s="33"/>
      <c r="P37" s="2">
        <f t="shared" si="2"/>
        <v>3518.15</v>
      </c>
    </row>
    <row r="38" spans="1:16" ht="15" customHeight="1" x14ac:dyDescent="0.2">
      <c r="A38" s="27" t="s">
        <v>217</v>
      </c>
      <c r="B38" s="118">
        <v>77130</v>
      </c>
      <c r="C38" s="90"/>
      <c r="P38" s="2">
        <f t="shared" si="2"/>
        <v>3449.55</v>
      </c>
    </row>
    <row r="39" spans="1:16" ht="15" customHeight="1" x14ac:dyDescent="0.2">
      <c r="A39" s="27" t="s">
        <v>218</v>
      </c>
      <c r="B39" s="118">
        <v>23830</v>
      </c>
      <c r="C39" s="90"/>
      <c r="P39" s="2">
        <f t="shared" si="2"/>
        <v>2500</v>
      </c>
    </row>
    <row r="40" spans="1:16" ht="15" customHeight="1" x14ac:dyDescent="0.2">
      <c r="A40" s="27" t="s">
        <v>219</v>
      </c>
      <c r="B40" s="118">
        <v>19380</v>
      </c>
      <c r="C40" s="90"/>
      <c r="P40" s="2">
        <f t="shared" si="2"/>
        <v>2500</v>
      </c>
    </row>
    <row r="41" spans="1:16" ht="15" customHeight="1" x14ac:dyDescent="0.2">
      <c r="A41" s="27" t="s">
        <v>220</v>
      </c>
      <c r="B41" s="118">
        <v>18010</v>
      </c>
      <c r="C41" s="90"/>
      <c r="P41" s="2">
        <f t="shared" si="2"/>
        <v>2500</v>
      </c>
    </row>
    <row r="42" spans="1:16" ht="15" customHeight="1" x14ac:dyDescent="0.2">
      <c r="A42" s="27" t="s">
        <v>221</v>
      </c>
      <c r="B42" s="118">
        <v>49780</v>
      </c>
      <c r="C42" s="90"/>
      <c r="P42" s="2">
        <f t="shared" si="2"/>
        <v>2500</v>
      </c>
    </row>
    <row r="43" spans="1:16" ht="15" customHeight="1" x14ac:dyDescent="0.2">
      <c r="A43" s="27" t="s">
        <v>222</v>
      </c>
      <c r="B43" s="118">
        <v>38080</v>
      </c>
      <c r="C43" s="90"/>
      <c r="P43" s="2">
        <f t="shared" si="2"/>
        <v>2500</v>
      </c>
    </row>
    <row r="44" spans="1:16" ht="15" customHeight="1" x14ac:dyDescent="0.2">
      <c r="A44" s="27" t="s">
        <v>223</v>
      </c>
      <c r="B44" s="118">
        <v>48740</v>
      </c>
      <c r="C44" s="90"/>
      <c r="P44" s="2">
        <f t="shared" si="2"/>
        <v>2500</v>
      </c>
    </row>
    <row r="45" spans="1:16" ht="15" customHeight="1" x14ac:dyDescent="0.2">
      <c r="A45" s="27" t="s">
        <v>224</v>
      </c>
      <c r="B45" s="118">
        <v>59940</v>
      </c>
      <c r="C45" s="90"/>
      <c r="P45" s="2">
        <f t="shared" si="2"/>
        <v>2847.9</v>
      </c>
    </row>
  </sheetData>
  <sheetProtection sheet="1" objects="1" scenarios="1" formatCells="0"/>
  <protectedRanges>
    <protectedRange sqref="C3:C15 C18:C30 C33:C45" name="Bereich1"/>
  </protectedRanges>
  <mergeCells count="3">
    <mergeCell ref="E2:H4"/>
    <mergeCell ref="E17:H20"/>
    <mergeCell ref="E32:H35"/>
  </mergeCells>
  <conditionalFormatting sqref="C3:C15 C18:C30 C33:C45">
    <cfRule type="expression" dxfId="180" priority="4">
      <formula>AND(C3&lt;&gt;"",C3&lt;&gt;P3)</formula>
    </cfRule>
    <cfRule type="expression" dxfId="179" priority="5">
      <formula>AND(C3&lt;&gt;"",C3=P3)</formula>
    </cfRule>
  </conditionalFormatting>
  <conditionalFormatting sqref="C3:C15">
    <cfRule type="containsErrors" dxfId="178" priority="3">
      <formula>ISERROR(C3)</formula>
    </cfRule>
  </conditionalFormatting>
  <conditionalFormatting sqref="C18:C30">
    <cfRule type="containsErrors" dxfId="177" priority="2">
      <formula>ISERROR(C18)</formula>
    </cfRule>
  </conditionalFormatting>
  <conditionalFormatting sqref="C33:C45">
    <cfRule type="containsErrors" dxfId="176" priority="1">
      <formula>ISERROR(C33)</formula>
    </cfRule>
  </conditionalFormatting>
  <hyperlinks>
    <hyperlink ref="M2" location="Übersicht!A1" display="Zur Übersicht" xr:uid="{00000000-0004-0000-0500-000000000000}"/>
    <hyperlink ref="M17" location="Übersicht!A1" display="Zur Übersicht" xr:uid="{00000000-0004-0000-0500-000001000000}"/>
    <hyperlink ref="M32" location="Übersicht!A1" display="Zur Übersicht" xr:uid="{00000000-0004-0000-0500-000002000000}"/>
  </hyperlinks>
  <pageMargins left="0.7" right="0.7" top="0.78740157499999996" bottom="0.78740157499999996"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theme="5" tint="-0.249977111117893"/>
  </sheetPr>
  <dimension ref="A1:P74"/>
  <sheetViews>
    <sheetView showGridLines="0" zoomScaleNormal="100" workbookViewId="0">
      <selection activeCell="L74" sqref="L74:M74"/>
    </sheetView>
  </sheetViews>
  <sheetFormatPr baseColWidth="10" defaultColWidth="11.42578125" defaultRowHeight="15" customHeight="1" x14ac:dyDescent="0.2"/>
  <cols>
    <col min="1" max="1" width="21" style="2" bestFit="1" customWidth="1"/>
    <col min="2" max="2" width="11.85546875" style="2" customWidth="1"/>
    <col min="3" max="3" width="15.7109375" style="2" customWidth="1"/>
    <col min="4" max="4" width="11.42578125" style="2"/>
    <col min="5" max="8" width="11.7109375" style="2" customWidth="1"/>
    <col min="9" max="12" width="11.42578125" style="2"/>
    <col min="13" max="13" width="12.85546875" style="2" bestFit="1" customWidth="1"/>
    <col min="14" max="14" width="11.42578125" style="2"/>
    <col min="15" max="15" width="11.42578125" style="2" customWidth="1"/>
    <col min="16" max="16" width="11.42578125" style="2" hidden="1" customWidth="1"/>
    <col min="17" max="17" width="11.42578125" style="2" customWidth="1"/>
    <col min="18" max="16384" width="11.42578125" style="2"/>
  </cols>
  <sheetData>
    <row r="1" spans="1:16" ht="15" customHeight="1" thickBot="1" x14ac:dyDescent="0.25"/>
    <row r="2" spans="1:16" ht="15" customHeight="1" x14ac:dyDescent="0.2">
      <c r="A2" s="116" t="s">
        <v>65</v>
      </c>
      <c r="B2" s="117" t="s">
        <v>152</v>
      </c>
      <c r="C2" s="117" t="s">
        <v>511</v>
      </c>
      <c r="E2" s="422" t="s">
        <v>225</v>
      </c>
      <c r="F2" s="423"/>
      <c r="G2" s="423"/>
      <c r="H2" s="424"/>
      <c r="L2" s="306" t="s">
        <v>900</v>
      </c>
      <c r="M2" s="220" t="s">
        <v>732</v>
      </c>
    </row>
    <row r="3" spans="1:16" ht="15" customHeight="1" x14ac:dyDescent="0.2">
      <c r="A3" s="27" t="s">
        <v>153</v>
      </c>
      <c r="B3" s="32">
        <v>33950</v>
      </c>
      <c r="C3" s="76"/>
      <c r="E3" s="428"/>
      <c r="F3" s="429"/>
      <c r="G3" s="429"/>
      <c r="H3" s="430"/>
      <c r="P3" s="2" t="s">
        <v>637</v>
      </c>
    </row>
    <row r="4" spans="1:16" ht="15" customHeight="1" x14ac:dyDescent="0.2">
      <c r="A4" s="27" t="s">
        <v>154</v>
      </c>
      <c r="B4" s="32">
        <v>21290</v>
      </c>
      <c r="C4" s="76"/>
      <c r="E4" s="428"/>
      <c r="F4" s="429"/>
      <c r="G4" s="429"/>
      <c r="H4" s="430"/>
      <c r="P4" s="2" t="s">
        <v>637</v>
      </c>
    </row>
    <row r="5" spans="1:16" ht="15" customHeight="1" thickBot="1" x14ac:dyDescent="0.25">
      <c r="A5" s="27" t="s">
        <v>155</v>
      </c>
      <c r="B5" s="32">
        <v>33100</v>
      </c>
      <c r="C5" s="76"/>
      <c r="E5" s="425"/>
      <c r="F5" s="426"/>
      <c r="G5" s="426"/>
      <c r="H5" s="427"/>
      <c r="P5" s="2" t="s">
        <v>637</v>
      </c>
    </row>
    <row r="6" spans="1:16" ht="15" customHeight="1" x14ac:dyDescent="0.2">
      <c r="A6" s="27" t="s">
        <v>156</v>
      </c>
      <c r="B6" s="32">
        <v>47630</v>
      </c>
      <c r="C6" s="76"/>
      <c r="P6" s="2" t="s">
        <v>637</v>
      </c>
    </row>
    <row r="7" spans="1:16" ht="15" customHeight="1" x14ac:dyDescent="0.2">
      <c r="A7" s="27" t="s">
        <v>157</v>
      </c>
      <c r="B7" s="32">
        <v>34760</v>
      </c>
      <c r="C7" s="76"/>
      <c r="P7" s="2" t="s">
        <v>637</v>
      </c>
    </row>
    <row r="8" spans="1:16" ht="15" customHeight="1" x14ac:dyDescent="0.2">
      <c r="A8" s="27" t="s">
        <v>158</v>
      </c>
      <c r="B8" s="32">
        <v>59630</v>
      </c>
      <c r="C8" s="76"/>
      <c r="P8" s="2" t="s">
        <v>635</v>
      </c>
    </row>
    <row r="9" spans="1:16" ht="15" customHeight="1" x14ac:dyDescent="0.2">
      <c r="A9" s="27" t="s">
        <v>159</v>
      </c>
      <c r="B9" s="32">
        <v>33960</v>
      </c>
      <c r="C9" s="76"/>
      <c r="P9" s="2" t="s">
        <v>637</v>
      </c>
    </row>
    <row r="10" spans="1:16" ht="15" customHeight="1" x14ac:dyDescent="0.2">
      <c r="A10" s="27" t="s">
        <v>160</v>
      </c>
      <c r="B10" s="32">
        <v>49840</v>
      </c>
      <c r="C10" s="76"/>
      <c r="P10" s="2" t="s">
        <v>637</v>
      </c>
    </row>
    <row r="11" spans="1:16" ht="15" customHeight="1" x14ac:dyDescent="0.2">
      <c r="A11" s="27" t="s">
        <v>161</v>
      </c>
      <c r="B11" s="32">
        <v>38260</v>
      </c>
      <c r="C11" s="76"/>
      <c r="P11" s="2" t="s">
        <v>637</v>
      </c>
    </row>
    <row r="12" spans="1:16" ht="15" customHeight="1" x14ac:dyDescent="0.2">
      <c r="A12" s="27" t="s">
        <v>162</v>
      </c>
      <c r="B12" s="32">
        <v>14850</v>
      </c>
      <c r="C12" s="76"/>
      <c r="P12" s="2" t="s">
        <v>636</v>
      </c>
    </row>
    <row r="13" spans="1:16" ht="15" customHeight="1" x14ac:dyDescent="0.2">
      <c r="A13" s="27" t="s">
        <v>163</v>
      </c>
      <c r="B13" s="32">
        <v>63100</v>
      </c>
      <c r="C13" s="76"/>
      <c r="P13" s="2" t="s">
        <v>635</v>
      </c>
    </row>
    <row r="14" spans="1:16" ht="15" customHeight="1" x14ac:dyDescent="0.2">
      <c r="A14" s="27" t="s">
        <v>164</v>
      </c>
      <c r="B14" s="32">
        <v>42610</v>
      </c>
      <c r="C14" s="76"/>
      <c r="P14" s="2" t="s">
        <v>637</v>
      </c>
    </row>
    <row r="15" spans="1:16" ht="15" customHeight="1" x14ac:dyDescent="0.2">
      <c r="A15" s="27" t="s">
        <v>165</v>
      </c>
      <c r="B15" s="32">
        <v>12700</v>
      </c>
      <c r="C15" s="76"/>
      <c r="P15" s="2" t="s">
        <v>636</v>
      </c>
    </row>
    <row r="16" spans="1:16" ht="15" customHeight="1" x14ac:dyDescent="0.2">
      <c r="A16" s="27" t="s">
        <v>166</v>
      </c>
      <c r="B16" s="32">
        <v>23240</v>
      </c>
      <c r="C16" s="76"/>
      <c r="P16" s="2" t="s">
        <v>637</v>
      </c>
    </row>
    <row r="17" spans="1:16" ht="15" customHeight="1" x14ac:dyDescent="0.2">
      <c r="A17" s="27" t="s">
        <v>167</v>
      </c>
      <c r="B17" s="32">
        <v>39110</v>
      </c>
      <c r="C17" s="76"/>
      <c r="P17" s="2" t="s">
        <v>637</v>
      </c>
    </row>
    <row r="18" spans="1:16" ht="15" customHeight="1" x14ac:dyDescent="0.2">
      <c r="A18" s="27" t="s">
        <v>168</v>
      </c>
      <c r="B18" s="32">
        <v>73530</v>
      </c>
      <c r="C18" s="76"/>
      <c r="P18" s="2" t="s">
        <v>635</v>
      </c>
    </row>
    <row r="19" spans="1:16" ht="15" customHeight="1" x14ac:dyDescent="0.2">
      <c r="A19" s="27" t="s">
        <v>169</v>
      </c>
      <c r="B19" s="32">
        <v>82400</v>
      </c>
      <c r="C19" s="76"/>
      <c r="P19" s="2" t="s">
        <v>638</v>
      </c>
    </row>
    <row r="20" spans="1:16" ht="15" customHeight="1" x14ac:dyDescent="0.2">
      <c r="A20" s="27" t="s">
        <v>170</v>
      </c>
      <c r="B20" s="32">
        <v>47090</v>
      </c>
      <c r="C20" s="76"/>
      <c r="P20" s="2" t="s">
        <v>637</v>
      </c>
    </row>
    <row r="21" spans="1:16" ht="15" customHeight="1" x14ac:dyDescent="0.2">
      <c r="A21" s="27" t="s">
        <v>171</v>
      </c>
      <c r="B21" s="32">
        <v>11470</v>
      </c>
      <c r="C21" s="76"/>
      <c r="P21" s="2" t="s">
        <v>636</v>
      </c>
    </row>
    <row r="22" spans="1:16" ht="15" customHeight="1" x14ac:dyDescent="0.2">
      <c r="A22" s="27" t="s">
        <v>172</v>
      </c>
      <c r="B22" s="32">
        <v>47140</v>
      </c>
      <c r="C22" s="76"/>
      <c r="P22" s="2" t="s">
        <v>637</v>
      </c>
    </row>
    <row r="23" spans="1:16" ht="15" customHeight="1" x14ac:dyDescent="0.2">
      <c r="A23" s="27" t="s">
        <v>173</v>
      </c>
      <c r="B23" s="32">
        <v>58430</v>
      </c>
      <c r="C23" s="76"/>
      <c r="P23" s="2" t="s">
        <v>635</v>
      </c>
    </row>
    <row r="24" spans="1:16" ht="15" customHeight="1" x14ac:dyDescent="0.2">
      <c r="A24" s="27" t="s">
        <v>174</v>
      </c>
      <c r="B24" s="32">
        <v>36440</v>
      </c>
      <c r="C24" s="76"/>
      <c r="P24" s="2" t="s">
        <v>637</v>
      </c>
    </row>
    <row r="25" spans="1:16" ht="15" customHeight="1" x14ac:dyDescent="0.2">
      <c r="A25" s="27" t="s">
        <v>175</v>
      </c>
      <c r="B25" s="32">
        <v>25120</v>
      </c>
      <c r="C25" s="76"/>
      <c r="P25" s="2" t="s">
        <v>637</v>
      </c>
    </row>
    <row r="26" spans="1:16" ht="15" customHeight="1" x14ac:dyDescent="0.2">
      <c r="A26" s="27" t="s">
        <v>176</v>
      </c>
      <c r="B26" s="32">
        <v>10520</v>
      </c>
      <c r="C26" s="76"/>
      <c r="P26" s="2" t="s">
        <v>636</v>
      </c>
    </row>
    <row r="27" spans="1:16" ht="15" customHeight="1" x14ac:dyDescent="0.2">
      <c r="A27" s="27" t="s">
        <v>177</v>
      </c>
      <c r="B27" s="32">
        <v>22300</v>
      </c>
      <c r="C27" s="76"/>
      <c r="P27" s="2" t="s">
        <v>637</v>
      </c>
    </row>
    <row r="28" spans="1:16" ht="15" customHeight="1" x14ac:dyDescent="0.2">
      <c r="A28" s="27" t="s">
        <v>178</v>
      </c>
      <c r="B28" s="32">
        <v>66160</v>
      </c>
      <c r="C28" s="76"/>
      <c r="P28" s="2" t="s">
        <v>635</v>
      </c>
    </row>
    <row r="29" spans="1:16" ht="15" customHeight="1" x14ac:dyDescent="0.2">
      <c r="A29" s="27" t="s">
        <v>179</v>
      </c>
      <c r="B29" s="32">
        <v>76940</v>
      </c>
      <c r="C29" s="76"/>
      <c r="P29" s="2" t="s">
        <v>635</v>
      </c>
    </row>
    <row r="30" spans="1:16" ht="15" customHeight="1" x14ac:dyDescent="0.2">
      <c r="A30" s="27" t="s">
        <v>180</v>
      </c>
      <c r="B30" s="32">
        <v>44030</v>
      </c>
      <c r="C30" s="76"/>
      <c r="P30" s="2" t="s">
        <v>637</v>
      </c>
    </row>
    <row r="31" spans="1:16" ht="15" customHeight="1" x14ac:dyDescent="0.2">
      <c r="A31" s="27" t="s">
        <v>181</v>
      </c>
      <c r="B31" s="32">
        <v>41880</v>
      </c>
      <c r="C31" s="76"/>
      <c r="P31" s="2" t="s">
        <v>637</v>
      </c>
    </row>
    <row r="32" spans="1:16" ht="15" customHeight="1" x14ac:dyDescent="0.2">
      <c r="A32" s="27" t="s">
        <v>182</v>
      </c>
      <c r="B32" s="32">
        <v>51540</v>
      </c>
      <c r="C32" s="76"/>
      <c r="P32" s="2" t="s">
        <v>635</v>
      </c>
    </row>
    <row r="33" spans="1:16" ht="15" customHeight="1" x14ac:dyDescent="0.2">
      <c r="A33" s="27" t="s">
        <v>183</v>
      </c>
      <c r="B33" s="32">
        <v>7920</v>
      </c>
      <c r="C33" s="76"/>
      <c r="P33" s="2" t="s">
        <v>636</v>
      </c>
    </row>
    <row r="34" spans="1:16" ht="15" customHeight="1" x14ac:dyDescent="0.2">
      <c r="A34" s="27" t="s">
        <v>184</v>
      </c>
      <c r="B34" s="32">
        <v>49960</v>
      </c>
      <c r="C34" s="76"/>
      <c r="P34" s="2" t="s">
        <v>637</v>
      </c>
    </row>
    <row r="35" spans="1:16" ht="15" customHeight="1" x14ac:dyDescent="0.2">
      <c r="A35" s="27" t="s">
        <v>185</v>
      </c>
      <c r="B35" s="32">
        <v>11450</v>
      </c>
      <c r="C35" s="76"/>
      <c r="P35" s="2" t="s">
        <v>636</v>
      </c>
    </row>
    <row r="36" spans="1:16" ht="15" customHeight="1" x14ac:dyDescent="0.2">
      <c r="A36" s="27" t="s">
        <v>186</v>
      </c>
      <c r="B36" s="32">
        <v>40980</v>
      </c>
      <c r="C36" s="76"/>
      <c r="P36" s="2" t="s">
        <v>637</v>
      </c>
    </row>
    <row r="37" spans="1:16" ht="15" customHeight="1" x14ac:dyDescent="0.2">
      <c r="A37" s="27" t="s">
        <v>187</v>
      </c>
      <c r="B37" s="32">
        <v>35720</v>
      </c>
      <c r="C37" s="76"/>
      <c r="P37" s="2" t="s">
        <v>637</v>
      </c>
    </row>
    <row r="38" spans="1:16" ht="15" customHeight="1" x14ac:dyDescent="0.2">
      <c r="A38" s="27" t="s">
        <v>188</v>
      </c>
      <c r="B38" s="32">
        <v>20610</v>
      </c>
      <c r="C38" s="76"/>
      <c r="P38" s="2" t="s">
        <v>637</v>
      </c>
    </row>
    <row r="39" spans="1:16" ht="15" customHeight="1" x14ac:dyDescent="0.2">
      <c r="A39" s="27" t="s">
        <v>189</v>
      </c>
      <c r="B39" s="32">
        <v>23350</v>
      </c>
      <c r="C39" s="76"/>
      <c r="P39" s="2" t="s">
        <v>637</v>
      </c>
    </row>
    <row r="40" spans="1:16" ht="15" customHeight="1" x14ac:dyDescent="0.2">
      <c r="A40" s="27" t="s">
        <v>190</v>
      </c>
      <c r="B40" s="32">
        <v>21530</v>
      </c>
      <c r="C40" s="76"/>
      <c r="P40" s="2" t="s">
        <v>637</v>
      </c>
    </row>
    <row r="41" spans="1:16" ht="15" customHeight="1" x14ac:dyDescent="0.2">
      <c r="A41" s="27" t="s">
        <v>191</v>
      </c>
      <c r="B41" s="32">
        <v>11070</v>
      </c>
      <c r="C41" s="76"/>
      <c r="P41" s="2" t="s">
        <v>636</v>
      </c>
    </row>
    <row r="42" spans="1:16" ht="15" customHeight="1" x14ac:dyDescent="0.2">
      <c r="A42" s="27" t="s">
        <v>192</v>
      </c>
      <c r="B42" s="32">
        <v>79480</v>
      </c>
      <c r="C42" s="76"/>
      <c r="P42" s="2" t="s">
        <v>635</v>
      </c>
    </row>
    <row r="43" spans="1:16" ht="15" customHeight="1" x14ac:dyDescent="0.2">
      <c r="A43" s="27" t="s">
        <v>193</v>
      </c>
      <c r="B43" s="32">
        <v>25250</v>
      </c>
      <c r="C43" s="76"/>
      <c r="P43" s="2" t="s">
        <v>637</v>
      </c>
    </row>
    <row r="44" spans="1:16" ht="15" customHeight="1" x14ac:dyDescent="0.2">
      <c r="A44" s="27" t="s">
        <v>194</v>
      </c>
      <c r="B44" s="32">
        <v>22080</v>
      </c>
      <c r="C44" s="76"/>
      <c r="P44" s="2" t="s">
        <v>637</v>
      </c>
    </row>
    <row r="45" spans="1:16" ht="15" customHeight="1" x14ac:dyDescent="0.2">
      <c r="A45" s="27" t="s">
        <v>195</v>
      </c>
      <c r="B45" s="32">
        <v>38890</v>
      </c>
      <c r="C45" s="76"/>
      <c r="P45" s="2" t="s">
        <v>637</v>
      </c>
    </row>
    <row r="46" spans="1:16" ht="15" customHeight="1" x14ac:dyDescent="0.2">
      <c r="A46" s="27" t="s">
        <v>196</v>
      </c>
      <c r="B46" s="32">
        <v>38490</v>
      </c>
      <c r="C46" s="76"/>
      <c r="P46" s="2" t="s">
        <v>637</v>
      </c>
    </row>
    <row r="47" spans="1:16" ht="15" customHeight="1" x14ac:dyDescent="0.2">
      <c r="A47" s="27" t="s">
        <v>197</v>
      </c>
      <c r="B47" s="32">
        <v>60680</v>
      </c>
      <c r="C47" s="76"/>
      <c r="P47" s="2" t="s">
        <v>635</v>
      </c>
    </row>
    <row r="48" spans="1:16" ht="15" customHeight="1" x14ac:dyDescent="0.2">
      <c r="A48" s="27" t="s">
        <v>198</v>
      </c>
      <c r="B48" s="32">
        <v>51180</v>
      </c>
      <c r="C48" s="76"/>
      <c r="P48" s="2" t="s">
        <v>635</v>
      </c>
    </row>
    <row r="49" spans="1:16" ht="15" customHeight="1" x14ac:dyDescent="0.2">
      <c r="A49" s="27" t="s">
        <v>199</v>
      </c>
      <c r="B49" s="32">
        <v>46940</v>
      </c>
      <c r="C49" s="76"/>
      <c r="P49" s="2" t="s">
        <v>637</v>
      </c>
    </row>
    <row r="50" spans="1:16" ht="15" customHeight="1" x14ac:dyDescent="0.2">
      <c r="A50" s="27" t="s">
        <v>200</v>
      </c>
      <c r="B50" s="32">
        <v>79350</v>
      </c>
      <c r="C50" s="76"/>
      <c r="P50" s="2" t="s">
        <v>635</v>
      </c>
    </row>
    <row r="51" spans="1:16" ht="15" customHeight="1" x14ac:dyDescent="0.2">
      <c r="A51" s="27" t="s">
        <v>201</v>
      </c>
      <c r="B51" s="32">
        <v>74590</v>
      </c>
      <c r="C51" s="76"/>
      <c r="P51" s="2" t="s">
        <v>635</v>
      </c>
    </row>
    <row r="52" spans="1:16" ht="15" customHeight="1" x14ac:dyDescent="0.2">
      <c r="A52" s="27" t="s">
        <v>202</v>
      </c>
      <c r="B52" s="32">
        <v>15870</v>
      </c>
      <c r="C52" s="76"/>
      <c r="P52" s="2" t="s">
        <v>637</v>
      </c>
    </row>
    <row r="53" spans="1:16" ht="15" customHeight="1" x14ac:dyDescent="0.2">
      <c r="A53" s="27" t="s">
        <v>203</v>
      </c>
      <c r="B53" s="32">
        <v>49200</v>
      </c>
      <c r="C53" s="76"/>
      <c r="P53" s="2" t="s">
        <v>637</v>
      </c>
    </row>
    <row r="54" spans="1:16" ht="15" customHeight="1" x14ac:dyDescent="0.2">
      <c r="A54" s="27" t="s">
        <v>204</v>
      </c>
      <c r="B54" s="32">
        <v>74310</v>
      </c>
      <c r="C54" s="76"/>
      <c r="P54" s="2" t="s">
        <v>635</v>
      </c>
    </row>
    <row r="55" spans="1:16" ht="15" customHeight="1" x14ac:dyDescent="0.2">
      <c r="A55" s="27" t="s">
        <v>205</v>
      </c>
      <c r="B55" s="32">
        <v>59690</v>
      </c>
      <c r="C55" s="76"/>
      <c r="P55" s="2" t="s">
        <v>635</v>
      </c>
    </row>
    <row r="56" spans="1:16" ht="15" customHeight="1" x14ac:dyDescent="0.2">
      <c r="A56" s="27" t="s">
        <v>206</v>
      </c>
      <c r="B56" s="32">
        <v>31490</v>
      </c>
      <c r="C56" s="76"/>
      <c r="P56" s="2" t="s">
        <v>637</v>
      </c>
    </row>
    <row r="57" spans="1:16" ht="15" customHeight="1" x14ac:dyDescent="0.2">
      <c r="A57" s="27" t="s">
        <v>207</v>
      </c>
      <c r="B57" s="32">
        <v>26220</v>
      </c>
      <c r="C57" s="76"/>
      <c r="P57" s="2" t="s">
        <v>637</v>
      </c>
    </row>
    <row r="58" spans="1:16" ht="15" customHeight="1" x14ac:dyDescent="0.2">
      <c r="A58" s="27" t="s">
        <v>208</v>
      </c>
      <c r="B58" s="32">
        <v>13610</v>
      </c>
      <c r="C58" s="76"/>
      <c r="P58" s="2" t="s">
        <v>636</v>
      </c>
    </row>
    <row r="59" spans="1:16" ht="15" customHeight="1" x14ac:dyDescent="0.2">
      <c r="A59" s="27" t="s">
        <v>209</v>
      </c>
      <c r="B59" s="32">
        <v>27220</v>
      </c>
      <c r="C59" s="76"/>
      <c r="P59" s="2" t="s">
        <v>637</v>
      </c>
    </row>
    <row r="60" spans="1:16" ht="15" customHeight="1" x14ac:dyDescent="0.2">
      <c r="A60" s="27" t="s">
        <v>210</v>
      </c>
      <c r="B60" s="32">
        <v>50110</v>
      </c>
      <c r="C60" s="76"/>
      <c r="P60" s="2" t="s">
        <v>635</v>
      </c>
    </row>
    <row r="61" spans="1:16" ht="15" customHeight="1" x14ac:dyDescent="0.2">
      <c r="A61" s="27" t="s">
        <v>211</v>
      </c>
      <c r="B61" s="32">
        <v>73780</v>
      </c>
      <c r="C61" s="76"/>
      <c r="P61" s="2" t="s">
        <v>635</v>
      </c>
    </row>
    <row r="62" spans="1:16" ht="15" customHeight="1" x14ac:dyDescent="0.2">
      <c r="A62" s="27" t="s">
        <v>212</v>
      </c>
      <c r="B62" s="32">
        <v>67280</v>
      </c>
      <c r="C62" s="76"/>
      <c r="P62" s="2" t="s">
        <v>635</v>
      </c>
    </row>
    <row r="63" spans="1:16" ht="15" customHeight="1" x14ac:dyDescent="0.2">
      <c r="A63" s="27" t="s">
        <v>213</v>
      </c>
      <c r="B63" s="32">
        <v>23260</v>
      </c>
      <c r="C63" s="76"/>
      <c r="P63" s="2" t="s">
        <v>637</v>
      </c>
    </row>
    <row r="64" spans="1:16" ht="15" customHeight="1" x14ac:dyDescent="0.2">
      <c r="A64" s="27" t="s">
        <v>214</v>
      </c>
      <c r="B64" s="32">
        <v>15950</v>
      </c>
      <c r="C64" s="76"/>
      <c r="P64" s="2" t="s">
        <v>637</v>
      </c>
    </row>
    <row r="65" spans="1:16" ht="15" customHeight="1" x14ac:dyDescent="0.2">
      <c r="A65" s="27" t="s">
        <v>215</v>
      </c>
      <c r="B65" s="32">
        <v>17700</v>
      </c>
      <c r="C65" s="76"/>
      <c r="P65" s="2" t="s">
        <v>637</v>
      </c>
    </row>
    <row r="66" spans="1:16" ht="15" customHeight="1" x14ac:dyDescent="0.2">
      <c r="A66" s="27" t="s">
        <v>216</v>
      </c>
      <c r="B66" s="32">
        <v>77960</v>
      </c>
      <c r="C66" s="76"/>
      <c r="P66" s="2" t="s">
        <v>635</v>
      </c>
    </row>
    <row r="67" spans="1:16" ht="15" customHeight="1" x14ac:dyDescent="0.2">
      <c r="A67" s="27" t="s">
        <v>217</v>
      </c>
      <c r="B67" s="32">
        <v>29140</v>
      </c>
      <c r="C67" s="76"/>
      <c r="P67" s="2" t="s">
        <v>637</v>
      </c>
    </row>
    <row r="68" spans="1:16" ht="15" customHeight="1" x14ac:dyDescent="0.2">
      <c r="A68" s="27" t="s">
        <v>218</v>
      </c>
      <c r="B68" s="32">
        <v>50870</v>
      </c>
      <c r="C68" s="76"/>
      <c r="P68" s="2" t="s">
        <v>635</v>
      </c>
    </row>
    <row r="69" spans="1:16" ht="15" customHeight="1" x14ac:dyDescent="0.2">
      <c r="A69" s="27" t="s">
        <v>219</v>
      </c>
      <c r="B69" s="32">
        <v>13350</v>
      </c>
      <c r="C69" s="76"/>
      <c r="P69" s="2" t="s">
        <v>636</v>
      </c>
    </row>
    <row r="70" spans="1:16" ht="15" customHeight="1" x14ac:dyDescent="0.2">
      <c r="A70" s="27" t="s">
        <v>220</v>
      </c>
      <c r="B70" s="32">
        <v>5560</v>
      </c>
      <c r="C70" s="76"/>
      <c r="P70" s="2" t="s">
        <v>636</v>
      </c>
    </row>
    <row r="71" spans="1:16" ht="15" customHeight="1" x14ac:dyDescent="0.2">
      <c r="A71" s="27" t="s">
        <v>221</v>
      </c>
      <c r="B71" s="32">
        <v>50060</v>
      </c>
      <c r="C71" s="76"/>
      <c r="P71" s="2" t="s">
        <v>635</v>
      </c>
    </row>
    <row r="72" spans="1:16" ht="15" customHeight="1" x14ac:dyDescent="0.2">
      <c r="A72" s="27" t="s">
        <v>222</v>
      </c>
      <c r="B72" s="32">
        <v>91400</v>
      </c>
      <c r="C72" s="76"/>
      <c r="P72" s="2" t="s">
        <v>638</v>
      </c>
    </row>
    <row r="73" spans="1:16" ht="15" customHeight="1" x14ac:dyDescent="0.2">
      <c r="A73" s="27" t="s">
        <v>223</v>
      </c>
      <c r="B73" s="32">
        <v>13570</v>
      </c>
      <c r="C73" s="76"/>
      <c r="P73" s="2" t="s">
        <v>636</v>
      </c>
    </row>
    <row r="74" spans="1:16" ht="15" customHeight="1" x14ac:dyDescent="0.2">
      <c r="A74" s="27" t="s">
        <v>224</v>
      </c>
      <c r="B74" s="32">
        <v>40350</v>
      </c>
      <c r="C74" s="76"/>
      <c r="L74" s="306" t="s">
        <v>900</v>
      </c>
      <c r="M74" s="220" t="s">
        <v>732</v>
      </c>
      <c r="P74" s="2" t="s">
        <v>637</v>
      </c>
    </row>
  </sheetData>
  <sheetProtection sheet="1" objects="1" scenarios="1" formatCells="0"/>
  <protectedRanges>
    <protectedRange sqref="C3:C74" name="Bereich1"/>
  </protectedRanges>
  <mergeCells count="1">
    <mergeCell ref="E2:H5"/>
  </mergeCells>
  <conditionalFormatting sqref="C3:C74">
    <cfRule type="containsErrors" dxfId="175" priority="1">
      <formula>ISERROR(C3)</formula>
    </cfRule>
    <cfRule type="expression" dxfId="174" priority="2">
      <formula>AND(C3&lt;&gt;"",C3&lt;&gt;P3)</formula>
    </cfRule>
    <cfRule type="expression" dxfId="173" priority="3">
      <formula>AND(C3&lt;&gt;"",C3=P3)</formula>
    </cfRule>
  </conditionalFormatting>
  <hyperlinks>
    <hyperlink ref="M2" location="Übersicht!A1" display="Zur Übersicht" xr:uid="{00000000-0004-0000-0600-000000000000}"/>
    <hyperlink ref="M74" location="Übersicht!A1" display="Zur Übersicht" xr:uid="{00000000-0004-0000-0600-000001000000}"/>
  </hyperlinks>
  <pageMargins left="0.7" right="0.7" top="0.78740157499999996" bottom="0.78740157499999996"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tabColor theme="5" tint="-0.249977111117893"/>
  </sheetPr>
  <dimension ref="A1:Q71"/>
  <sheetViews>
    <sheetView showGridLines="0" zoomScaleNormal="100" workbookViewId="0">
      <selection activeCell="A55" sqref="A55:G55"/>
    </sheetView>
  </sheetViews>
  <sheetFormatPr baseColWidth="10" defaultColWidth="11.42578125" defaultRowHeight="15" customHeight="1" x14ac:dyDescent="0.2"/>
  <cols>
    <col min="1" max="1" width="17" style="2" customWidth="1"/>
    <col min="2" max="6" width="16.140625" style="2" customWidth="1"/>
    <col min="7" max="7" width="20.42578125" style="2" customWidth="1"/>
    <col min="8" max="12" width="11.42578125" style="2"/>
    <col min="13" max="13" width="12.85546875" style="2" bestFit="1" customWidth="1"/>
    <col min="14" max="15" width="11.42578125" style="2"/>
    <col min="16" max="17" width="11.42578125" style="2" hidden="1" customWidth="1"/>
    <col min="18" max="16384" width="11.42578125" style="2"/>
  </cols>
  <sheetData>
    <row r="1" spans="1:17" ht="15" customHeight="1" thickBot="1" x14ac:dyDescent="0.25"/>
    <row r="2" spans="1:17" ht="15" customHeight="1" x14ac:dyDescent="0.2">
      <c r="A2" s="369" t="s">
        <v>643</v>
      </c>
      <c r="B2" s="370"/>
      <c r="C2" s="370"/>
      <c r="D2" s="370"/>
      <c r="E2" s="370"/>
      <c r="F2" s="370"/>
      <c r="G2" s="371"/>
      <c r="L2" s="306" t="s">
        <v>900</v>
      </c>
      <c r="M2" s="220" t="s">
        <v>732</v>
      </c>
    </row>
    <row r="3" spans="1:17" ht="15" customHeight="1" thickBot="1" x14ac:dyDescent="0.25">
      <c r="A3" s="375"/>
      <c r="B3" s="376"/>
      <c r="C3" s="376"/>
      <c r="D3" s="376"/>
      <c r="E3" s="376"/>
      <c r="F3" s="376"/>
      <c r="G3" s="377"/>
    </row>
    <row r="4" spans="1:17" s="1" customFormat="1" ht="15" customHeight="1" x14ac:dyDescent="0.2"/>
    <row r="5" spans="1:17" ht="15" customHeight="1" x14ac:dyDescent="0.2">
      <c r="A5" s="395" t="s">
        <v>661</v>
      </c>
      <c r="B5" s="395"/>
      <c r="C5" s="395"/>
      <c r="D5" s="395"/>
      <c r="E5" s="395"/>
      <c r="F5" s="395"/>
      <c r="G5" s="395"/>
    </row>
    <row r="6" spans="1:17" ht="15" customHeight="1" x14ac:dyDescent="0.2">
      <c r="A6" s="319" t="s">
        <v>121</v>
      </c>
      <c r="B6" s="117" t="s">
        <v>228</v>
      </c>
      <c r="C6" s="117" t="s">
        <v>229</v>
      </c>
      <c r="D6" s="117" t="s">
        <v>230</v>
      </c>
      <c r="E6" s="117" t="s">
        <v>231</v>
      </c>
      <c r="F6" s="117" t="s">
        <v>232</v>
      </c>
      <c r="G6" s="117" t="s">
        <v>233</v>
      </c>
    </row>
    <row r="7" spans="1:17" ht="15" customHeight="1" x14ac:dyDescent="0.2">
      <c r="A7" s="81" t="s">
        <v>67</v>
      </c>
      <c r="B7" s="27">
        <v>2</v>
      </c>
      <c r="C7" s="27">
        <v>4</v>
      </c>
      <c r="D7" s="27">
        <v>3</v>
      </c>
      <c r="E7" s="27">
        <v>4</v>
      </c>
      <c r="F7" s="76"/>
      <c r="G7" s="76"/>
      <c r="P7" s="2">
        <v>3.25</v>
      </c>
      <c r="Q7" s="2" t="s">
        <v>641</v>
      </c>
    </row>
    <row r="8" spans="1:17" ht="15" customHeight="1" x14ac:dyDescent="0.2">
      <c r="A8" s="81" t="s">
        <v>234</v>
      </c>
      <c r="B8" s="27">
        <v>4</v>
      </c>
      <c r="C8" s="27">
        <v>3</v>
      </c>
      <c r="D8" s="27">
        <v>1</v>
      </c>
      <c r="E8" s="27">
        <v>3</v>
      </c>
      <c r="F8" s="76"/>
      <c r="G8" s="76"/>
      <c r="P8" s="2">
        <v>2.75</v>
      </c>
      <c r="Q8" s="2" t="s">
        <v>641</v>
      </c>
    </row>
    <row r="9" spans="1:17" ht="15" customHeight="1" x14ac:dyDescent="0.2">
      <c r="A9" s="81" t="s">
        <v>66</v>
      </c>
      <c r="B9" s="27">
        <v>5</v>
      </c>
      <c r="C9" s="27">
        <v>2</v>
      </c>
      <c r="D9" s="27">
        <v>4</v>
      </c>
      <c r="E9" s="27">
        <v>1</v>
      </c>
      <c r="F9" s="76"/>
      <c r="G9" s="76"/>
      <c r="P9" s="2">
        <v>3</v>
      </c>
      <c r="Q9" s="2" t="s">
        <v>641</v>
      </c>
    </row>
    <row r="10" spans="1:17" ht="15" customHeight="1" x14ac:dyDescent="0.2">
      <c r="A10" s="81" t="s">
        <v>235</v>
      </c>
      <c r="B10" s="27">
        <v>2</v>
      </c>
      <c r="C10" s="27">
        <v>3</v>
      </c>
      <c r="D10" s="27">
        <v>4</v>
      </c>
      <c r="E10" s="27">
        <v>5</v>
      </c>
      <c r="F10" s="76"/>
      <c r="G10" s="76"/>
      <c r="P10" s="2">
        <v>3.5</v>
      </c>
      <c r="Q10" s="2" t="s">
        <v>641</v>
      </c>
    </row>
    <row r="11" spans="1:17" ht="15" customHeight="1" x14ac:dyDescent="0.2">
      <c r="A11" s="81" t="s">
        <v>236</v>
      </c>
      <c r="B11" s="27">
        <v>3</v>
      </c>
      <c r="C11" s="27">
        <v>1</v>
      </c>
      <c r="D11" s="27">
        <v>2</v>
      </c>
      <c r="E11" s="27">
        <v>4</v>
      </c>
      <c r="F11" s="76"/>
      <c r="G11" s="76"/>
      <c r="P11" s="2">
        <v>2.5</v>
      </c>
      <c r="Q11" s="2" t="s">
        <v>641</v>
      </c>
    </row>
    <row r="12" spans="1:17" ht="15" customHeight="1" x14ac:dyDescent="0.2">
      <c r="A12" s="81" t="s">
        <v>237</v>
      </c>
      <c r="B12" s="27">
        <v>3</v>
      </c>
      <c r="C12" s="27">
        <v>4</v>
      </c>
      <c r="D12" s="27">
        <v>3</v>
      </c>
      <c r="E12" s="27">
        <v>2</v>
      </c>
      <c r="F12" s="76"/>
      <c r="G12" s="76"/>
      <c r="P12" s="2">
        <v>3</v>
      </c>
      <c r="Q12" s="2" t="s">
        <v>641</v>
      </c>
    </row>
    <row r="13" spans="1:17" ht="15" customHeight="1" x14ac:dyDescent="0.2">
      <c r="A13" s="81" t="s">
        <v>238</v>
      </c>
      <c r="B13" s="27">
        <v>6</v>
      </c>
      <c r="C13" s="27">
        <v>4</v>
      </c>
      <c r="D13" s="27">
        <v>5</v>
      </c>
      <c r="E13" s="27">
        <v>5</v>
      </c>
      <c r="F13" s="76"/>
      <c r="G13" s="76"/>
      <c r="P13" s="2">
        <v>5</v>
      </c>
      <c r="Q13" s="2" t="s">
        <v>639</v>
      </c>
    </row>
    <row r="14" spans="1:17" ht="15" customHeight="1" x14ac:dyDescent="0.2">
      <c r="A14" s="81" t="s">
        <v>239</v>
      </c>
      <c r="B14" s="27">
        <v>4</v>
      </c>
      <c r="C14" s="27">
        <v>1</v>
      </c>
      <c r="D14" s="27">
        <v>2</v>
      </c>
      <c r="E14" s="27">
        <v>3</v>
      </c>
      <c r="F14" s="76"/>
      <c r="G14" s="76"/>
      <c r="P14" s="2">
        <v>2.5</v>
      </c>
      <c r="Q14" s="2" t="s">
        <v>641</v>
      </c>
    </row>
    <row r="15" spans="1:17" ht="15" customHeight="1" x14ac:dyDescent="0.2">
      <c r="A15" s="81" t="s">
        <v>240</v>
      </c>
      <c r="B15" s="27">
        <v>4</v>
      </c>
      <c r="C15" s="27">
        <v>2</v>
      </c>
      <c r="D15" s="27">
        <v>4</v>
      </c>
      <c r="E15" s="27">
        <v>3</v>
      </c>
      <c r="F15" s="76"/>
      <c r="G15" s="76"/>
      <c r="P15" s="2">
        <v>3.25</v>
      </c>
      <c r="Q15" s="2" t="s">
        <v>641</v>
      </c>
    </row>
    <row r="16" spans="1:17" ht="15" customHeight="1" x14ac:dyDescent="0.2">
      <c r="A16" s="81" t="s">
        <v>241</v>
      </c>
      <c r="B16" s="27">
        <v>1</v>
      </c>
      <c r="C16" s="27">
        <v>1</v>
      </c>
      <c r="D16" s="27">
        <v>1</v>
      </c>
      <c r="E16" s="27">
        <v>1</v>
      </c>
      <c r="F16" s="76"/>
      <c r="G16" s="76"/>
      <c r="P16" s="58">
        <v>1</v>
      </c>
      <c r="Q16" s="2" t="s">
        <v>641</v>
      </c>
    </row>
    <row r="17" spans="1:17" ht="15" customHeight="1" x14ac:dyDescent="0.2">
      <c r="A17" s="81" t="s">
        <v>242</v>
      </c>
      <c r="B17" s="27">
        <v>4</v>
      </c>
      <c r="C17" s="27">
        <v>4</v>
      </c>
      <c r="D17" s="27">
        <v>4</v>
      </c>
      <c r="E17" s="27">
        <v>5</v>
      </c>
      <c r="F17" s="76"/>
      <c r="G17" s="76"/>
      <c r="P17" s="2">
        <v>4.25</v>
      </c>
      <c r="Q17" s="2" t="s">
        <v>641</v>
      </c>
    </row>
    <row r="18" spans="1:17" ht="15" customHeight="1" x14ac:dyDescent="0.2">
      <c r="A18" s="81" t="s">
        <v>243</v>
      </c>
      <c r="B18" s="27">
        <v>3</v>
      </c>
      <c r="C18" s="27">
        <v>4</v>
      </c>
      <c r="D18" s="27">
        <v>2</v>
      </c>
      <c r="E18" s="27">
        <v>2</v>
      </c>
      <c r="F18" s="76"/>
      <c r="G18" s="76"/>
      <c r="P18" s="2">
        <v>2.75</v>
      </c>
      <c r="Q18" s="2" t="s">
        <v>641</v>
      </c>
    </row>
    <row r="19" spans="1:17" ht="15" customHeight="1" x14ac:dyDescent="0.2">
      <c r="A19" s="81" t="s">
        <v>244</v>
      </c>
      <c r="B19" s="27">
        <v>5</v>
      </c>
      <c r="C19" s="27">
        <v>4</v>
      </c>
      <c r="D19" s="27">
        <v>5</v>
      </c>
      <c r="E19" s="27">
        <v>4</v>
      </c>
      <c r="F19" s="76"/>
      <c r="G19" s="76"/>
      <c r="P19" s="2">
        <v>4.5</v>
      </c>
      <c r="Q19" s="2" t="s">
        <v>639</v>
      </c>
    </row>
    <row r="20" spans="1:17" ht="15" customHeight="1" x14ac:dyDescent="0.2">
      <c r="A20" s="81" t="s">
        <v>245</v>
      </c>
      <c r="B20" s="27">
        <v>1</v>
      </c>
      <c r="C20" s="27">
        <v>2</v>
      </c>
      <c r="D20" s="27">
        <v>1</v>
      </c>
      <c r="E20" s="27">
        <v>3</v>
      </c>
      <c r="F20" s="76"/>
      <c r="G20" s="76"/>
      <c r="P20" s="2">
        <v>1.75</v>
      </c>
      <c r="Q20" s="2" t="s">
        <v>641</v>
      </c>
    </row>
    <row r="21" spans="1:17" ht="15" customHeight="1" x14ac:dyDescent="0.2">
      <c r="A21" s="81" t="s">
        <v>246</v>
      </c>
      <c r="B21" s="27">
        <v>1</v>
      </c>
      <c r="C21" s="27">
        <v>3</v>
      </c>
      <c r="D21" s="27">
        <v>4</v>
      </c>
      <c r="E21" s="27">
        <v>4</v>
      </c>
      <c r="F21" s="76"/>
      <c r="G21" s="76"/>
      <c r="P21" s="2">
        <v>3</v>
      </c>
      <c r="Q21" s="2" t="s">
        <v>641</v>
      </c>
    </row>
    <row r="22" spans="1:17" ht="15" customHeight="1" x14ac:dyDescent="0.2">
      <c r="A22" s="81" t="s">
        <v>247</v>
      </c>
      <c r="B22" s="27">
        <v>4</v>
      </c>
      <c r="C22" s="27">
        <v>2</v>
      </c>
      <c r="D22" s="27">
        <v>5</v>
      </c>
      <c r="E22" s="27">
        <v>3</v>
      </c>
      <c r="F22" s="76"/>
      <c r="G22" s="76"/>
      <c r="P22" s="2">
        <v>3.5</v>
      </c>
      <c r="Q22" s="2" t="s">
        <v>641</v>
      </c>
    </row>
    <row r="24" spans="1:17" ht="15" customHeight="1" thickBot="1" x14ac:dyDescent="0.25"/>
    <row r="25" spans="1:17" ht="15" customHeight="1" x14ac:dyDescent="0.2">
      <c r="A25" s="431" t="s">
        <v>642</v>
      </c>
      <c r="B25" s="432"/>
      <c r="C25" s="432"/>
      <c r="D25" s="432"/>
      <c r="E25" s="432"/>
      <c r="F25" s="432"/>
      <c r="G25" s="433"/>
      <c r="L25" s="306" t="s">
        <v>900</v>
      </c>
      <c r="M25" s="220" t="s">
        <v>732</v>
      </c>
    </row>
    <row r="26" spans="1:17" ht="15" customHeight="1" x14ac:dyDescent="0.2">
      <c r="A26" s="434"/>
      <c r="B26" s="373"/>
      <c r="C26" s="373"/>
      <c r="D26" s="373"/>
      <c r="E26" s="373"/>
      <c r="F26" s="373"/>
      <c r="G26" s="435"/>
    </row>
    <row r="27" spans="1:17" ht="15" customHeight="1" thickBot="1" x14ac:dyDescent="0.25">
      <c r="A27" s="436"/>
      <c r="B27" s="437"/>
      <c r="C27" s="437"/>
      <c r="D27" s="437"/>
      <c r="E27" s="437"/>
      <c r="F27" s="437"/>
      <c r="G27" s="438"/>
    </row>
    <row r="28" spans="1:17" s="1" customFormat="1" ht="15" customHeight="1" x14ac:dyDescent="0.2"/>
    <row r="29" spans="1:17" ht="15" customHeight="1" x14ac:dyDescent="0.2">
      <c r="A29" s="395" t="s">
        <v>248</v>
      </c>
      <c r="B29" s="395"/>
      <c r="C29" s="395"/>
      <c r="D29" s="395"/>
      <c r="E29" s="395"/>
      <c r="F29" s="395"/>
      <c r="G29" s="395"/>
    </row>
    <row r="30" spans="1:17" ht="15" customHeight="1" x14ac:dyDescent="0.2">
      <c r="A30" s="319" t="s">
        <v>121</v>
      </c>
      <c r="B30" s="117" t="s">
        <v>228</v>
      </c>
      <c r="C30" s="117" t="s">
        <v>229</v>
      </c>
      <c r="D30" s="117" t="s">
        <v>230</v>
      </c>
      <c r="E30" s="117" t="s">
        <v>231</v>
      </c>
      <c r="F30" s="117" t="s">
        <v>232</v>
      </c>
      <c r="G30" s="117" t="s">
        <v>233</v>
      </c>
    </row>
    <row r="31" spans="1:17" ht="15" customHeight="1" x14ac:dyDescent="0.2">
      <c r="A31" s="81" t="s">
        <v>67</v>
      </c>
      <c r="B31" s="31">
        <v>2</v>
      </c>
      <c r="C31" s="31">
        <v>4</v>
      </c>
      <c r="D31" s="31">
        <v>3</v>
      </c>
      <c r="E31" s="31">
        <v>4</v>
      </c>
      <c r="F31" s="76"/>
      <c r="G31" s="76"/>
      <c r="P31" s="2">
        <v>3.25</v>
      </c>
      <c r="Q31" s="2" t="s">
        <v>641</v>
      </c>
    </row>
    <row r="32" spans="1:17" ht="15" customHeight="1" x14ac:dyDescent="0.2">
      <c r="A32" s="81" t="s">
        <v>234</v>
      </c>
      <c r="B32" s="31">
        <v>4</v>
      </c>
      <c r="C32" s="31">
        <v>3</v>
      </c>
      <c r="D32" s="31">
        <v>1</v>
      </c>
      <c r="E32" s="31">
        <v>3</v>
      </c>
      <c r="F32" s="76"/>
      <c r="G32" s="76"/>
      <c r="P32" s="2">
        <v>2.75</v>
      </c>
      <c r="Q32" s="2" t="s">
        <v>641</v>
      </c>
    </row>
    <row r="33" spans="1:17" ht="15" customHeight="1" x14ac:dyDescent="0.2">
      <c r="A33" s="81" t="s">
        <v>66</v>
      </c>
      <c r="B33" s="31">
        <v>5</v>
      </c>
      <c r="C33" s="31">
        <v>2</v>
      </c>
      <c r="D33" s="31">
        <v>4</v>
      </c>
      <c r="E33" s="31">
        <v>1</v>
      </c>
      <c r="F33" s="76"/>
      <c r="G33" s="76"/>
      <c r="P33" s="2">
        <v>3</v>
      </c>
      <c r="Q33" s="2" t="s">
        <v>641</v>
      </c>
    </row>
    <row r="34" spans="1:17" ht="15" customHeight="1" x14ac:dyDescent="0.2">
      <c r="A34" s="81" t="s">
        <v>235</v>
      </c>
      <c r="B34" s="31">
        <v>2</v>
      </c>
      <c r="C34" s="31">
        <v>3</v>
      </c>
      <c r="D34" s="31">
        <v>4</v>
      </c>
      <c r="E34" s="31">
        <v>5</v>
      </c>
      <c r="F34" s="76"/>
      <c r="G34" s="76"/>
      <c r="P34" s="2">
        <v>3.5</v>
      </c>
      <c r="Q34" s="2" t="s">
        <v>641</v>
      </c>
    </row>
    <row r="35" spans="1:17" ht="15" customHeight="1" x14ac:dyDescent="0.2">
      <c r="A35" s="81" t="s">
        <v>236</v>
      </c>
      <c r="B35" s="31">
        <v>3</v>
      </c>
      <c r="C35" s="31">
        <v>1</v>
      </c>
      <c r="D35" s="31">
        <v>2</v>
      </c>
      <c r="E35" s="31">
        <v>4</v>
      </c>
      <c r="F35" s="76"/>
      <c r="G35" s="76"/>
      <c r="P35" s="1">
        <v>2.5</v>
      </c>
      <c r="Q35" s="1" t="s">
        <v>641</v>
      </c>
    </row>
    <row r="36" spans="1:17" ht="15" customHeight="1" x14ac:dyDescent="0.2">
      <c r="A36" s="81" t="s">
        <v>237</v>
      </c>
      <c r="B36" s="31">
        <v>3</v>
      </c>
      <c r="C36" s="31">
        <v>4</v>
      </c>
      <c r="D36" s="31">
        <v>3</v>
      </c>
      <c r="E36" s="31">
        <v>2</v>
      </c>
      <c r="F36" s="76"/>
      <c r="G36" s="76"/>
      <c r="P36" s="2">
        <v>3</v>
      </c>
      <c r="Q36" s="2" t="s">
        <v>641</v>
      </c>
    </row>
    <row r="37" spans="1:17" ht="15" customHeight="1" x14ac:dyDescent="0.2">
      <c r="A37" s="81" t="s">
        <v>238</v>
      </c>
      <c r="B37" s="31">
        <v>6</v>
      </c>
      <c r="C37" s="31">
        <v>4</v>
      </c>
      <c r="D37" s="31">
        <v>5</v>
      </c>
      <c r="E37" s="31">
        <v>5</v>
      </c>
      <c r="F37" s="76"/>
      <c r="G37" s="76"/>
      <c r="P37" s="2">
        <v>5</v>
      </c>
      <c r="Q37" s="2" t="s">
        <v>639</v>
      </c>
    </row>
    <row r="38" spans="1:17" ht="15" customHeight="1" x14ac:dyDescent="0.2">
      <c r="A38" s="81" t="s">
        <v>239</v>
      </c>
      <c r="B38" s="31">
        <v>4</v>
      </c>
      <c r="C38" s="31">
        <v>1</v>
      </c>
      <c r="D38" s="31">
        <v>2</v>
      </c>
      <c r="E38" s="31">
        <v>3</v>
      </c>
      <c r="F38" s="76"/>
      <c r="G38" s="76"/>
      <c r="P38" s="2">
        <v>2.5</v>
      </c>
      <c r="Q38" s="2" t="s">
        <v>641</v>
      </c>
    </row>
    <row r="39" spans="1:17" ht="15" customHeight="1" x14ac:dyDescent="0.2">
      <c r="A39" s="81" t="s">
        <v>240</v>
      </c>
      <c r="B39" s="31">
        <v>4</v>
      </c>
      <c r="C39" s="31">
        <v>2</v>
      </c>
      <c r="D39" s="31">
        <v>4</v>
      </c>
      <c r="E39" s="31">
        <v>3</v>
      </c>
      <c r="F39" s="76"/>
      <c r="G39" s="76"/>
      <c r="P39" s="2">
        <v>3.25</v>
      </c>
      <c r="Q39" s="2" t="s">
        <v>641</v>
      </c>
    </row>
    <row r="40" spans="1:17" ht="15" customHeight="1" x14ac:dyDescent="0.2">
      <c r="A40" s="81" t="s">
        <v>241</v>
      </c>
      <c r="B40" s="31">
        <v>1</v>
      </c>
      <c r="C40" s="31">
        <v>1</v>
      </c>
      <c r="D40" s="31">
        <v>1</v>
      </c>
      <c r="E40" s="31">
        <v>1</v>
      </c>
      <c r="F40" s="76"/>
      <c r="G40" s="76"/>
      <c r="P40" s="2">
        <v>1</v>
      </c>
      <c r="Q40" s="2" t="s">
        <v>640</v>
      </c>
    </row>
    <row r="41" spans="1:17" ht="15" customHeight="1" x14ac:dyDescent="0.2">
      <c r="A41" s="81" t="s">
        <v>242</v>
      </c>
      <c r="B41" s="31">
        <v>4</v>
      </c>
      <c r="C41" s="31">
        <v>4</v>
      </c>
      <c r="D41" s="31">
        <v>4</v>
      </c>
      <c r="E41" s="31">
        <v>5</v>
      </c>
      <c r="F41" s="76"/>
      <c r="G41" s="76"/>
      <c r="P41" s="2">
        <v>4.25</v>
      </c>
      <c r="Q41" s="2" t="s">
        <v>641</v>
      </c>
    </row>
    <row r="42" spans="1:17" ht="15" customHeight="1" x14ac:dyDescent="0.2">
      <c r="A42" s="81" t="s">
        <v>243</v>
      </c>
      <c r="B42" s="31">
        <v>3</v>
      </c>
      <c r="C42" s="31">
        <v>4</v>
      </c>
      <c r="D42" s="31">
        <v>2</v>
      </c>
      <c r="E42" s="31">
        <v>2</v>
      </c>
      <c r="F42" s="76"/>
      <c r="G42" s="76"/>
      <c r="P42" s="2">
        <v>2.75</v>
      </c>
      <c r="Q42" s="2" t="s">
        <v>641</v>
      </c>
    </row>
    <row r="43" spans="1:17" ht="15" customHeight="1" x14ac:dyDescent="0.2">
      <c r="A43" s="81" t="s">
        <v>244</v>
      </c>
      <c r="B43" s="31">
        <v>5</v>
      </c>
      <c r="C43" s="31">
        <v>4</v>
      </c>
      <c r="D43" s="31">
        <v>5</v>
      </c>
      <c r="E43" s="31">
        <v>4</v>
      </c>
      <c r="F43" s="76"/>
      <c r="G43" s="76"/>
      <c r="P43" s="2">
        <v>4.5</v>
      </c>
      <c r="Q43" s="2" t="s">
        <v>639</v>
      </c>
    </row>
    <row r="44" spans="1:17" ht="15" customHeight="1" x14ac:dyDescent="0.2">
      <c r="A44" s="81" t="s">
        <v>245</v>
      </c>
      <c r="B44" s="31">
        <v>1</v>
      </c>
      <c r="C44" s="31">
        <v>2</v>
      </c>
      <c r="D44" s="31">
        <v>1</v>
      </c>
      <c r="E44" s="31">
        <v>3</v>
      </c>
      <c r="F44" s="76"/>
      <c r="G44" s="76"/>
      <c r="P44" s="2">
        <v>1.75</v>
      </c>
      <c r="Q44" s="2" t="s">
        <v>641</v>
      </c>
    </row>
    <row r="45" spans="1:17" ht="15" customHeight="1" x14ac:dyDescent="0.2">
      <c r="A45" s="81" t="s">
        <v>246</v>
      </c>
      <c r="B45" s="31">
        <v>1</v>
      </c>
      <c r="C45" s="31">
        <v>3</v>
      </c>
      <c r="D45" s="31">
        <v>4</v>
      </c>
      <c r="E45" s="31">
        <v>4</v>
      </c>
      <c r="F45" s="76"/>
      <c r="G45" s="76"/>
      <c r="P45" s="2">
        <v>3</v>
      </c>
      <c r="Q45" s="2" t="s">
        <v>641</v>
      </c>
    </row>
    <row r="46" spans="1:17" ht="15" customHeight="1" x14ac:dyDescent="0.2">
      <c r="A46" s="81" t="s">
        <v>247</v>
      </c>
      <c r="B46" s="31">
        <v>4</v>
      </c>
      <c r="C46" s="31">
        <v>2</v>
      </c>
      <c r="D46" s="31">
        <v>5</v>
      </c>
      <c r="E46" s="31">
        <v>3</v>
      </c>
      <c r="F46" s="76"/>
      <c r="G46" s="76"/>
      <c r="P46" s="2">
        <v>3.5</v>
      </c>
      <c r="Q46" s="2" t="s">
        <v>641</v>
      </c>
    </row>
    <row r="48" spans="1:17" ht="15" customHeight="1" thickBot="1" x14ac:dyDescent="0.25"/>
    <row r="49" spans="1:17" ht="15" customHeight="1" x14ac:dyDescent="0.2">
      <c r="A49" s="369" t="s">
        <v>644</v>
      </c>
      <c r="B49" s="370"/>
      <c r="C49" s="370"/>
      <c r="D49" s="370"/>
      <c r="E49" s="370"/>
      <c r="F49" s="370"/>
      <c r="G49" s="371"/>
      <c r="L49" s="306" t="s">
        <v>900</v>
      </c>
      <c r="M49" s="220" t="s">
        <v>732</v>
      </c>
    </row>
    <row r="50" spans="1:17" ht="15" customHeight="1" x14ac:dyDescent="0.2">
      <c r="A50" s="372"/>
      <c r="B50" s="373"/>
      <c r="C50" s="373"/>
      <c r="D50" s="373"/>
      <c r="E50" s="373"/>
      <c r="F50" s="373"/>
      <c r="G50" s="374"/>
    </row>
    <row r="51" spans="1:17" ht="15" customHeight="1" x14ac:dyDescent="0.2">
      <c r="A51" s="372"/>
      <c r="B51" s="373"/>
      <c r="C51" s="373"/>
      <c r="D51" s="373"/>
      <c r="E51" s="373"/>
      <c r="F51" s="373"/>
      <c r="G51" s="374"/>
    </row>
    <row r="52" spans="1:17" ht="15" customHeight="1" thickBot="1" x14ac:dyDescent="0.25">
      <c r="A52" s="375"/>
      <c r="B52" s="376"/>
      <c r="C52" s="376"/>
      <c r="D52" s="376"/>
      <c r="E52" s="376"/>
      <c r="F52" s="376"/>
      <c r="G52" s="377"/>
    </row>
    <row r="53" spans="1:17" s="1" customFormat="1" ht="15" customHeight="1" x14ac:dyDescent="0.2"/>
    <row r="54" spans="1:17" ht="15" customHeight="1" x14ac:dyDescent="0.2">
      <c r="A54" s="395" t="s">
        <v>660</v>
      </c>
      <c r="B54" s="395"/>
      <c r="C54" s="395"/>
      <c r="D54" s="395"/>
      <c r="E54" s="395"/>
      <c r="F54" s="395"/>
      <c r="G54" s="395"/>
    </row>
    <row r="55" spans="1:17" ht="15" customHeight="1" x14ac:dyDescent="0.2">
      <c r="A55" s="319" t="s">
        <v>121</v>
      </c>
      <c r="B55" s="117" t="s">
        <v>228</v>
      </c>
      <c r="C55" s="117" t="s">
        <v>229</v>
      </c>
      <c r="D55" s="117" t="s">
        <v>230</v>
      </c>
      <c r="E55" s="117" t="s">
        <v>231</v>
      </c>
      <c r="F55" s="117" t="s">
        <v>232</v>
      </c>
      <c r="G55" s="117" t="s">
        <v>233</v>
      </c>
    </row>
    <row r="56" spans="1:17" ht="15" customHeight="1" x14ac:dyDescent="0.2">
      <c r="A56" s="81" t="s">
        <v>67</v>
      </c>
      <c r="B56" s="31">
        <v>2</v>
      </c>
      <c r="C56" s="31">
        <v>4</v>
      </c>
      <c r="D56" s="31">
        <v>3</v>
      </c>
      <c r="E56" s="31">
        <v>4</v>
      </c>
      <c r="F56" s="76"/>
      <c r="G56" s="76"/>
      <c r="P56" s="2">
        <v>3.25</v>
      </c>
      <c r="Q56" s="2" t="str">
        <f>IF(F56&gt;=4.5,"Nicht bestanden",IF(F56&gt;=3.5,"Nachhilfe",IF(F56=1,"Klasse überspringen"," ")))</f>
        <v xml:space="preserve"> </v>
      </c>
    </row>
    <row r="57" spans="1:17" ht="15" customHeight="1" x14ac:dyDescent="0.2">
      <c r="A57" s="81" t="s">
        <v>234</v>
      </c>
      <c r="B57" s="31">
        <v>4</v>
      </c>
      <c r="C57" s="31">
        <v>3</v>
      </c>
      <c r="D57" s="31">
        <v>1</v>
      </c>
      <c r="E57" s="31">
        <v>3</v>
      </c>
      <c r="F57" s="76"/>
      <c r="G57" s="76"/>
      <c r="P57" s="2">
        <v>2.75</v>
      </c>
      <c r="Q57" s="2" t="str">
        <f t="shared" ref="Q57:Q71" si="0">IF(F57&gt;=4.5,"Nicht bestanden",IF(F57&gt;=3.5,"Nachhilfe",IF(F57=1,"Klasse überspringen"," ")))</f>
        <v xml:space="preserve"> </v>
      </c>
    </row>
    <row r="58" spans="1:17" ht="15" customHeight="1" x14ac:dyDescent="0.2">
      <c r="A58" s="81" t="s">
        <v>66</v>
      </c>
      <c r="B58" s="31">
        <v>5</v>
      </c>
      <c r="C58" s="31">
        <v>2</v>
      </c>
      <c r="D58" s="31">
        <v>4</v>
      </c>
      <c r="E58" s="31">
        <v>1</v>
      </c>
      <c r="F58" s="76"/>
      <c r="G58" s="76"/>
      <c r="P58" s="2">
        <v>3</v>
      </c>
      <c r="Q58" s="2" t="str">
        <f t="shared" si="0"/>
        <v xml:space="preserve"> </v>
      </c>
    </row>
    <row r="59" spans="1:17" ht="15" customHeight="1" x14ac:dyDescent="0.2">
      <c r="A59" s="81" t="s">
        <v>235</v>
      </c>
      <c r="B59" s="31">
        <v>2</v>
      </c>
      <c r="C59" s="31">
        <v>3</v>
      </c>
      <c r="D59" s="31">
        <v>4</v>
      </c>
      <c r="E59" s="31">
        <v>5</v>
      </c>
      <c r="F59" s="76"/>
      <c r="G59" s="76"/>
      <c r="P59" s="2">
        <v>3.5</v>
      </c>
      <c r="Q59" s="2" t="str">
        <f t="shared" si="0"/>
        <v xml:space="preserve"> </v>
      </c>
    </row>
    <row r="60" spans="1:17" ht="15" customHeight="1" x14ac:dyDescent="0.2">
      <c r="A60" s="81" t="s">
        <v>236</v>
      </c>
      <c r="B60" s="31">
        <v>3</v>
      </c>
      <c r="C60" s="31">
        <v>1</v>
      </c>
      <c r="D60" s="31">
        <v>2</v>
      </c>
      <c r="E60" s="31">
        <v>4</v>
      </c>
      <c r="F60" s="76"/>
      <c r="G60" s="76"/>
      <c r="P60" s="2">
        <v>2.5</v>
      </c>
      <c r="Q60" s="2" t="str">
        <f t="shared" si="0"/>
        <v xml:space="preserve"> </v>
      </c>
    </row>
    <row r="61" spans="1:17" ht="15" customHeight="1" x14ac:dyDescent="0.2">
      <c r="A61" s="81" t="s">
        <v>237</v>
      </c>
      <c r="B61" s="31">
        <v>3</v>
      </c>
      <c r="C61" s="31">
        <v>4</v>
      </c>
      <c r="D61" s="31">
        <v>3</v>
      </c>
      <c r="E61" s="31">
        <v>2</v>
      </c>
      <c r="F61" s="76"/>
      <c r="G61" s="76"/>
      <c r="P61" s="2">
        <v>3</v>
      </c>
      <c r="Q61" s="2" t="str">
        <f t="shared" si="0"/>
        <v xml:space="preserve"> </v>
      </c>
    </row>
    <row r="62" spans="1:17" ht="15" customHeight="1" x14ac:dyDescent="0.2">
      <c r="A62" s="81" t="s">
        <v>238</v>
      </c>
      <c r="B62" s="31">
        <v>6</v>
      </c>
      <c r="C62" s="31">
        <v>4</v>
      </c>
      <c r="D62" s="31">
        <v>5</v>
      </c>
      <c r="E62" s="31">
        <v>5</v>
      </c>
      <c r="F62" s="76"/>
      <c r="G62" s="76"/>
      <c r="P62" s="2">
        <v>5</v>
      </c>
      <c r="Q62" s="2" t="str">
        <f t="shared" si="0"/>
        <v xml:space="preserve"> </v>
      </c>
    </row>
    <row r="63" spans="1:17" ht="15" customHeight="1" x14ac:dyDescent="0.2">
      <c r="A63" s="81" t="s">
        <v>239</v>
      </c>
      <c r="B63" s="31">
        <v>4</v>
      </c>
      <c r="C63" s="31">
        <v>1</v>
      </c>
      <c r="D63" s="31">
        <v>2</v>
      </c>
      <c r="E63" s="31">
        <v>3</v>
      </c>
      <c r="F63" s="76"/>
      <c r="G63" s="76"/>
      <c r="P63" s="2">
        <v>2.5</v>
      </c>
      <c r="Q63" s="2" t="str">
        <f t="shared" si="0"/>
        <v xml:space="preserve"> </v>
      </c>
    </row>
    <row r="64" spans="1:17" ht="15" customHeight="1" x14ac:dyDescent="0.2">
      <c r="A64" s="81" t="s">
        <v>240</v>
      </c>
      <c r="B64" s="31">
        <v>4</v>
      </c>
      <c r="C64" s="31">
        <v>2</v>
      </c>
      <c r="D64" s="31">
        <v>4</v>
      </c>
      <c r="E64" s="31">
        <v>3</v>
      </c>
      <c r="F64" s="76"/>
      <c r="G64" s="76"/>
      <c r="P64" s="2">
        <v>3.25</v>
      </c>
      <c r="Q64" s="2" t="str">
        <f t="shared" si="0"/>
        <v xml:space="preserve"> </v>
      </c>
    </row>
    <row r="65" spans="1:17" ht="15" customHeight="1" x14ac:dyDescent="0.2">
      <c r="A65" s="81" t="s">
        <v>241</v>
      </c>
      <c r="B65" s="31">
        <v>1</v>
      </c>
      <c r="C65" s="31">
        <v>1</v>
      </c>
      <c r="D65" s="31">
        <v>1</v>
      </c>
      <c r="E65" s="31">
        <v>1</v>
      </c>
      <c r="F65" s="76"/>
      <c r="G65" s="76"/>
      <c r="P65" s="2">
        <v>1</v>
      </c>
      <c r="Q65" s="2" t="str">
        <f t="shared" si="0"/>
        <v xml:space="preserve"> </v>
      </c>
    </row>
    <row r="66" spans="1:17" ht="15" customHeight="1" x14ac:dyDescent="0.2">
      <c r="A66" s="81" t="s">
        <v>242</v>
      </c>
      <c r="B66" s="31">
        <v>4</v>
      </c>
      <c r="C66" s="31">
        <v>4</v>
      </c>
      <c r="D66" s="31">
        <v>4</v>
      </c>
      <c r="E66" s="31">
        <v>5</v>
      </c>
      <c r="F66" s="76"/>
      <c r="G66" s="76"/>
      <c r="P66" s="2">
        <v>4.25</v>
      </c>
      <c r="Q66" s="2" t="str">
        <f t="shared" si="0"/>
        <v xml:space="preserve"> </v>
      </c>
    </row>
    <row r="67" spans="1:17" ht="15" customHeight="1" x14ac:dyDescent="0.2">
      <c r="A67" s="81" t="s">
        <v>243</v>
      </c>
      <c r="B67" s="31">
        <v>3</v>
      </c>
      <c r="C67" s="31">
        <v>4</v>
      </c>
      <c r="D67" s="31">
        <v>2</v>
      </c>
      <c r="E67" s="31">
        <v>2</v>
      </c>
      <c r="F67" s="76"/>
      <c r="G67" s="76"/>
      <c r="P67" s="2">
        <v>2.75</v>
      </c>
      <c r="Q67" s="2" t="str">
        <f t="shared" si="0"/>
        <v xml:space="preserve"> </v>
      </c>
    </row>
    <row r="68" spans="1:17" ht="15" customHeight="1" x14ac:dyDescent="0.2">
      <c r="A68" s="81" t="s">
        <v>244</v>
      </c>
      <c r="B68" s="31">
        <v>5</v>
      </c>
      <c r="C68" s="31">
        <v>4</v>
      </c>
      <c r="D68" s="31">
        <v>5</v>
      </c>
      <c r="E68" s="31">
        <v>4</v>
      </c>
      <c r="F68" s="76"/>
      <c r="G68" s="76"/>
      <c r="P68" s="1">
        <v>4.5</v>
      </c>
      <c r="Q68" s="2" t="str">
        <f t="shared" si="0"/>
        <v xml:space="preserve"> </v>
      </c>
    </row>
    <row r="69" spans="1:17" ht="15" customHeight="1" x14ac:dyDescent="0.2">
      <c r="A69" s="81" t="s">
        <v>245</v>
      </c>
      <c r="B69" s="31">
        <v>1</v>
      </c>
      <c r="C69" s="31">
        <v>2</v>
      </c>
      <c r="D69" s="31">
        <v>1</v>
      </c>
      <c r="E69" s="31">
        <v>3</v>
      </c>
      <c r="F69" s="76"/>
      <c r="G69" s="76"/>
      <c r="P69" s="2">
        <v>1.75</v>
      </c>
      <c r="Q69" s="2" t="str">
        <f t="shared" si="0"/>
        <v xml:space="preserve"> </v>
      </c>
    </row>
    <row r="70" spans="1:17" ht="15" customHeight="1" x14ac:dyDescent="0.2">
      <c r="A70" s="81" t="s">
        <v>246</v>
      </c>
      <c r="B70" s="31">
        <v>1</v>
      </c>
      <c r="C70" s="31">
        <v>3</v>
      </c>
      <c r="D70" s="31">
        <v>4</v>
      </c>
      <c r="E70" s="31">
        <v>4</v>
      </c>
      <c r="F70" s="76"/>
      <c r="G70" s="76"/>
      <c r="P70" s="2">
        <v>3</v>
      </c>
      <c r="Q70" s="2" t="str">
        <f t="shared" si="0"/>
        <v xml:space="preserve"> </v>
      </c>
    </row>
    <row r="71" spans="1:17" ht="15" customHeight="1" x14ac:dyDescent="0.2">
      <c r="A71" s="81" t="s">
        <v>247</v>
      </c>
      <c r="B71" s="31">
        <v>4</v>
      </c>
      <c r="C71" s="31">
        <v>2</v>
      </c>
      <c r="D71" s="31">
        <v>5</v>
      </c>
      <c r="E71" s="31">
        <v>3</v>
      </c>
      <c r="F71" s="76"/>
      <c r="G71" s="76"/>
      <c r="P71" s="2">
        <v>3.5</v>
      </c>
      <c r="Q71" s="2" t="str">
        <f t="shared" si="0"/>
        <v xml:space="preserve"> </v>
      </c>
    </row>
  </sheetData>
  <sheetProtection sheet="1" objects="1" scenarios="1" formatCells="0"/>
  <protectedRanges>
    <protectedRange sqref="F7:G22 F31:G46 F56:G71" name="Bereich1"/>
  </protectedRanges>
  <mergeCells count="6">
    <mergeCell ref="A54:G54"/>
    <mergeCell ref="A2:G3"/>
    <mergeCell ref="A5:G5"/>
    <mergeCell ref="A29:G29"/>
    <mergeCell ref="A49:G52"/>
    <mergeCell ref="A25:G27"/>
  </mergeCells>
  <conditionalFormatting sqref="F31:F46">
    <cfRule type="expression" dxfId="172" priority="18">
      <formula>AND(F31&lt;&gt;"",F31&lt;&gt;P31)</formula>
    </cfRule>
    <cfRule type="expression" dxfId="171" priority="19">
      <formula>AND(F31&lt;&gt;"",F31=P31)</formula>
    </cfRule>
  </conditionalFormatting>
  <conditionalFormatting sqref="G31:G46">
    <cfRule type="expression" dxfId="170" priority="16">
      <formula>AND(G31&lt;&gt;"",G31&lt;&gt;Q31)</formula>
    </cfRule>
    <cfRule type="expression" dxfId="169" priority="17">
      <formula>AND(G31&lt;&gt;"",G31=Q31)</formula>
    </cfRule>
  </conditionalFormatting>
  <conditionalFormatting sqref="F56:F71">
    <cfRule type="expression" dxfId="168" priority="4">
      <formula>AND(F56&lt;&gt;"",F56&lt;&gt;P56)</formula>
    </cfRule>
    <cfRule type="expression" dxfId="167" priority="7">
      <formula>AND(F56&lt;&gt;"",F56=P56)</formula>
    </cfRule>
  </conditionalFormatting>
  <conditionalFormatting sqref="G56:G71">
    <cfRule type="expression" dxfId="166" priority="5">
      <formula>AND(G56&lt;&gt;"",G56&lt;&gt;Q56)</formula>
    </cfRule>
    <cfRule type="expression" dxfId="165" priority="6">
      <formula>AND(G56&lt;&gt;"",G56=Q56)</formula>
    </cfRule>
  </conditionalFormatting>
  <conditionalFormatting sqref="F7:G22">
    <cfRule type="containsErrors" dxfId="164" priority="3">
      <formula>ISERROR(F7)</formula>
    </cfRule>
    <cfRule type="expression" dxfId="163" priority="36">
      <formula>AND(F7&lt;&gt;"",F7&lt;&gt;P7)</formula>
    </cfRule>
    <cfRule type="expression" dxfId="162" priority="37">
      <formula>AND(F7&lt;&gt;"",F7=P7)</formula>
    </cfRule>
  </conditionalFormatting>
  <conditionalFormatting sqref="F31:G46">
    <cfRule type="containsErrors" dxfId="161" priority="2">
      <formula>ISERROR(F31)</formula>
    </cfRule>
  </conditionalFormatting>
  <conditionalFormatting sqref="F56:G71">
    <cfRule type="containsErrors" dxfId="160" priority="1">
      <formula>ISERROR(F56)</formula>
    </cfRule>
  </conditionalFormatting>
  <hyperlinks>
    <hyperlink ref="M2" location="Übersicht!A1" display="Zur Übersicht" xr:uid="{00000000-0004-0000-0700-000000000000}"/>
    <hyperlink ref="M25" location="Übersicht!A1" display="Zur Übersicht" xr:uid="{00000000-0004-0000-0700-000001000000}"/>
    <hyperlink ref="M49" location="Übersicht!A1" display="Zur Übersicht" xr:uid="{00000000-0004-0000-0700-000002000000}"/>
  </hyperlinks>
  <pageMargins left="0.7" right="0.7" top="0.78740157499999996" bottom="0.78740157499999996"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5" tint="-0.249977111117893"/>
  </sheetPr>
  <dimension ref="A1:S23"/>
  <sheetViews>
    <sheetView showGridLines="0" zoomScaleNormal="100" zoomScalePageLayoutView="130" workbookViewId="0">
      <selection activeCell="F14" sqref="F14:I23"/>
    </sheetView>
  </sheetViews>
  <sheetFormatPr baseColWidth="10" defaultRowHeight="15" customHeight="1" x14ac:dyDescent="0.2"/>
  <cols>
    <col min="1" max="4" width="21.28515625" style="2" customWidth="1"/>
    <col min="5" max="5" width="12.42578125" style="2" customWidth="1"/>
    <col min="6" max="9" width="21.28515625" style="2" customWidth="1"/>
    <col min="10" max="12" width="11.42578125" style="2"/>
    <col min="13" max="13" width="12.85546875" style="2" bestFit="1" customWidth="1"/>
    <col min="14" max="15" width="11.42578125" style="2"/>
    <col min="16" max="19" width="11.42578125" style="2" hidden="1" customWidth="1"/>
    <col min="20" max="16384" width="11.42578125" style="2"/>
  </cols>
  <sheetData>
    <row r="1" spans="1:17" ht="15" customHeight="1" thickBot="1" x14ac:dyDescent="0.25"/>
    <row r="2" spans="1:17" ht="15" customHeight="1" x14ac:dyDescent="0.2">
      <c r="A2" s="369" t="s">
        <v>370</v>
      </c>
      <c r="B2" s="370"/>
      <c r="C2" s="370"/>
      <c r="D2" s="49" t="s">
        <v>353</v>
      </c>
      <c r="F2" s="445" t="s">
        <v>376</v>
      </c>
      <c r="G2" s="446"/>
      <c r="H2" s="63">
        <v>0.1</v>
      </c>
      <c r="L2" s="306" t="s">
        <v>900</v>
      </c>
      <c r="M2" s="220" t="s">
        <v>732</v>
      </c>
    </row>
    <row r="3" spans="1:17" ht="15" customHeight="1" thickBot="1" x14ac:dyDescent="0.25">
      <c r="A3" s="375" t="s">
        <v>371</v>
      </c>
      <c r="B3" s="376"/>
      <c r="C3" s="376"/>
      <c r="D3" s="50" t="s">
        <v>354</v>
      </c>
      <c r="F3" s="375" t="s">
        <v>377</v>
      </c>
      <c r="G3" s="376"/>
      <c r="H3" s="64">
        <v>0.12</v>
      </c>
    </row>
    <row r="4" spans="1:17" ht="15" customHeight="1" x14ac:dyDescent="0.25">
      <c r="A4"/>
      <c r="B4"/>
      <c r="C4"/>
      <c r="D4"/>
      <c r="E4"/>
      <c r="F4"/>
      <c r="G4"/>
      <c r="H4"/>
      <c r="I4"/>
    </row>
    <row r="5" spans="1:17" ht="15" customHeight="1" x14ac:dyDescent="0.2">
      <c r="A5" s="116" t="s">
        <v>355</v>
      </c>
      <c r="B5" s="117" t="s">
        <v>121</v>
      </c>
      <c r="C5" s="117" t="s">
        <v>356</v>
      </c>
      <c r="D5" s="117" t="s">
        <v>357</v>
      </c>
      <c r="F5" s="319" t="s">
        <v>372</v>
      </c>
      <c r="G5" s="117" t="s">
        <v>152</v>
      </c>
      <c r="H5" s="117" t="s">
        <v>373</v>
      </c>
      <c r="I5" s="28"/>
    </row>
    <row r="6" spans="1:17" ht="15" customHeight="1" x14ac:dyDescent="0.2">
      <c r="A6" s="119">
        <v>1</v>
      </c>
      <c r="B6" s="29" t="s">
        <v>358</v>
      </c>
      <c r="C6" s="32">
        <v>5200</v>
      </c>
      <c r="D6" s="120"/>
      <c r="F6" s="27" t="s">
        <v>237</v>
      </c>
      <c r="G6" s="32">
        <v>15000</v>
      </c>
      <c r="H6" s="77"/>
      <c r="I6" s="28"/>
      <c r="P6" s="2" t="str">
        <f>IF(C6&gt;=5000,$D$2,$D$3)</f>
        <v>Armbanduhr</v>
      </c>
      <c r="Q6" s="2">
        <f>IF(G6&gt;=20000,G6*$H$3,G6*$H$2)</f>
        <v>1500</v>
      </c>
    </row>
    <row r="7" spans="1:17" ht="15" customHeight="1" x14ac:dyDescent="0.2">
      <c r="A7" s="119">
        <v>2</v>
      </c>
      <c r="B7" s="29" t="s">
        <v>238</v>
      </c>
      <c r="C7" s="32">
        <v>1200</v>
      </c>
      <c r="D7" s="120"/>
      <c r="F7" s="27" t="s">
        <v>282</v>
      </c>
      <c r="G7" s="32">
        <v>18000</v>
      </c>
      <c r="H7" s="77"/>
      <c r="P7" s="2" t="str">
        <f t="shared" ref="P7:P22" si="0">IF(C7&gt;=5000,$D$2,$D$3)</f>
        <v>Weinflasche</v>
      </c>
      <c r="Q7" s="2">
        <f t="shared" ref="Q7:Q11" si="1">IF(G7&gt;=20000,G7*$H$3,G7*$H$2)</f>
        <v>1800</v>
      </c>
    </row>
    <row r="8" spans="1:17" ht="15" customHeight="1" x14ac:dyDescent="0.2">
      <c r="A8" s="119">
        <v>3</v>
      </c>
      <c r="B8" s="29" t="s">
        <v>235</v>
      </c>
      <c r="C8" s="32">
        <v>560</v>
      </c>
      <c r="D8" s="120"/>
      <c r="F8" s="27" t="s">
        <v>236</v>
      </c>
      <c r="G8" s="32">
        <v>24000</v>
      </c>
      <c r="H8" s="77"/>
      <c r="P8" s="2" t="str">
        <f t="shared" si="0"/>
        <v>Weinflasche</v>
      </c>
      <c r="Q8" s="2">
        <f t="shared" si="1"/>
        <v>2880</v>
      </c>
    </row>
    <row r="9" spans="1:17" ht="15" customHeight="1" x14ac:dyDescent="0.2">
      <c r="A9" s="119">
        <v>4</v>
      </c>
      <c r="B9" s="29" t="s">
        <v>234</v>
      </c>
      <c r="C9" s="32">
        <v>4980</v>
      </c>
      <c r="D9" s="120"/>
      <c r="F9" s="27" t="s">
        <v>66</v>
      </c>
      <c r="G9" s="32">
        <v>19500</v>
      </c>
      <c r="H9" s="77"/>
      <c r="P9" s="2" t="str">
        <f t="shared" si="0"/>
        <v>Weinflasche</v>
      </c>
      <c r="Q9" s="2">
        <f t="shared" si="1"/>
        <v>1950</v>
      </c>
    </row>
    <row r="10" spans="1:17" ht="15" customHeight="1" x14ac:dyDescent="0.2">
      <c r="A10" s="119">
        <v>5</v>
      </c>
      <c r="B10" s="29" t="s">
        <v>359</v>
      </c>
      <c r="C10" s="32">
        <v>960</v>
      </c>
      <c r="D10" s="120"/>
      <c r="F10" s="27" t="s">
        <v>374</v>
      </c>
      <c r="G10" s="32">
        <v>28200</v>
      </c>
      <c r="H10" s="77"/>
      <c r="P10" s="2" t="str">
        <f t="shared" si="0"/>
        <v>Weinflasche</v>
      </c>
      <c r="Q10" s="2">
        <f t="shared" si="1"/>
        <v>3384</v>
      </c>
    </row>
    <row r="11" spans="1:17" ht="15" customHeight="1" x14ac:dyDescent="0.2">
      <c r="A11" s="119">
        <v>6</v>
      </c>
      <c r="B11" s="29" t="s">
        <v>360</v>
      </c>
      <c r="C11" s="32">
        <v>3690</v>
      </c>
      <c r="D11" s="120"/>
      <c r="F11" s="27" t="s">
        <v>375</v>
      </c>
      <c r="G11" s="32">
        <v>12000</v>
      </c>
      <c r="H11" s="77"/>
      <c r="P11" s="2" t="str">
        <f t="shared" si="0"/>
        <v>Weinflasche</v>
      </c>
      <c r="Q11" s="2">
        <f t="shared" si="1"/>
        <v>1200</v>
      </c>
    </row>
    <row r="12" spans="1:17" ht="15" customHeight="1" x14ac:dyDescent="0.2">
      <c r="A12" s="119">
        <v>7</v>
      </c>
      <c r="B12" s="29" t="s">
        <v>361</v>
      </c>
      <c r="C12" s="32">
        <v>10200</v>
      </c>
      <c r="D12" s="120"/>
      <c r="P12" s="2" t="str">
        <f t="shared" si="0"/>
        <v>Armbanduhr</v>
      </c>
    </row>
    <row r="13" spans="1:17" ht="15" customHeight="1" thickBot="1" x14ac:dyDescent="0.25">
      <c r="A13" s="119">
        <v>8</v>
      </c>
      <c r="B13" s="29" t="s">
        <v>362</v>
      </c>
      <c r="C13" s="32">
        <v>1050</v>
      </c>
      <c r="D13" s="120"/>
      <c r="P13" s="2" t="str">
        <f t="shared" si="0"/>
        <v>Weinflasche</v>
      </c>
    </row>
    <row r="14" spans="1:17" ht="15" customHeight="1" x14ac:dyDescent="0.2">
      <c r="A14" s="119">
        <v>9</v>
      </c>
      <c r="B14" s="29" t="s">
        <v>363</v>
      </c>
      <c r="C14" s="32">
        <v>1590</v>
      </c>
      <c r="D14" s="120"/>
      <c r="F14" s="443" t="s">
        <v>381</v>
      </c>
      <c r="G14" s="444"/>
      <c r="H14" s="444"/>
      <c r="I14" s="60" t="s">
        <v>379</v>
      </c>
      <c r="P14" s="2" t="str">
        <f t="shared" si="0"/>
        <v>Weinflasche</v>
      </c>
    </row>
    <row r="15" spans="1:17" ht="15" customHeight="1" x14ac:dyDescent="0.2">
      <c r="A15" s="119">
        <v>10</v>
      </c>
      <c r="B15" s="29" t="s">
        <v>364</v>
      </c>
      <c r="C15" s="32">
        <v>12800</v>
      </c>
      <c r="D15" s="120"/>
      <c r="F15" s="441" t="s">
        <v>382</v>
      </c>
      <c r="G15" s="442"/>
      <c r="H15" s="442"/>
      <c r="I15" s="61" t="s">
        <v>380</v>
      </c>
      <c r="P15" s="2" t="str">
        <f t="shared" si="0"/>
        <v>Armbanduhr</v>
      </c>
    </row>
    <row r="16" spans="1:17" ht="15" customHeight="1" thickBot="1" x14ac:dyDescent="0.25">
      <c r="A16" s="119">
        <v>11</v>
      </c>
      <c r="B16" s="29" t="s">
        <v>365</v>
      </c>
      <c r="C16" s="32">
        <v>900</v>
      </c>
      <c r="D16" s="120"/>
      <c r="F16" s="439" t="s">
        <v>646</v>
      </c>
      <c r="G16" s="440"/>
      <c r="H16" s="440"/>
      <c r="I16" s="62"/>
      <c r="P16" s="2" t="str">
        <f t="shared" si="0"/>
        <v>Weinflasche</v>
      </c>
    </row>
    <row r="17" spans="1:19" ht="15" customHeight="1" x14ac:dyDescent="0.2">
      <c r="A17" s="119">
        <v>12</v>
      </c>
      <c r="B17" s="29" t="s">
        <v>366</v>
      </c>
      <c r="C17" s="32">
        <v>8600</v>
      </c>
      <c r="D17" s="120"/>
      <c r="P17" s="2" t="str">
        <f t="shared" si="0"/>
        <v>Armbanduhr</v>
      </c>
    </row>
    <row r="18" spans="1:19" ht="15" customHeight="1" x14ac:dyDescent="0.2">
      <c r="A18" s="119">
        <v>13</v>
      </c>
      <c r="B18" s="29" t="s">
        <v>367</v>
      </c>
      <c r="C18" s="32">
        <v>7900</v>
      </c>
      <c r="D18" s="120"/>
      <c r="F18" s="116" t="s">
        <v>349</v>
      </c>
      <c r="G18" s="117" t="s">
        <v>350</v>
      </c>
      <c r="H18" s="117" t="s">
        <v>351</v>
      </c>
      <c r="I18" s="117" t="s">
        <v>378</v>
      </c>
      <c r="P18" s="2" t="str">
        <f t="shared" si="0"/>
        <v>Armbanduhr</v>
      </c>
    </row>
    <row r="19" spans="1:19" ht="15" customHeight="1" x14ac:dyDescent="0.2">
      <c r="A19" s="119">
        <v>14</v>
      </c>
      <c r="B19" s="29" t="s">
        <v>368</v>
      </c>
      <c r="C19" s="32">
        <v>1990</v>
      </c>
      <c r="D19" s="120"/>
      <c r="F19" s="121">
        <f ca="1">TODAY()-29</f>
        <v>45726</v>
      </c>
      <c r="G19" s="176"/>
      <c r="H19" s="77"/>
      <c r="I19" s="120"/>
      <c r="P19" s="2" t="str">
        <f t="shared" si="0"/>
        <v>Weinflasche</v>
      </c>
      <c r="Q19" s="14">
        <f ca="1">TODAY()</f>
        <v>45755</v>
      </c>
      <c r="R19" s="2">
        <f ca="1">Q19-F19</f>
        <v>29</v>
      </c>
      <c r="S19" s="2" t="str">
        <f ca="1">IF(R19&gt;60,$I$15,IF(R19&gt;30,$I$14," "))</f>
        <v xml:space="preserve"> </v>
      </c>
    </row>
    <row r="20" spans="1:19" ht="15" customHeight="1" x14ac:dyDescent="0.2">
      <c r="A20" s="119">
        <v>15</v>
      </c>
      <c r="B20" s="29" t="s">
        <v>369</v>
      </c>
      <c r="C20" s="32">
        <v>4240</v>
      </c>
      <c r="D20" s="120"/>
      <c r="F20" s="121">
        <f ca="1">TODAY()-62</f>
        <v>45693</v>
      </c>
      <c r="G20" s="176"/>
      <c r="H20" s="77"/>
      <c r="I20" s="120"/>
      <c r="P20" s="2" t="str">
        <f t="shared" si="0"/>
        <v>Weinflasche</v>
      </c>
      <c r="Q20" s="14">
        <f t="shared" ref="Q20:Q23" ca="1" si="2">TODAY()</f>
        <v>45755</v>
      </c>
      <c r="R20" s="2">
        <f ca="1">Q20-F20</f>
        <v>62</v>
      </c>
      <c r="S20" s="2" t="str">
        <f t="shared" ref="S20:S23" ca="1" si="3">IF(R20&gt;60,$I$15,IF(R20&gt;30,$I$14," "))</f>
        <v>2. Mahnung</v>
      </c>
    </row>
    <row r="21" spans="1:19" ht="15" customHeight="1" x14ac:dyDescent="0.2">
      <c r="A21" s="119">
        <v>16</v>
      </c>
      <c r="B21" s="29" t="s">
        <v>66</v>
      </c>
      <c r="C21" s="32">
        <v>2680</v>
      </c>
      <c r="D21" s="120"/>
      <c r="F21" s="121">
        <f ca="1">TODAY()-35</f>
        <v>45720</v>
      </c>
      <c r="G21" s="176"/>
      <c r="H21" s="77"/>
      <c r="I21" s="120"/>
      <c r="P21" s="2" t="str">
        <f t="shared" si="0"/>
        <v>Weinflasche</v>
      </c>
      <c r="Q21" s="14">
        <f t="shared" ca="1" si="2"/>
        <v>45755</v>
      </c>
      <c r="R21" s="2">
        <f ca="1">Q21-F21</f>
        <v>35</v>
      </c>
      <c r="S21" s="2" t="str">
        <f t="shared" ca="1" si="3"/>
        <v>1. Mahnung</v>
      </c>
    </row>
    <row r="22" spans="1:19" ht="15" customHeight="1" x14ac:dyDescent="0.2">
      <c r="A22" s="119">
        <v>17</v>
      </c>
      <c r="B22" s="29" t="s">
        <v>255</v>
      </c>
      <c r="C22" s="32">
        <v>6100</v>
      </c>
      <c r="D22" s="120"/>
      <c r="F22" s="121">
        <f ca="1">TODAY()-10</f>
        <v>45745</v>
      </c>
      <c r="G22" s="176"/>
      <c r="H22" s="77"/>
      <c r="I22" s="120"/>
      <c r="P22" s="2" t="str">
        <f t="shared" si="0"/>
        <v>Armbanduhr</v>
      </c>
      <c r="Q22" s="14">
        <f t="shared" ca="1" si="2"/>
        <v>45755</v>
      </c>
      <c r="R22" s="2">
        <f ca="1">Q22-F22</f>
        <v>10</v>
      </c>
      <c r="S22" s="2" t="str">
        <f t="shared" ca="1" si="3"/>
        <v xml:space="preserve"> </v>
      </c>
    </row>
    <row r="23" spans="1:19" ht="15" customHeight="1" x14ac:dyDescent="0.2">
      <c r="F23" s="121">
        <f ca="1">TODAY()-58</f>
        <v>45697</v>
      </c>
      <c r="G23" s="176"/>
      <c r="H23" s="77"/>
      <c r="I23" s="120"/>
      <c r="Q23" s="14">
        <f t="shared" ca="1" si="2"/>
        <v>45755</v>
      </c>
      <c r="R23" s="2">
        <f ca="1">Q23-F23</f>
        <v>58</v>
      </c>
      <c r="S23" s="2" t="str">
        <f t="shared" ca="1" si="3"/>
        <v>1. Mahnung</v>
      </c>
    </row>
  </sheetData>
  <sheetProtection formatCells="0"/>
  <protectedRanges>
    <protectedRange sqref="D6:D22 H6:H11 G19:I23" name="Bereich1"/>
  </protectedRanges>
  <mergeCells count="7">
    <mergeCell ref="F16:H16"/>
    <mergeCell ref="F15:H15"/>
    <mergeCell ref="F14:H14"/>
    <mergeCell ref="A2:C2"/>
    <mergeCell ref="A3:C3"/>
    <mergeCell ref="F2:G2"/>
    <mergeCell ref="F3:G3"/>
  </mergeCells>
  <conditionalFormatting sqref="D6:D22">
    <cfRule type="containsErrors" dxfId="159" priority="3">
      <formula>ISERROR(D6)</formula>
    </cfRule>
    <cfRule type="expression" dxfId="158" priority="8">
      <formula>AND(D6&lt;&gt;"",D6&lt;&gt;P6)</formula>
    </cfRule>
    <cfRule type="expression" dxfId="157" priority="9">
      <formula>AND(D6&lt;&gt;"",D6=P6)</formula>
    </cfRule>
  </conditionalFormatting>
  <conditionalFormatting sqref="H6:H11">
    <cfRule type="containsErrors" dxfId="156" priority="2">
      <formula>ISERROR(H6)</formula>
    </cfRule>
    <cfRule type="expression" dxfId="155" priority="6">
      <formula>AND(H6&lt;&gt;"",H6&lt;&gt;Q6)</formula>
    </cfRule>
    <cfRule type="expression" dxfId="154" priority="7">
      <formula>AND(H6&lt;&gt;"",H6=Q6)</formula>
    </cfRule>
  </conditionalFormatting>
  <conditionalFormatting sqref="G19:I23">
    <cfRule type="containsErrors" dxfId="153" priority="1">
      <formula>ISERROR(G19)</formula>
    </cfRule>
    <cfRule type="expression" dxfId="152" priority="4">
      <formula>AND(G19&lt;&gt;"",G19&lt;&gt;Q19)</formula>
    </cfRule>
    <cfRule type="expression" dxfId="151" priority="5">
      <formula>AND(G19&lt;&gt;"",G19=Q19)</formula>
    </cfRule>
  </conditionalFormatting>
  <hyperlinks>
    <hyperlink ref="M2" location="Übersicht!A1" display="Zur Übersicht" xr:uid="{00000000-0004-0000-0800-000000000000}"/>
  </hyperlinks>
  <pageMargins left="0.25" right="0.25" top="0.75" bottom="0.75" header="0.3" footer="0.3"/>
  <pageSetup paperSize="9" orientation="landscape"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0">
    <tabColor theme="5" tint="-0.249977111117893"/>
  </sheetPr>
  <dimension ref="B2:S16"/>
  <sheetViews>
    <sheetView showGridLines="0" workbookViewId="0">
      <selection activeCell="O15" sqref="O15"/>
    </sheetView>
  </sheetViews>
  <sheetFormatPr baseColWidth="10" defaultRowHeight="15" customHeight="1" x14ac:dyDescent="0.2"/>
  <cols>
    <col min="1" max="1" width="3.5703125" style="2" customWidth="1"/>
    <col min="2" max="3" width="16.140625" style="2" customWidth="1"/>
    <col min="4" max="4" width="17" style="2" bestFit="1" customWidth="1"/>
    <col min="5" max="6" width="16.140625" style="2" customWidth="1"/>
    <col min="7" max="12" width="11.42578125" style="2"/>
    <col min="13" max="13" width="11.42578125" style="2" customWidth="1"/>
    <col min="14" max="15" width="11.42578125" style="2"/>
    <col min="16" max="17" width="0" style="2" hidden="1" customWidth="1"/>
    <col min="18" max="18" width="12.85546875" style="2" customWidth="1"/>
    <col min="19" max="19" width="12.85546875" style="2" bestFit="1" customWidth="1"/>
    <col min="20" max="16384" width="11.42578125" style="2"/>
  </cols>
  <sheetData>
    <row r="2" spans="2:19" ht="15" customHeight="1" thickBot="1" x14ac:dyDescent="0.25">
      <c r="R2" s="306" t="s">
        <v>900</v>
      </c>
      <c r="S2" s="220" t="s">
        <v>732</v>
      </c>
    </row>
    <row r="3" spans="2:19" ht="30.75" customHeight="1" x14ac:dyDescent="0.25">
      <c r="B3" s="231" t="s">
        <v>3</v>
      </c>
      <c r="C3" s="156" t="s">
        <v>7</v>
      </c>
      <c r="D3" s="157" t="s">
        <v>769</v>
      </c>
      <c r="E3" s="156" t="s">
        <v>770</v>
      </c>
      <c r="F3" s="156" t="s">
        <v>771</v>
      </c>
      <c r="H3" s="447" t="str">
        <f ca="1">"Alle Produkte, die bis zum " &amp; TEXT(D15-1,"TT.MM.JJJJ") &amp; " hergestellt wurden, sollen um "&amp;TEXT(D16,"#,0 %")&amp;" gesenkt werden."</f>
        <v>Alle Produkte, die bis zum 31.12.2023 hergestellt wurden, sollen um 10,0 % gesenkt werden.</v>
      </c>
      <c r="I3" s="448"/>
      <c r="J3" s="448"/>
      <c r="K3" s="448"/>
      <c r="L3" s="448"/>
      <c r="M3" s="448"/>
      <c r="N3" s="449"/>
    </row>
    <row r="4" spans="2:19" ht="15" customHeight="1" x14ac:dyDescent="0.25">
      <c r="B4" s="27" t="s">
        <v>772</v>
      </c>
      <c r="C4" s="87">
        <v>91.44</v>
      </c>
      <c r="D4" s="42">
        <f ca="1">DATE(YEAR(TODAY())-1,2,6)</f>
        <v>45328</v>
      </c>
      <c r="E4" s="115"/>
      <c r="F4" s="76"/>
      <c r="H4" s="244" t="s">
        <v>97</v>
      </c>
      <c r="I4" s="221" t="s">
        <v>783</v>
      </c>
      <c r="J4" s="221"/>
      <c r="K4" s="221"/>
      <c r="L4" s="221"/>
      <c r="M4" s="221"/>
      <c r="N4" s="243"/>
      <c r="P4" s="2">
        <f ca="1">IF(D4&lt;$D$15,C4-(C4*$D$16),C4)</f>
        <v>91.44</v>
      </c>
      <c r="Q4" s="2" t="str">
        <f>IF(E4&lt;C4,"ja","nein")</f>
        <v>ja</v>
      </c>
    </row>
    <row r="5" spans="2:19" ht="15" customHeight="1" x14ac:dyDescent="0.25">
      <c r="B5" s="27" t="s">
        <v>773</v>
      </c>
      <c r="C5" s="87">
        <v>59.89</v>
      </c>
      <c r="D5" s="42">
        <f ca="1">DATE(YEAR(TODAY())-2,1,3)</f>
        <v>44929</v>
      </c>
      <c r="E5" s="115"/>
      <c r="F5" s="76"/>
      <c r="H5" s="244" t="s">
        <v>100</v>
      </c>
      <c r="I5" s="221" t="s">
        <v>784</v>
      </c>
      <c r="J5" s="221"/>
      <c r="K5" s="221"/>
      <c r="L5" s="221"/>
      <c r="M5" s="221"/>
      <c r="N5" s="243"/>
      <c r="P5" s="2">
        <f t="shared" ref="P5:P13" ca="1" si="0">IF(D5&lt;$D$15,C5-(C5*$D$16),C5)</f>
        <v>53.900999999999996</v>
      </c>
      <c r="Q5" s="2" t="str">
        <f t="shared" ref="Q5:Q13" si="1">IF(E5&lt;C5,"ja","nein")</f>
        <v>ja</v>
      </c>
    </row>
    <row r="6" spans="2:19" ht="15" customHeight="1" thickBot="1" x14ac:dyDescent="0.3">
      <c r="B6" s="27" t="s">
        <v>774</v>
      </c>
      <c r="C6" s="87">
        <v>102.48</v>
      </c>
      <c r="D6" s="42">
        <f ca="1">DATE(YEAR(TODAY())-1,10,20)</f>
        <v>45585</v>
      </c>
      <c r="E6" s="115"/>
      <c r="F6" s="76"/>
      <c r="H6" s="318"/>
      <c r="I6" s="245" t="s">
        <v>785</v>
      </c>
      <c r="J6" s="245"/>
      <c r="K6" s="245"/>
      <c r="L6" s="245"/>
      <c r="M6" s="245"/>
      <c r="N6" s="246"/>
      <c r="P6" s="2">
        <f t="shared" ca="1" si="0"/>
        <v>102.48</v>
      </c>
      <c r="Q6" s="2" t="str">
        <f t="shared" si="1"/>
        <v>ja</v>
      </c>
    </row>
    <row r="7" spans="2:19" ht="15" customHeight="1" x14ac:dyDescent="0.25">
      <c r="B7" s="27" t="s">
        <v>775</v>
      </c>
      <c r="C7" s="87">
        <v>164.29</v>
      </c>
      <c r="D7" s="42">
        <f ca="1">DATE(YEAR(TODAY())-2,8,16)</f>
        <v>45154</v>
      </c>
      <c r="E7" s="115"/>
      <c r="F7" s="76"/>
      <c r="H7"/>
      <c r="I7"/>
      <c r="J7"/>
      <c r="K7"/>
      <c r="L7"/>
      <c r="M7"/>
      <c r="N7"/>
      <c r="P7" s="2">
        <f t="shared" ca="1" si="0"/>
        <v>147.86099999999999</v>
      </c>
      <c r="Q7" s="2" t="str">
        <f t="shared" si="1"/>
        <v>ja</v>
      </c>
    </row>
    <row r="8" spans="2:19" ht="15" customHeight="1" x14ac:dyDescent="0.2">
      <c r="B8" s="27" t="s">
        <v>776</v>
      </c>
      <c r="C8" s="87">
        <v>180.84</v>
      </c>
      <c r="D8" s="42">
        <f ca="1">DATE(YEAR(TODAY())-1,12,12)</f>
        <v>45638</v>
      </c>
      <c r="E8" s="115"/>
      <c r="F8" s="76"/>
      <c r="P8" s="2">
        <f t="shared" ca="1" si="0"/>
        <v>180.84</v>
      </c>
      <c r="Q8" s="2" t="str">
        <f t="shared" si="1"/>
        <v>ja</v>
      </c>
    </row>
    <row r="9" spans="2:19" ht="15" customHeight="1" x14ac:dyDescent="0.2">
      <c r="B9" s="27" t="s">
        <v>777</v>
      </c>
      <c r="C9" s="87">
        <v>95.72</v>
      </c>
      <c r="D9" s="42">
        <f ca="1">DATE(YEAR(TODAY())-2,9,28)</f>
        <v>45197</v>
      </c>
      <c r="E9" s="115"/>
      <c r="F9" s="76"/>
      <c r="P9" s="2">
        <f t="shared" ca="1" si="0"/>
        <v>86.147999999999996</v>
      </c>
      <c r="Q9" s="2" t="str">
        <f t="shared" si="1"/>
        <v>ja</v>
      </c>
    </row>
    <row r="10" spans="2:19" ht="15" customHeight="1" x14ac:dyDescent="0.2">
      <c r="B10" s="27" t="s">
        <v>778</v>
      </c>
      <c r="C10" s="87">
        <v>121.09</v>
      </c>
      <c r="D10" s="42">
        <f ca="1">DATE(YEAR(TODAY())-1,5,16)</f>
        <v>45428</v>
      </c>
      <c r="E10" s="115"/>
      <c r="F10" s="76"/>
      <c r="P10" s="2">
        <f t="shared" ca="1" si="0"/>
        <v>121.09</v>
      </c>
      <c r="Q10" s="2" t="str">
        <f t="shared" si="1"/>
        <v>ja</v>
      </c>
    </row>
    <row r="11" spans="2:19" ht="15" customHeight="1" x14ac:dyDescent="0.2">
      <c r="B11" s="27" t="s">
        <v>779</v>
      </c>
      <c r="C11" s="87">
        <v>168.55</v>
      </c>
      <c r="D11" s="42">
        <f ca="1">DATE(YEAR(TODAY())-1,8,5)</f>
        <v>45509</v>
      </c>
      <c r="E11" s="115"/>
      <c r="F11" s="76"/>
      <c r="P11" s="2">
        <f t="shared" ca="1" si="0"/>
        <v>168.55</v>
      </c>
      <c r="Q11" s="2" t="str">
        <f t="shared" si="1"/>
        <v>ja</v>
      </c>
    </row>
    <row r="12" spans="2:19" ht="15" customHeight="1" x14ac:dyDescent="0.2">
      <c r="B12" s="27" t="s">
        <v>780</v>
      </c>
      <c r="C12" s="87">
        <v>199.49</v>
      </c>
      <c r="D12" s="42">
        <f ca="1">DATE(YEAR(TODAY())-1,2,8)</f>
        <v>45330</v>
      </c>
      <c r="E12" s="115"/>
      <c r="F12" s="76"/>
      <c r="P12" s="2">
        <f t="shared" ca="1" si="0"/>
        <v>199.49</v>
      </c>
      <c r="Q12" s="2" t="str">
        <f t="shared" si="1"/>
        <v>ja</v>
      </c>
    </row>
    <row r="13" spans="2:19" ht="15" customHeight="1" x14ac:dyDescent="0.2">
      <c r="B13" s="27" t="s">
        <v>781</v>
      </c>
      <c r="C13" s="87">
        <v>66.209999999999994</v>
      </c>
      <c r="D13" s="42">
        <f ca="1">DATE(YEAR(TODAY())-2,5,30)</f>
        <v>45076</v>
      </c>
      <c r="E13" s="115"/>
      <c r="F13" s="76"/>
      <c r="P13" s="2">
        <f t="shared" ca="1" si="0"/>
        <v>59.588999999999992</v>
      </c>
      <c r="Q13" s="2" t="str">
        <f t="shared" si="1"/>
        <v>ja</v>
      </c>
    </row>
    <row r="15" spans="2:19" ht="15" customHeight="1" x14ac:dyDescent="0.2">
      <c r="B15" s="253"/>
      <c r="C15" s="2" t="s">
        <v>782</v>
      </c>
      <c r="D15" s="254">
        <f ca="1">DATE(YEAR(TODAY())-1,1,1)</f>
        <v>45292</v>
      </c>
    </row>
    <row r="16" spans="2:19" ht="15" customHeight="1" x14ac:dyDescent="0.2">
      <c r="C16" s="2" t="s">
        <v>771</v>
      </c>
      <c r="D16" s="255">
        <v>0.1</v>
      </c>
    </row>
  </sheetData>
  <sheetProtection sheet="1" objects="1" scenarios="1" formatCells="0"/>
  <protectedRanges>
    <protectedRange sqref="E4:F13" name="Bereich1"/>
  </protectedRanges>
  <mergeCells count="1">
    <mergeCell ref="H3:N3"/>
  </mergeCells>
  <conditionalFormatting sqref="E4:E13">
    <cfRule type="expression" dxfId="150" priority="5">
      <formula>AND(E4&lt;&gt;"",E4&lt;&gt;P4)</formula>
    </cfRule>
    <cfRule type="expression" dxfId="149" priority="6">
      <formula>AND(E4&lt;&gt;"",E4=P4)</formula>
    </cfRule>
  </conditionalFormatting>
  <conditionalFormatting sqref="F4:F13">
    <cfRule type="containsErrors" dxfId="148" priority="1">
      <formula>ISERROR(F4)</formula>
    </cfRule>
    <cfRule type="expression" dxfId="147" priority="2">
      <formula>AND(F4&lt;&gt;"",F4=Q4)</formula>
    </cfRule>
    <cfRule type="expression" dxfId="146" priority="7">
      <formula>AND(F4&lt;&gt;"",F4&lt;&gt;Q4)</formula>
    </cfRule>
  </conditionalFormatting>
  <hyperlinks>
    <hyperlink ref="S2" location="Übersicht!A1" display="Zur Übersicht" xr:uid="{00000000-0004-0000-0900-000000000000}"/>
  </hyperlinks>
  <pageMargins left="0.7" right="0.7" top="0.78740157499999996" bottom="0.78740157499999996"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5" tint="-0.499984740745262"/>
  </sheetPr>
  <dimension ref="B2:R21"/>
  <sheetViews>
    <sheetView showGridLines="0" workbookViewId="0">
      <selection activeCell="B10" sqref="B10:F10"/>
    </sheetView>
  </sheetViews>
  <sheetFormatPr baseColWidth="10" defaultRowHeight="15" customHeight="1" x14ac:dyDescent="0.2"/>
  <cols>
    <col min="1" max="1" width="3.140625" style="2" customWidth="1"/>
    <col min="2" max="6" width="16.140625" style="2" customWidth="1"/>
    <col min="7" max="12" width="11.42578125" style="2"/>
    <col min="13" max="13" width="12.85546875" style="2" bestFit="1" customWidth="1"/>
    <col min="14" max="15" width="11.42578125" style="2"/>
    <col min="16" max="16" width="0" style="2" hidden="1" customWidth="1"/>
    <col min="17" max="17" width="11.42578125" style="2"/>
    <col min="18" max="18" width="13.140625" style="2" customWidth="1"/>
    <col min="19" max="16384" width="11.42578125" style="2"/>
  </cols>
  <sheetData>
    <row r="2" spans="2:18" ht="15" customHeight="1" x14ac:dyDescent="0.2">
      <c r="Q2" s="306" t="s">
        <v>900</v>
      </c>
      <c r="R2" s="220" t="s">
        <v>732</v>
      </c>
    </row>
    <row r="3" spans="2:18" ht="15" customHeight="1" thickBot="1" x14ac:dyDescent="0.25"/>
    <row r="4" spans="2:18" ht="15" customHeight="1" x14ac:dyDescent="0.2">
      <c r="B4" s="155" t="s">
        <v>65</v>
      </c>
      <c r="C4" s="156" t="s">
        <v>738</v>
      </c>
      <c r="D4" s="156" t="s">
        <v>739</v>
      </c>
      <c r="E4" s="156" t="s">
        <v>740</v>
      </c>
      <c r="I4" s="300" t="s">
        <v>742</v>
      </c>
      <c r="J4" s="258"/>
      <c r="K4" s="258"/>
      <c r="L4" s="258"/>
      <c r="M4" s="258"/>
      <c r="N4" s="259"/>
    </row>
    <row r="5" spans="2:18" ht="15" customHeight="1" x14ac:dyDescent="0.2">
      <c r="B5" s="27" t="s">
        <v>284</v>
      </c>
      <c r="C5" s="3">
        <v>25000</v>
      </c>
      <c r="D5" s="260">
        <v>8</v>
      </c>
      <c r="E5" s="76"/>
      <c r="I5" s="301" t="s">
        <v>743</v>
      </c>
      <c r="J5" s="236"/>
      <c r="K5" s="236"/>
      <c r="L5" s="236"/>
      <c r="M5" s="236"/>
      <c r="N5" s="248"/>
      <c r="P5" s="2">
        <f>IF(OR(C5&gt;15000,D5&lt;5),500,"")</f>
        <v>500</v>
      </c>
    </row>
    <row r="6" spans="2:18" ht="15" customHeight="1" x14ac:dyDescent="0.2">
      <c r="B6" s="27" t="s">
        <v>67</v>
      </c>
      <c r="C6" s="3">
        <v>8000</v>
      </c>
      <c r="D6" s="260">
        <v>3</v>
      </c>
      <c r="E6" s="76"/>
      <c r="I6" s="301" t="s">
        <v>788</v>
      </c>
      <c r="J6" s="236"/>
      <c r="K6" s="236"/>
      <c r="L6" s="236"/>
      <c r="M6" s="236"/>
      <c r="N6" s="248"/>
      <c r="P6" s="2">
        <f t="shared" ref="P6:P7" si="0">IF(OR(C6&gt;15000,D6&lt;5),500,"")</f>
        <v>500</v>
      </c>
    </row>
    <row r="7" spans="2:18" ht="15" customHeight="1" thickBot="1" x14ac:dyDescent="0.25">
      <c r="B7" s="27" t="s">
        <v>741</v>
      </c>
      <c r="C7" s="3">
        <v>12000</v>
      </c>
      <c r="D7" s="260">
        <v>5</v>
      </c>
      <c r="E7" s="76"/>
      <c r="I7" s="250"/>
      <c r="J7" s="251"/>
      <c r="K7" s="251"/>
      <c r="L7" s="251"/>
      <c r="M7" s="251"/>
      <c r="N7" s="252"/>
      <c r="P7" s="2" t="str">
        <f t="shared" si="0"/>
        <v/>
      </c>
    </row>
    <row r="9" spans="2:18" ht="15" customHeight="1" thickBot="1" x14ac:dyDescent="0.25"/>
    <row r="10" spans="2:18" ht="15" customHeight="1" x14ac:dyDescent="0.2">
      <c r="B10" s="155" t="s">
        <v>65</v>
      </c>
      <c r="C10" s="156" t="s">
        <v>748</v>
      </c>
      <c r="D10" s="156" t="s">
        <v>749</v>
      </c>
      <c r="E10" s="156" t="s">
        <v>750</v>
      </c>
      <c r="F10" s="156" t="s">
        <v>226</v>
      </c>
      <c r="I10" s="300" t="s">
        <v>751</v>
      </c>
      <c r="J10" s="258"/>
      <c r="K10" s="258"/>
      <c r="L10" s="258"/>
      <c r="M10" s="258"/>
      <c r="N10" s="259"/>
    </row>
    <row r="11" spans="2:18" ht="15" customHeight="1" x14ac:dyDescent="0.2">
      <c r="B11" s="27" t="s">
        <v>744</v>
      </c>
      <c r="C11" s="87">
        <v>25000</v>
      </c>
      <c r="D11" s="87">
        <v>35000</v>
      </c>
      <c r="E11" s="87">
        <v>15800</v>
      </c>
      <c r="F11" s="76"/>
      <c r="I11" s="301" t="s">
        <v>786</v>
      </c>
      <c r="J11" s="236"/>
      <c r="K11" s="236"/>
      <c r="L11" s="236"/>
      <c r="M11" s="236"/>
      <c r="N11" s="248"/>
      <c r="P11" s="2">
        <f>IF(OR(C11&gt;30000,D11&gt;30000,E11&gt;30000),100,"")</f>
        <v>100</v>
      </c>
    </row>
    <row r="12" spans="2:18" ht="15" customHeight="1" thickBot="1" x14ac:dyDescent="0.25">
      <c r="B12" s="27" t="s">
        <v>745</v>
      </c>
      <c r="C12" s="87">
        <v>30000</v>
      </c>
      <c r="D12" s="87">
        <v>28000</v>
      </c>
      <c r="E12" s="87">
        <v>32400</v>
      </c>
      <c r="F12" s="76"/>
      <c r="I12" s="302"/>
      <c r="J12" s="251"/>
      <c r="K12" s="251"/>
      <c r="L12" s="251"/>
      <c r="M12" s="251"/>
      <c r="N12" s="252"/>
      <c r="P12" s="2">
        <f t="shared" ref="P12:P14" si="1">IF(OR(C12&gt;30000,D12&gt;30000,E12&gt;30000),100,"")</f>
        <v>100</v>
      </c>
    </row>
    <row r="13" spans="2:18" ht="15" customHeight="1" x14ac:dyDescent="0.2">
      <c r="B13" s="27" t="s">
        <v>746</v>
      </c>
      <c r="C13" s="87">
        <v>21500</v>
      </c>
      <c r="D13" s="87">
        <v>40000</v>
      </c>
      <c r="E13" s="87">
        <v>25800</v>
      </c>
      <c r="F13" s="76"/>
      <c r="P13" s="2">
        <f t="shared" si="1"/>
        <v>100</v>
      </c>
    </row>
    <row r="14" spans="2:18" ht="15" customHeight="1" x14ac:dyDescent="0.2">
      <c r="B14" s="27" t="s">
        <v>747</v>
      </c>
      <c r="C14" s="87">
        <v>18500</v>
      </c>
      <c r="D14" s="87">
        <v>29300</v>
      </c>
      <c r="E14" s="87">
        <v>28000</v>
      </c>
      <c r="F14" s="76"/>
      <c r="P14" s="2" t="str">
        <f t="shared" si="1"/>
        <v/>
      </c>
    </row>
    <row r="16" spans="2:18" ht="15" customHeight="1" thickBot="1" x14ac:dyDescent="0.25"/>
    <row r="17" spans="2:16" ht="15" customHeight="1" x14ac:dyDescent="0.2">
      <c r="B17" s="231" t="s">
        <v>65</v>
      </c>
      <c r="C17" s="156" t="s">
        <v>748</v>
      </c>
      <c r="D17" s="156" t="s">
        <v>749</v>
      </c>
      <c r="E17" s="156" t="s">
        <v>750</v>
      </c>
      <c r="F17" s="156" t="s">
        <v>226</v>
      </c>
      <c r="I17" s="300" t="s">
        <v>752</v>
      </c>
      <c r="J17" s="258"/>
      <c r="K17" s="258"/>
      <c r="L17" s="258"/>
      <c r="M17" s="258"/>
      <c r="N17" s="259"/>
    </row>
    <row r="18" spans="2:16" ht="15" customHeight="1" x14ac:dyDescent="0.2">
      <c r="B18" s="27" t="s">
        <v>744</v>
      </c>
      <c r="C18" s="87">
        <v>25000</v>
      </c>
      <c r="D18" s="87">
        <v>35000</v>
      </c>
      <c r="E18" s="87">
        <v>15800</v>
      </c>
      <c r="F18" s="76"/>
      <c r="I18" s="301" t="s">
        <v>787</v>
      </c>
      <c r="J18" s="236"/>
      <c r="K18" s="236"/>
      <c r="L18" s="236"/>
      <c r="M18" s="236"/>
      <c r="N18" s="248"/>
      <c r="P18" s="2" t="str">
        <f>IF(AND(C18&gt;20000,D18&gt;20000,E18&gt;20000),100,"")</f>
        <v/>
      </c>
    </row>
    <row r="19" spans="2:16" ht="15" customHeight="1" thickBot="1" x14ac:dyDescent="0.25">
      <c r="B19" s="27" t="s">
        <v>745</v>
      </c>
      <c r="C19" s="87">
        <v>30000</v>
      </c>
      <c r="D19" s="87">
        <v>28000</v>
      </c>
      <c r="E19" s="87">
        <v>32400</v>
      </c>
      <c r="F19" s="76"/>
      <c r="I19" s="302"/>
      <c r="J19" s="251"/>
      <c r="K19" s="251"/>
      <c r="L19" s="251"/>
      <c r="M19" s="251"/>
      <c r="N19" s="252"/>
      <c r="P19" s="2">
        <f>IF(AND(C19&gt;20000,D19&gt;20000,E19&gt;20000),100,"")</f>
        <v>100</v>
      </c>
    </row>
    <row r="20" spans="2:16" ht="15" customHeight="1" x14ac:dyDescent="0.2">
      <c r="B20" s="27" t="s">
        <v>746</v>
      </c>
      <c r="C20" s="87">
        <v>21500</v>
      </c>
      <c r="D20" s="87">
        <v>40000</v>
      </c>
      <c r="E20" s="87">
        <v>25800</v>
      </c>
      <c r="F20" s="76"/>
      <c r="P20" s="2">
        <f>IF(AND(C20&gt;20000,D20&gt;20000,E20&gt;20000),100,"")</f>
        <v>100</v>
      </c>
    </row>
    <row r="21" spans="2:16" ht="15" customHeight="1" x14ac:dyDescent="0.2">
      <c r="B21" s="27" t="s">
        <v>747</v>
      </c>
      <c r="C21" s="87">
        <v>18500</v>
      </c>
      <c r="D21" s="87">
        <v>29300</v>
      </c>
      <c r="E21" s="87">
        <v>28000</v>
      </c>
      <c r="F21" s="76"/>
      <c r="P21" s="2" t="str">
        <f>IF(AND(C21&gt;20000,D21&gt;20000,E21&gt;20000),100,"")</f>
        <v/>
      </c>
    </row>
  </sheetData>
  <sheetProtection sheet="1" objects="1" scenarios="1" formatCells="0"/>
  <protectedRanges>
    <protectedRange sqref="F18:F21" name="Bereich3"/>
    <protectedRange sqref="F11:F14" name="Bereich2"/>
    <protectedRange sqref="E5:E7" name="Bereich1"/>
  </protectedRanges>
  <conditionalFormatting sqref="E5:E7">
    <cfRule type="containsErrors" dxfId="145" priority="3">
      <formula>ISERROR(E5)</formula>
    </cfRule>
    <cfRule type="expression" dxfId="144" priority="8">
      <formula>AND(E5&lt;&gt;P5,NOT(ISBLANK(E5)))</formula>
    </cfRule>
    <cfRule type="expression" dxfId="143" priority="9">
      <formula>AND(E5=P5,NOT(ISBLANK(E5)))</formula>
    </cfRule>
  </conditionalFormatting>
  <conditionalFormatting sqref="F11:F14">
    <cfRule type="containsErrors" dxfId="142" priority="2">
      <formula>ISERROR(F11)</formula>
    </cfRule>
    <cfRule type="expression" dxfId="141" priority="6">
      <formula>AND(F11&lt;&gt;P11,NOT(ISBLANK(F11)))</formula>
    </cfRule>
    <cfRule type="expression" dxfId="140" priority="7">
      <formula>AND(F11=P11,NOT(ISBLANK(F11)))</formula>
    </cfRule>
  </conditionalFormatting>
  <conditionalFormatting sqref="F18:F21">
    <cfRule type="containsErrors" dxfId="139" priority="1">
      <formula>ISERROR(F18)</formula>
    </cfRule>
    <cfRule type="expression" dxfId="138" priority="4">
      <formula>AND(F18&lt;&gt;P18,NOT(ISBLANK(F18)))</formula>
    </cfRule>
    <cfRule type="expression" dxfId="137" priority="5">
      <formula>AND(F18=P18,NOT(ISBLANK(F18)))</formula>
    </cfRule>
  </conditionalFormatting>
  <hyperlinks>
    <hyperlink ref="R2" location="Übersicht!A1" display="Zur Übersicht" xr:uid="{00000000-0004-0000-0A00-000000000000}"/>
  </hyperlink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2">
    <tabColor theme="5" tint="-0.499984740745262"/>
  </sheetPr>
  <dimension ref="B2:P16"/>
  <sheetViews>
    <sheetView showGridLines="0" workbookViewId="0">
      <selection activeCell="B4" sqref="B4:K16"/>
    </sheetView>
  </sheetViews>
  <sheetFormatPr baseColWidth="10" defaultRowHeight="15" customHeight="1" x14ac:dyDescent="0.2"/>
  <cols>
    <col min="1" max="1" width="3.7109375" style="2" customWidth="1"/>
    <col min="2" max="3" width="16.140625" style="2" customWidth="1"/>
    <col min="4" max="4" width="17.85546875" style="2" customWidth="1"/>
    <col min="5" max="6" width="16.140625" style="2" customWidth="1"/>
    <col min="7" max="12" width="11.42578125" style="2"/>
    <col min="13" max="13" width="12.85546875" style="2" bestFit="1" customWidth="1"/>
    <col min="14" max="14" width="11.42578125" style="2"/>
    <col min="15" max="15" width="0" style="2" hidden="1" customWidth="1"/>
    <col min="16" max="16" width="11.42578125" style="2" hidden="1" customWidth="1"/>
    <col min="17" max="17" width="0" style="2" hidden="1" customWidth="1"/>
    <col min="18" max="16384" width="11.42578125" style="2"/>
  </cols>
  <sheetData>
    <row r="2" spans="2:16" ht="15" customHeight="1" x14ac:dyDescent="0.2">
      <c r="L2" s="306" t="s">
        <v>900</v>
      </c>
      <c r="M2" s="220" t="s">
        <v>732</v>
      </c>
    </row>
    <row r="3" spans="2:16" ht="15" customHeight="1" thickBot="1" x14ac:dyDescent="0.25"/>
    <row r="4" spans="2:16" ht="15" customHeight="1" x14ac:dyDescent="0.2">
      <c r="B4" s="231" t="s">
        <v>753</v>
      </c>
      <c r="C4" s="156" t="s">
        <v>754</v>
      </c>
      <c r="D4" s="156" t="s">
        <v>755</v>
      </c>
      <c r="F4" s="300" t="s">
        <v>767</v>
      </c>
      <c r="G4" s="258"/>
      <c r="H4" s="258"/>
      <c r="I4" s="258"/>
      <c r="J4" s="258"/>
      <c r="K4" s="259"/>
    </row>
    <row r="5" spans="2:16" ht="15" customHeight="1" x14ac:dyDescent="0.2">
      <c r="B5" s="27" t="s">
        <v>756</v>
      </c>
      <c r="C5" s="303">
        <v>28</v>
      </c>
      <c r="D5" s="120"/>
      <c r="F5" s="301" t="s">
        <v>768</v>
      </c>
      <c r="G5" s="236"/>
      <c r="H5" s="236"/>
      <c r="I5" s="236"/>
      <c r="J5" s="236"/>
      <c r="K5" s="248"/>
      <c r="P5" s="294" t="str">
        <f>IF(AND(C5&gt;=$C$15,C5&lt;=$C$16),"OK"," ")</f>
        <v xml:space="preserve"> </v>
      </c>
    </row>
    <row r="6" spans="2:16" ht="15" customHeight="1" x14ac:dyDescent="0.2">
      <c r="B6" s="27" t="s">
        <v>757</v>
      </c>
      <c r="C6" s="303">
        <v>19</v>
      </c>
      <c r="D6" s="120"/>
      <c r="F6" s="247"/>
      <c r="G6" s="236"/>
      <c r="H6" s="236"/>
      <c r="I6" s="236"/>
      <c r="J6" s="236"/>
      <c r="K6" s="248"/>
      <c r="P6" s="294" t="str">
        <f t="shared" ref="P6:P13" si="0">IF(AND(C6&gt;=$C$15,C6&lt;=$C$16),"OK"," ")</f>
        <v xml:space="preserve"> </v>
      </c>
    </row>
    <row r="7" spans="2:16" ht="15" customHeight="1" x14ac:dyDescent="0.2">
      <c r="B7" s="27" t="s">
        <v>758</v>
      </c>
      <c r="C7" s="303">
        <v>34</v>
      </c>
      <c r="D7" s="120"/>
      <c r="F7" s="301" t="s">
        <v>901</v>
      </c>
      <c r="G7" s="236"/>
      <c r="H7" s="236"/>
      <c r="I7" s="236"/>
      <c r="J7" s="236"/>
      <c r="K7" s="248"/>
      <c r="P7" s="294" t="str">
        <f t="shared" si="0"/>
        <v>OK</v>
      </c>
    </row>
    <row r="8" spans="2:16" ht="15" customHeight="1" thickBot="1" x14ac:dyDescent="0.25">
      <c r="B8" s="27" t="s">
        <v>759</v>
      </c>
      <c r="C8" s="303">
        <v>41</v>
      </c>
      <c r="D8" s="120"/>
      <c r="F8" s="335" t="s">
        <v>902</v>
      </c>
      <c r="G8" s="251"/>
      <c r="H8" s="251"/>
      <c r="I8" s="251"/>
      <c r="J8" s="251"/>
      <c r="K8" s="252"/>
      <c r="P8" s="294" t="str">
        <f t="shared" si="0"/>
        <v>OK</v>
      </c>
    </row>
    <row r="9" spans="2:16" ht="15" customHeight="1" x14ac:dyDescent="0.25">
      <c r="B9" s="27" t="s">
        <v>760</v>
      </c>
      <c r="C9" s="303">
        <v>65</v>
      </c>
      <c r="D9" s="120"/>
      <c r="F9"/>
      <c r="G9"/>
      <c r="H9"/>
      <c r="I9"/>
      <c r="J9"/>
      <c r="K9"/>
      <c r="P9" s="294" t="str">
        <f t="shared" si="0"/>
        <v xml:space="preserve"> </v>
      </c>
    </row>
    <row r="10" spans="2:16" ht="15" customHeight="1" x14ac:dyDescent="0.25">
      <c r="B10" s="27" t="s">
        <v>761</v>
      </c>
      <c r="C10" s="303">
        <v>32</v>
      </c>
      <c r="D10" s="120"/>
      <c r="F10"/>
      <c r="G10"/>
      <c r="H10"/>
      <c r="I10"/>
      <c r="J10"/>
      <c r="K10"/>
      <c r="P10" s="294" t="str">
        <f t="shared" si="0"/>
        <v>OK</v>
      </c>
    </row>
    <row r="11" spans="2:16" ht="15" customHeight="1" x14ac:dyDescent="0.2">
      <c r="B11" s="27" t="s">
        <v>762</v>
      </c>
      <c r="C11" s="303">
        <v>68</v>
      </c>
      <c r="D11" s="120"/>
      <c r="P11" s="294" t="str">
        <f t="shared" si="0"/>
        <v xml:space="preserve"> </v>
      </c>
    </row>
    <row r="12" spans="2:16" ht="15" customHeight="1" x14ac:dyDescent="0.2">
      <c r="B12" s="27" t="s">
        <v>763</v>
      </c>
      <c r="C12" s="303">
        <v>51</v>
      </c>
      <c r="D12" s="120"/>
      <c r="P12" s="294" t="str">
        <f t="shared" si="0"/>
        <v>OK</v>
      </c>
    </row>
    <row r="13" spans="2:16" ht="15" customHeight="1" x14ac:dyDescent="0.2">
      <c r="B13" s="27" t="s">
        <v>764</v>
      </c>
      <c r="C13" s="303">
        <v>76</v>
      </c>
      <c r="D13" s="120"/>
      <c r="P13" s="294" t="str">
        <f t="shared" si="0"/>
        <v xml:space="preserve"> </v>
      </c>
    </row>
    <row r="14" spans="2:16" ht="15" customHeight="1" x14ac:dyDescent="0.2">
      <c r="C14" s="304"/>
    </row>
    <row r="15" spans="2:16" ht="15" customHeight="1" x14ac:dyDescent="0.2">
      <c r="B15" s="27" t="s">
        <v>765</v>
      </c>
      <c r="C15" s="303">
        <v>30</v>
      </c>
    </row>
    <row r="16" spans="2:16" ht="15" customHeight="1" x14ac:dyDescent="0.2">
      <c r="B16" s="27" t="s">
        <v>766</v>
      </c>
      <c r="C16" s="303">
        <v>60</v>
      </c>
    </row>
  </sheetData>
  <sheetProtection formatCells="0"/>
  <protectedRanges>
    <protectedRange sqref="D5:D13" name="Bereich1"/>
  </protectedRanges>
  <conditionalFormatting sqref="D5:D13">
    <cfRule type="containsErrors" dxfId="136" priority="1">
      <formula>ISERROR(D5)</formula>
    </cfRule>
    <cfRule type="expression" dxfId="135" priority="2">
      <formula>AND(AND(D5&lt;&gt;" ",D5&lt;&gt;P5),NOT(ISBLANK(D5)))</formula>
    </cfRule>
    <cfRule type="expression" dxfId="134" priority="3">
      <formula>AND(D5&lt;&gt;"",D5=P5)</formula>
    </cfRule>
  </conditionalFormatting>
  <hyperlinks>
    <hyperlink ref="M2" location="Übersicht!A1" display="Zur Übersicht" xr:uid="{00000000-0004-0000-0B00-000000000000}"/>
  </hyperlinks>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2">
    <tabColor theme="5" tint="-0.499984740745262"/>
  </sheetPr>
  <dimension ref="B2:Q38"/>
  <sheetViews>
    <sheetView showGridLines="0" workbookViewId="0">
      <selection activeCell="B4" sqref="B4:D4"/>
    </sheetView>
  </sheetViews>
  <sheetFormatPr baseColWidth="10" defaultRowHeight="15" customHeight="1" x14ac:dyDescent="0.2"/>
  <cols>
    <col min="1" max="1" width="3.7109375" style="2" customWidth="1"/>
    <col min="2" max="3" width="16.140625" style="2" customWidth="1"/>
    <col min="4" max="4" width="17" style="2" bestFit="1" customWidth="1"/>
    <col min="5" max="5" width="16.140625" style="2" customWidth="1"/>
    <col min="6" max="6" width="8" style="2" customWidth="1"/>
    <col min="7" max="7" width="35.28515625" style="2" customWidth="1"/>
    <col min="8" max="12" width="17" style="2" customWidth="1"/>
    <col min="13" max="13" width="12.85546875" style="2" bestFit="1" customWidth="1"/>
    <col min="14" max="14" width="11.42578125" style="2"/>
    <col min="15" max="17" width="11.42578125" style="2" hidden="1" customWidth="1"/>
    <col min="18" max="16384" width="11.42578125" style="2"/>
  </cols>
  <sheetData>
    <row r="2" spans="2:16" ht="15" customHeight="1" x14ac:dyDescent="0.2">
      <c r="B2" s="395" t="s">
        <v>896</v>
      </c>
      <c r="C2" s="395"/>
      <c r="D2" s="395"/>
      <c r="L2" s="306" t="s">
        <v>900</v>
      </c>
      <c r="M2" s="220" t="s">
        <v>732</v>
      </c>
    </row>
    <row r="3" spans="2:16" ht="15" customHeight="1" thickBot="1" x14ac:dyDescent="0.25"/>
    <row r="4" spans="2:16" ht="15" customHeight="1" x14ac:dyDescent="0.25">
      <c r="B4" s="155" t="s">
        <v>807</v>
      </c>
      <c r="C4" s="156" t="s">
        <v>808</v>
      </c>
      <c r="D4" s="156" t="s">
        <v>809</v>
      </c>
      <c r="F4" s="300" t="s">
        <v>812</v>
      </c>
      <c r="G4" s="258"/>
      <c r="H4" s="258"/>
      <c r="I4" s="259"/>
      <c r="J4"/>
      <c r="K4"/>
    </row>
    <row r="5" spans="2:16" ht="15" customHeight="1" x14ac:dyDescent="0.25">
      <c r="B5" s="29">
        <v>17</v>
      </c>
      <c r="C5" s="27" t="s">
        <v>810</v>
      </c>
      <c r="D5" s="222"/>
      <c r="F5" s="301" t="s">
        <v>813</v>
      </c>
      <c r="G5" s="236"/>
      <c r="H5" s="236"/>
      <c r="I5" s="248"/>
      <c r="J5"/>
      <c r="K5"/>
      <c r="P5" s="2" t="str">
        <f>IF(AND(B5&gt;=18,C5="m"),"Mann",IF(AND(B5&gt;=18,C5="w"),"Frau",IF(AND(B5&lt;18,C5="m"),"Junge","Mädchen")))</f>
        <v>Junge</v>
      </c>
    </row>
    <row r="6" spans="2:16" ht="15" customHeight="1" x14ac:dyDescent="0.25">
      <c r="B6" s="29">
        <v>76</v>
      </c>
      <c r="C6" s="27" t="s">
        <v>811</v>
      </c>
      <c r="D6" s="222"/>
      <c r="F6" s="247"/>
      <c r="G6" s="236"/>
      <c r="H6" s="236"/>
      <c r="I6" s="248"/>
      <c r="J6"/>
      <c r="K6"/>
      <c r="P6" s="2" t="str">
        <f t="shared" ref="P6:P10" si="0">IF(AND(B6&gt;=18,C6="m"),"Mann",IF(AND(B6&gt;=18,C6="w"),"Frau",IF(AND(B6&lt;18,C6="m"),"Junge","Mädchen")))</f>
        <v>Frau</v>
      </c>
    </row>
    <row r="7" spans="2:16" ht="15" customHeight="1" x14ac:dyDescent="0.25">
      <c r="B7" s="29">
        <v>18</v>
      </c>
      <c r="C7" s="27" t="s">
        <v>810</v>
      </c>
      <c r="D7" s="222"/>
      <c r="F7" s="301" t="s">
        <v>814</v>
      </c>
      <c r="G7" s="236"/>
      <c r="H7" s="236"/>
      <c r="I7" s="248"/>
      <c r="J7"/>
      <c r="K7"/>
      <c r="P7" s="2" t="str">
        <f t="shared" si="0"/>
        <v>Mann</v>
      </c>
    </row>
    <row r="8" spans="2:16" ht="15" customHeight="1" x14ac:dyDescent="0.25">
      <c r="B8" s="29">
        <v>51</v>
      </c>
      <c r="C8" s="27" t="s">
        <v>810</v>
      </c>
      <c r="D8" s="222"/>
      <c r="F8" s="301" t="s">
        <v>815</v>
      </c>
      <c r="G8" s="236"/>
      <c r="H8" s="236"/>
      <c r="I8" s="248"/>
      <c r="J8"/>
      <c r="K8"/>
      <c r="P8" s="2" t="str">
        <f t="shared" si="0"/>
        <v>Mann</v>
      </c>
    </row>
    <row r="9" spans="2:16" ht="15" customHeight="1" thickBot="1" x14ac:dyDescent="0.25">
      <c r="B9" s="29">
        <v>3</v>
      </c>
      <c r="C9" s="27" t="s">
        <v>811</v>
      </c>
      <c r="D9" s="222"/>
      <c r="F9" s="250"/>
      <c r="G9" s="251"/>
      <c r="H9" s="251"/>
      <c r="I9" s="252"/>
      <c r="P9" s="2" t="str">
        <f t="shared" si="0"/>
        <v>Mädchen</v>
      </c>
    </row>
    <row r="10" spans="2:16" ht="15" customHeight="1" x14ac:dyDescent="0.2">
      <c r="B10" s="29">
        <v>16</v>
      </c>
      <c r="C10" s="27" t="s">
        <v>811</v>
      </c>
      <c r="D10" s="222"/>
      <c r="P10" s="2" t="str">
        <f t="shared" si="0"/>
        <v>Mädchen</v>
      </c>
    </row>
    <row r="12" spans="2:16" ht="15" customHeight="1" thickBot="1" x14ac:dyDescent="0.25"/>
    <row r="13" spans="2:16" ht="15" customHeight="1" x14ac:dyDescent="0.2">
      <c r="F13" s="450" t="s">
        <v>897</v>
      </c>
      <c r="G13" s="451"/>
      <c r="H13" s="451"/>
      <c r="I13" s="451"/>
      <c r="J13" s="451"/>
      <c r="K13" s="451"/>
      <c r="L13" s="452"/>
    </row>
    <row r="14" spans="2:16" ht="15" customHeight="1" thickBot="1" x14ac:dyDescent="0.25">
      <c r="F14" s="453"/>
      <c r="G14" s="454"/>
      <c r="H14" s="454"/>
      <c r="I14" s="454"/>
      <c r="J14" s="454"/>
      <c r="K14" s="454"/>
      <c r="L14" s="455"/>
    </row>
    <row r="16" spans="2:16" ht="15" customHeight="1" x14ac:dyDescent="0.2">
      <c r="F16" s="395" t="s">
        <v>895</v>
      </c>
      <c r="G16" s="395"/>
      <c r="H16" s="395"/>
      <c r="I16" s="395"/>
      <c r="J16" s="395"/>
      <c r="K16" s="395"/>
      <c r="L16" s="395"/>
    </row>
    <row r="18" spans="6:17" ht="30" customHeight="1" x14ac:dyDescent="0.2">
      <c r="F18" s="231" t="s">
        <v>883</v>
      </c>
      <c r="G18" s="156" t="s">
        <v>884</v>
      </c>
      <c r="H18" s="156" t="s">
        <v>899</v>
      </c>
      <c r="I18" s="157" t="s">
        <v>885</v>
      </c>
      <c r="J18" s="156" t="s">
        <v>349</v>
      </c>
      <c r="K18" s="156" t="s">
        <v>886</v>
      </c>
      <c r="L18" s="156" t="s">
        <v>887</v>
      </c>
    </row>
    <row r="19" spans="6:17" ht="15" customHeight="1" x14ac:dyDescent="0.2">
      <c r="F19" s="29">
        <v>1</v>
      </c>
      <c r="G19" s="27" t="s">
        <v>888</v>
      </c>
      <c r="H19" s="299">
        <v>4534.75</v>
      </c>
      <c r="I19" s="27">
        <v>10</v>
      </c>
      <c r="J19" s="142">
        <f ca="1">TODAY()-30</f>
        <v>45725</v>
      </c>
      <c r="K19" s="120"/>
      <c r="L19" s="142">
        <f ca="1">J19+10</f>
        <v>45735</v>
      </c>
      <c r="P19" s="2" t="str">
        <f ca="1">IF(AND((J19+I19)&lt;$L$27,L19=""),"X","")</f>
        <v/>
      </c>
      <c r="Q19" s="2" t="str">
        <f>IF(K19&lt;&gt;"",K19*1,"")</f>
        <v/>
      </c>
    </row>
    <row r="20" spans="6:17" ht="15" customHeight="1" x14ac:dyDescent="0.2">
      <c r="F20" s="29">
        <v>2</v>
      </c>
      <c r="G20" s="27" t="s">
        <v>889</v>
      </c>
      <c r="H20" s="299">
        <v>1206.78</v>
      </c>
      <c r="I20" s="27">
        <v>40</v>
      </c>
      <c r="J20" s="142">
        <f ca="1">TODAY()-41</f>
        <v>45714</v>
      </c>
      <c r="K20" s="120"/>
      <c r="L20" s="142"/>
      <c r="N20" s="14"/>
      <c r="P20" s="2" t="str">
        <f t="shared" ref="P20:P25" ca="1" si="1">IF(AND((J20+I20)&lt;$L$27,L20=""),"X","")</f>
        <v>X</v>
      </c>
    </row>
    <row r="21" spans="6:17" ht="15" customHeight="1" x14ac:dyDescent="0.2">
      <c r="F21" s="29">
        <v>3</v>
      </c>
      <c r="G21" s="27" t="s">
        <v>890</v>
      </c>
      <c r="H21" s="299">
        <v>763</v>
      </c>
      <c r="I21" s="27">
        <v>30</v>
      </c>
      <c r="J21" s="142">
        <f ca="1">TODAY()-28</f>
        <v>45727</v>
      </c>
      <c r="K21" s="120"/>
      <c r="L21" s="142">
        <f ca="1">J21+30</f>
        <v>45757</v>
      </c>
      <c r="P21" s="2" t="str">
        <f t="shared" ca="1" si="1"/>
        <v/>
      </c>
    </row>
    <row r="22" spans="6:17" ht="15" customHeight="1" x14ac:dyDescent="0.2">
      <c r="F22" s="29">
        <v>4</v>
      </c>
      <c r="G22" s="27" t="s">
        <v>891</v>
      </c>
      <c r="H22" s="299">
        <v>345.9</v>
      </c>
      <c r="I22" s="27">
        <v>14</v>
      </c>
      <c r="J22" s="142">
        <f ca="1">TODAY()-28</f>
        <v>45727</v>
      </c>
      <c r="K22" s="120"/>
      <c r="L22" s="142"/>
      <c r="P22" s="2" t="str">
        <f t="shared" ca="1" si="1"/>
        <v>X</v>
      </c>
    </row>
    <row r="23" spans="6:17" ht="15" customHeight="1" x14ac:dyDescent="0.2">
      <c r="F23" s="29">
        <v>5</v>
      </c>
      <c r="G23" s="27" t="s">
        <v>892</v>
      </c>
      <c r="H23" s="299">
        <v>1100.25</v>
      </c>
      <c r="I23" s="27">
        <v>30</v>
      </c>
      <c r="J23" s="142">
        <f ca="1">TODAY()-20</f>
        <v>45735</v>
      </c>
      <c r="K23" s="120"/>
      <c r="L23" s="142">
        <f ca="1">J23+32</f>
        <v>45767</v>
      </c>
      <c r="N23" s="14"/>
      <c r="P23" s="2" t="str">
        <f t="shared" ca="1" si="1"/>
        <v/>
      </c>
    </row>
    <row r="24" spans="6:17" ht="15" customHeight="1" x14ac:dyDescent="0.2">
      <c r="F24" s="29">
        <v>6</v>
      </c>
      <c r="G24" s="27" t="s">
        <v>893</v>
      </c>
      <c r="H24" s="299">
        <v>894</v>
      </c>
      <c r="I24" s="27">
        <v>30</v>
      </c>
      <c r="J24" s="142">
        <f ca="1">TODAY()-14</f>
        <v>45741</v>
      </c>
      <c r="K24" s="120"/>
      <c r="L24" s="142"/>
      <c r="P24" s="2" t="str">
        <f t="shared" ca="1" si="1"/>
        <v/>
      </c>
    </row>
    <row r="25" spans="6:17" ht="15" customHeight="1" x14ac:dyDescent="0.2">
      <c r="F25" s="29">
        <v>7</v>
      </c>
      <c r="G25" s="27" t="s">
        <v>894</v>
      </c>
      <c r="H25" s="299">
        <v>980.5</v>
      </c>
      <c r="I25" s="27">
        <v>8</v>
      </c>
      <c r="J25" s="142">
        <f ca="1">TODAY()-9</f>
        <v>45746</v>
      </c>
      <c r="K25" s="120"/>
      <c r="L25" s="142"/>
      <c r="P25" s="2" t="str">
        <f t="shared" ca="1" si="1"/>
        <v>X</v>
      </c>
    </row>
    <row r="27" spans="6:17" ht="15" customHeight="1" x14ac:dyDescent="0.2">
      <c r="K27" s="29" t="s">
        <v>898</v>
      </c>
      <c r="L27" s="42">
        <f ca="1">TODAY()</f>
        <v>45755</v>
      </c>
    </row>
    <row r="30" spans="6:17" ht="15" customHeight="1" x14ac:dyDescent="0.25">
      <c r="K30"/>
      <c r="L30" s="306" t="s">
        <v>900</v>
      </c>
      <c r="M30" s="220" t="s">
        <v>732</v>
      </c>
    </row>
    <row r="31" spans="6:17" ht="15" customHeight="1" x14ac:dyDescent="0.25">
      <c r="K31"/>
      <c r="L31"/>
      <c r="M31"/>
    </row>
    <row r="32" spans="6:17" ht="15" customHeight="1" x14ac:dyDescent="0.25">
      <c r="K32" s="305"/>
      <c r="L32"/>
      <c r="M32"/>
    </row>
    <row r="33" spans="11:13" ht="15" customHeight="1" x14ac:dyDescent="0.25">
      <c r="K33" s="305"/>
      <c r="L33"/>
      <c r="M33"/>
    </row>
    <row r="34" spans="11:13" ht="15" customHeight="1" x14ac:dyDescent="0.25">
      <c r="K34" s="305"/>
      <c r="L34"/>
      <c r="M34"/>
    </row>
    <row r="35" spans="11:13" ht="15" customHeight="1" x14ac:dyDescent="0.25">
      <c r="K35" s="305"/>
      <c r="L35"/>
    </row>
    <row r="36" spans="11:13" ht="15" customHeight="1" x14ac:dyDescent="0.25">
      <c r="K36" s="305"/>
      <c r="L36"/>
    </row>
    <row r="37" spans="11:13" ht="15" customHeight="1" x14ac:dyDescent="0.25">
      <c r="K37" s="305"/>
      <c r="L37"/>
    </row>
    <row r="38" spans="11:13" ht="15" customHeight="1" x14ac:dyDescent="0.25">
      <c r="K38" s="305"/>
      <c r="L38"/>
    </row>
  </sheetData>
  <sheetProtection sheet="1" objects="1" scenarios="1" formatCells="0"/>
  <protectedRanges>
    <protectedRange sqref="K19:K25" name="Bereich2"/>
    <protectedRange sqref="D5:D10" name="Bereich1"/>
  </protectedRanges>
  <mergeCells count="3">
    <mergeCell ref="F16:L16"/>
    <mergeCell ref="B2:D2"/>
    <mergeCell ref="F13:L14"/>
  </mergeCells>
  <conditionalFormatting sqref="D5:D10">
    <cfRule type="expression" dxfId="133" priority="3">
      <formula>AND(D5&lt;&gt;"",D5&lt;&gt;P5)</formula>
    </cfRule>
    <cfRule type="expression" dxfId="132" priority="4">
      <formula>AND(D5&lt;&gt;"",D5=P5)</formula>
    </cfRule>
  </conditionalFormatting>
  <conditionalFormatting sqref="K19:K25">
    <cfRule type="expression" dxfId="131" priority="1">
      <formula>AND(OR(K19&lt;&gt;"",_xlfn.ISFORMULA(K19)),K19=P19)</formula>
    </cfRule>
    <cfRule type="expression" dxfId="130" priority="2">
      <formula>AND(NOT(_xlfn.ISFORMULA(K19)),K19&lt;&gt;"",K19&lt;&gt;P19)</formula>
    </cfRule>
  </conditionalFormatting>
  <hyperlinks>
    <hyperlink ref="M2" location="Übersicht!A1" display="Zur Übersicht" xr:uid="{00000000-0004-0000-0C00-000000000000}"/>
    <hyperlink ref="M30" location="Übersicht!A1" display="Zur Übersicht" xr:uid="{00000000-0004-0000-0C00-000001000000}"/>
  </hyperlink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15242-52B9-472F-9F70-BFC49A230CB4}">
  <sheetPr codeName="Tabelle25">
    <tabColor theme="5" tint="-0.499984740745262"/>
  </sheetPr>
  <dimension ref="B1:AA34"/>
  <sheetViews>
    <sheetView showGridLines="0" workbookViewId="0">
      <selection activeCell="L2" sqref="L2"/>
    </sheetView>
  </sheetViews>
  <sheetFormatPr baseColWidth="10" defaultRowHeight="15" customHeight="1" x14ac:dyDescent="0.2"/>
  <cols>
    <col min="1" max="1" width="3.7109375" style="2" customWidth="1"/>
    <col min="2" max="3" width="16.140625" style="2" customWidth="1"/>
    <col min="4" max="13" width="22.7109375" style="2" customWidth="1"/>
    <col min="14" max="14" width="11.42578125" style="2"/>
    <col min="15" max="15" width="12.85546875" style="2" hidden="1" customWidth="1"/>
    <col min="16" max="16" width="0" style="2" hidden="1" customWidth="1"/>
    <col min="17" max="17" width="11.42578125" style="2" hidden="1" customWidth="1"/>
    <col min="18" max="27" width="4.28515625" style="2" hidden="1" customWidth="1"/>
    <col min="28" max="16384" width="11.42578125" style="2"/>
  </cols>
  <sheetData>
    <row r="1" spans="2:27" ht="15" customHeight="1" thickBot="1" x14ac:dyDescent="0.25"/>
    <row r="2" spans="2:27" ht="15" customHeight="1" x14ac:dyDescent="0.25">
      <c r="B2" s="300" t="s">
        <v>903</v>
      </c>
      <c r="C2" s="258"/>
      <c r="D2" s="258"/>
      <c r="E2" s="258"/>
      <c r="F2" s="258"/>
      <c r="G2" s="259"/>
      <c r="H2"/>
      <c r="I2"/>
      <c r="J2"/>
      <c r="K2" s="306" t="s">
        <v>900</v>
      </c>
      <c r="L2" s="220" t="s">
        <v>732</v>
      </c>
    </row>
    <row r="3" spans="2:27" ht="15" customHeight="1" x14ac:dyDescent="0.25">
      <c r="B3" s="301"/>
      <c r="C3" s="236"/>
      <c r="D3" s="236"/>
      <c r="E3" s="236"/>
      <c r="F3" s="236"/>
      <c r="G3" s="248"/>
      <c r="H3"/>
      <c r="I3"/>
      <c r="J3"/>
      <c r="K3"/>
      <c r="L3"/>
    </row>
    <row r="4" spans="2:27" ht="15" customHeight="1" x14ac:dyDescent="0.25">
      <c r="B4" s="301" t="s">
        <v>904</v>
      </c>
      <c r="C4" s="236"/>
      <c r="D4" s="236"/>
      <c r="E4" s="236"/>
      <c r="F4" s="236"/>
      <c r="G4" s="248"/>
      <c r="H4"/>
      <c r="I4"/>
      <c r="J4"/>
      <c r="K4"/>
      <c r="L4"/>
    </row>
    <row r="5" spans="2:27" ht="15" customHeight="1" x14ac:dyDescent="0.25">
      <c r="B5" s="301"/>
      <c r="C5" s="236"/>
      <c r="D5" s="236"/>
      <c r="E5" s="236"/>
      <c r="F5" s="236"/>
      <c r="G5" s="248"/>
      <c r="H5"/>
      <c r="I5"/>
      <c r="J5"/>
      <c r="K5"/>
      <c r="L5"/>
    </row>
    <row r="6" spans="2:27" ht="15" customHeight="1" x14ac:dyDescent="0.25">
      <c r="B6" s="301" t="s">
        <v>905</v>
      </c>
      <c r="C6" s="236"/>
      <c r="D6" s="236"/>
      <c r="E6" s="236"/>
      <c r="F6" s="236"/>
      <c r="G6" s="248"/>
      <c r="H6"/>
      <c r="I6"/>
      <c r="J6"/>
      <c r="K6"/>
      <c r="L6"/>
    </row>
    <row r="7" spans="2:27" ht="15" customHeight="1" thickBot="1" x14ac:dyDescent="0.3">
      <c r="B7" s="335"/>
      <c r="C7" s="251"/>
      <c r="D7" s="251"/>
      <c r="E7" s="251"/>
      <c r="F7" s="251"/>
      <c r="G7" s="252"/>
      <c r="H7"/>
      <c r="I7"/>
      <c r="J7"/>
      <c r="K7"/>
      <c r="L7"/>
    </row>
    <row r="9" spans="2:27" ht="15" customHeight="1" x14ac:dyDescent="0.2">
      <c r="D9" s="456" t="s">
        <v>755</v>
      </c>
      <c r="E9" s="457"/>
      <c r="F9" s="457"/>
      <c r="G9" s="457"/>
      <c r="H9" s="457"/>
      <c r="I9" s="457"/>
      <c r="J9" s="457"/>
      <c r="K9" s="457"/>
      <c r="L9" s="457"/>
      <c r="M9" s="457"/>
    </row>
    <row r="10" spans="2:27" ht="15" customHeight="1" x14ac:dyDescent="0.2">
      <c r="B10" s="231" t="s">
        <v>753</v>
      </c>
      <c r="C10" s="336" t="s">
        <v>754</v>
      </c>
      <c r="D10" s="334" t="s">
        <v>906</v>
      </c>
      <c r="E10" s="334" t="s">
        <v>907</v>
      </c>
      <c r="F10" s="334" t="s">
        <v>908</v>
      </c>
      <c r="G10" s="334" t="s">
        <v>909</v>
      </c>
      <c r="H10" s="334" t="s">
        <v>910</v>
      </c>
      <c r="I10" s="334" t="s">
        <v>911</v>
      </c>
      <c r="J10" s="334" t="s">
        <v>912</v>
      </c>
      <c r="K10" s="334" t="s">
        <v>913</v>
      </c>
      <c r="L10" s="334">
        <v>5</v>
      </c>
      <c r="M10" s="334">
        <v>6</v>
      </c>
    </row>
    <row r="11" spans="2:27" ht="15" customHeight="1" x14ac:dyDescent="0.25">
      <c r="B11" s="27" t="s">
        <v>756</v>
      </c>
      <c r="C11" s="303">
        <v>28</v>
      </c>
      <c r="D11" s="337"/>
      <c r="E11" s="337"/>
      <c r="F11" s="337"/>
      <c r="G11" s="337"/>
      <c r="H11" s="337"/>
      <c r="I11" s="337"/>
      <c r="J11" s="337"/>
      <c r="K11" s="337"/>
      <c r="L11" s="337"/>
      <c r="M11" s="337"/>
      <c r="R11" s="339" t="str">
        <f>IF(C11&lt;$C$21," ",IF(C11&gt;$C$22," ","OK"))</f>
        <v xml:space="preserve"> </v>
      </c>
      <c r="S11" s="339" t="str">
        <f>IF(C11&gt;$C$22," ",IF(C11&lt;$C$21," ","OK"))</f>
        <v xml:space="preserve"> </v>
      </c>
      <c r="T11" s="339" t="str">
        <f>IF(AND(C11&gt;=$C$21,C11&lt;=$C$22),"OK"," ")</f>
        <v xml:space="preserve"> </v>
      </c>
      <c r="U11" s="339" t="str">
        <f>IF(AND(C11&lt;=$C$22,C11&gt;=$C$21),"OK"," ")</f>
        <v xml:space="preserve"> </v>
      </c>
      <c r="V11" s="339" t="str">
        <f>IF(OR(C11&lt;$C$21,C11&gt;$C$22)," ","OK")</f>
        <v xml:space="preserve"> </v>
      </c>
      <c r="W11" s="339" t="str">
        <f>IF(OR(C11&gt;$C$22,C11&lt;$C$21)," ","OK")</f>
        <v xml:space="preserve"> </v>
      </c>
      <c r="X11" s="339" t="str" cm="1">
        <f t="array" ref="X11">_xlfn.IFS(AND(C11&gt;=$C$21,C11&lt;=$C$22),"OK",C11&lt;$C$21," ",C11&gt;$C$22," ")</f>
        <v xml:space="preserve"> </v>
      </c>
      <c r="Y11" s="339" t="str" cm="1">
        <f t="array" ref="Y11">_xlfn.IFS(AND(C11&gt;=$C$21,C11&lt;=$C$22),"OK",OR(C11&lt;$C$21,C11&gt;$C$22)," ")</f>
        <v xml:space="preserve"> </v>
      </c>
      <c r="Z11" s="338" t="str">
        <f>IF(C11=MEDIAN($C$21,$C$22,C11),"OK"," ")</f>
        <v xml:space="preserve"> </v>
      </c>
      <c r="AA11" s="347" t="str" cm="1">
        <f t="array" ref="AA11">_xlfn.SWITCH(TRUE,AND(C11&gt;=$C$21,C11&lt;=$C$22),"OK"," ")</f>
        <v xml:space="preserve"> </v>
      </c>
    </row>
    <row r="12" spans="2:27" ht="15" customHeight="1" x14ac:dyDescent="0.25">
      <c r="B12" s="27" t="s">
        <v>757</v>
      </c>
      <c r="C12" s="303">
        <v>19</v>
      </c>
      <c r="D12" s="337"/>
      <c r="E12" s="337"/>
      <c r="F12" s="337"/>
      <c r="G12" s="337"/>
      <c r="H12" s="337"/>
      <c r="I12" s="337"/>
      <c r="J12" s="337"/>
      <c r="K12" s="337"/>
      <c r="L12" s="337"/>
      <c r="M12" s="337"/>
      <c r="R12" s="339" t="str">
        <f t="shared" ref="R12:R19" si="0">IF(C12&lt;$C$21," ",IF(C12&gt;$C$22," ","OK"))</f>
        <v xml:space="preserve"> </v>
      </c>
      <c r="S12" s="339" t="str">
        <f t="shared" ref="S12:S19" si="1">IF(C12&gt;$C$22," ",IF(C12&lt;$C$21," ","OK"))</f>
        <v xml:space="preserve"> </v>
      </c>
      <c r="T12" s="339" t="str">
        <f t="shared" ref="T12:T19" si="2">IF(AND(C12&gt;=$C$21,C12&lt;=$C$22),"OK"," ")</f>
        <v xml:space="preserve"> </v>
      </c>
      <c r="U12" s="339" t="str">
        <f t="shared" ref="U12:U19" si="3">IF(AND(C12&lt;=$C$22,C12&gt;=$C$21),"OK"," ")</f>
        <v xml:space="preserve"> </v>
      </c>
      <c r="V12" s="339" t="str">
        <f t="shared" ref="V12:V19" si="4">IF(OR(C12&lt;$C$21,C12&gt;$C$22)," ","OK")</f>
        <v xml:space="preserve"> </v>
      </c>
      <c r="W12" s="339" t="str">
        <f t="shared" ref="W12:W19" si="5">IF(OR(C12&gt;$C$22,C12&lt;$C$21)," ","OK")</f>
        <v xml:space="preserve"> </v>
      </c>
      <c r="X12" s="339" t="str" cm="1">
        <f t="array" ref="X12">_xlfn.IFS(AND(C12&gt;=$C$21,C12&lt;=$C$22),"OK",C12&lt;$C$21," ",C12&gt;$C$22," ")</f>
        <v xml:space="preserve"> </v>
      </c>
      <c r="Y12" s="339" t="str" cm="1">
        <f t="array" ref="Y12">_xlfn.IFS(AND(C12&gt;=$C$21,C12&lt;=$C$22),"OK",OR(C12&lt;$C$21,C12&gt;$C$22)," ")</f>
        <v xml:space="preserve"> </v>
      </c>
      <c r="Z12" s="338" t="str">
        <f t="shared" ref="Z12:Z19" si="6">IF(C12=MEDIAN($C$21,$C$22,C12),"OK"," ")</f>
        <v xml:space="preserve"> </v>
      </c>
      <c r="AA12" s="347" t="str" cm="1">
        <f t="array" ref="AA12">_xlfn.SWITCH(TRUE,AND(C12&gt;=$C$21,C12&lt;=$C$22),"OK"," ")</f>
        <v xml:space="preserve"> </v>
      </c>
    </row>
    <row r="13" spans="2:27" ht="15" customHeight="1" x14ac:dyDescent="0.25">
      <c r="B13" s="27" t="s">
        <v>758</v>
      </c>
      <c r="C13" s="303">
        <v>34</v>
      </c>
      <c r="D13" s="337"/>
      <c r="E13" s="337"/>
      <c r="F13" s="337"/>
      <c r="G13" s="337"/>
      <c r="H13" s="337"/>
      <c r="I13" s="337"/>
      <c r="J13" s="337"/>
      <c r="K13" s="337"/>
      <c r="L13" s="337"/>
      <c r="M13" s="337"/>
      <c r="R13" s="339" t="str">
        <f t="shared" si="0"/>
        <v>OK</v>
      </c>
      <c r="S13" s="339" t="str">
        <f t="shared" si="1"/>
        <v>OK</v>
      </c>
      <c r="T13" s="339" t="str">
        <f t="shared" si="2"/>
        <v>OK</v>
      </c>
      <c r="U13" s="339" t="str">
        <f t="shared" si="3"/>
        <v>OK</v>
      </c>
      <c r="V13" s="339" t="str">
        <f t="shared" si="4"/>
        <v>OK</v>
      </c>
      <c r="W13" s="339" t="str">
        <f t="shared" si="5"/>
        <v>OK</v>
      </c>
      <c r="X13" s="339" t="str" cm="1">
        <f t="array" ref="X13">_xlfn.IFS(AND(C13&gt;=$C$21,C13&lt;=$C$22),"OK",C13&lt;$C$21," ",C13&gt;$C$22," ")</f>
        <v>OK</v>
      </c>
      <c r="Y13" s="339" t="str" cm="1">
        <f t="array" ref="Y13">_xlfn.IFS(AND(C13&gt;=$C$21,C13&lt;=$C$22),"OK",OR(C13&lt;$C$21,C13&gt;$C$22)," ")</f>
        <v>OK</v>
      </c>
      <c r="Z13" s="338" t="str">
        <f t="shared" si="6"/>
        <v>OK</v>
      </c>
      <c r="AA13" s="347" t="str" cm="1">
        <f t="array" ref="AA13">_xlfn.SWITCH(TRUE,AND(C13&gt;=$C$21,C13&lt;=$C$22),"OK"," ")</f>
        <v>OK</v>
      </c>
    </row>
    <row r="14" spans="2:27" ht="15" customHeight="1" x14ac:dyDescent="0.25">
      <c r="B14" s="27" t="s">
        <v>759</v>
      </c>
      <c r="C14" s="303">
        <v>41</v>
      </c>
      <c r="D14" s="337"/>
      <c r="E14" s="337"/>
      <c r="F14" s="337"/>
      <c r="G14" s="337"/>
      <c r="H14" s="337"/>
      <c r="I14" s="337"/>
      <c r="J14" s="337"/>
      <c r="K14" s="337"/>
      <c r="L14" s="337"/>
      <c r="M14" s="337"/>
      <c r="R14" s="339" t="str">
        <f t="shared" si="0"/>
        <v>OK</v>
      </c>
      <c r="S14" s="339" t="str">
        <f t="shared" si="1"/>
        <v>OK</v>
      </c>
      <c r="T14" s="339" t="str">
        <f t="shared" si="2"/>
        <v>OK</v>
      </c>
      <c r="U14" s="339" t="str">
        <f t="shared" si="3"/>
        <v>OK</v>
      </c>
      <c r="V14" s="339" t="str">
        <f t="shared" si="4"/>
        <v>OK</v>
      </c>
      <c r="W14" s="339" t="str">
        <f t="shared" si="5"/>
        <v>OK</v>
      </c>
      <c r="X14" s="339" t="str" cm="1">
        <f t="array" ref="X14">_xlfn.IFS(AND(C14&gt;=$C$21,C14&lt;=$C$22),"OK",C14&lt;$C$21," ",C14&gt;$C$22," ")</f>
        <v>OK</v>
      </c>
      <c r="Y14" s="339" t="str" cm="1">
        <f t="array" ref="Y14">_xlfn.IFS(AND(C14&gt;=$C$21,C14&lt;=$C$22),"OK",OR(C14&lt;$C$21,C14&gt;$C$22)," ")</f>
        <v>OK</v>
      </c>
      <c r="Z14" s="338" t="str">
        <f t="shared" si="6"/>
        <v>OK</v>
      </c>
      <c r="AA14" s="347" t="str" cm="1">
        <f t="array" ref="AA14">_xlfn.SWITCH(TRUE,AND(C14&gt;=$C$21,C14&lt;=$C$22),"OK"," ")</f>
        <v>OK</v>
      </c>
    </row>
    <row r="15" spans="2:27" ht="15" customHeight="1" x14ac:dyDescent="0.25">
      <c r="B15" s="27" t="s">
        <v>760</v>
      </c>
      <c r="C15" s="303">
        <v>65</v>
      </c>
      <c r="D15" s="337"/>
      <c r="E15" s="337"/>
      <c r="F15" s="337"/>
      <c r="G15" s="337"/>
      <c r="H15" s="337"/>
      <c r="I15" s="337"/>
      <c r="J15" s="337"/>
      <c r="K15" s="337"/>
      <c r="L15" s="337"/>
      <c r="M15" s="337"/>
      <c r="R15" s="339" t="str">
        <f t="shared" si="0"/>
        <v xml:space="preserve"> </v>
      </c>
      <c r="S15" s="339" t="str">
        <f t="shared" si="1"/>
        <v xml:space="preserve"> </v>
      </c>
      <c r="T15" s="339" t="str">
        <f t="shared" si="2"/>
        <v xml:space="preserve"> </v>
      </c>
      <c r="U15" s="339" t="str">
        <f t="shared" si="3"/>
        <v xml:space="preserve"> </v>
      </c>
      <c r="V15" s="339" t="str">
        <f t="shared" si="4"/>
        <v xml:space="preserve"> </v>
      </c>
      <c r="W15" s="339" t="str">
        <f t="shared" si="5"/>
        <v xml:space="preserve"> </v>
      </c>
      <c r="X15" s="339" t="str" cm="1">
        <f t="array" ref="X15">_xlfn.IFS(AND(C15&gt;=$C$21,C15&lt;=$C$22),"OK",C15&lt;$C$21," ",C15&gt;$C$22," ")</f>
        <v xml:space="preserve"> </v>
      </c>
      <c r="Y15" s="339" t="str" cm="1">
        <f t="array" ref="Y15">_xlfn.IFS(AND(C15&gt;=$C$21,C15&lt;=$C$22),"OK",OR(C15&lt;$C$21,C15&gt;$C$22)," ")</f>
        <v xml:space="preserve"> </v>
      </c>
      <c r="Z15" s="338" t="str">
        <f t="shared" si="6"/>
        <v xml:space="preserve"> </v>
      </c>
      <c r="AA15" s="347" t="str" cm="1">
        <f t="array" ref="AA15">_xlfn.SWITCH(TRUE,AND(C15&gt;=$C$21,C15&lt;=$C$22),"OK"," ")</f>
        <v xml:space="preserve"> </v>
      </c>
    </row>
    <row r="16" spans="2:27" ht="15" customHeight="1" x14ac:dyDescent="0.25">
      <c r="B16" s="27" t="s">
        <v>761</v>
      </c>
      <c r="C16" s="303">
        <v>32</v>
      </c>
      <c r="D16" s="337"/>
      <c r="E16" s="337"/>
      <c r="F16" s="337"/>
      <c r="G16" s="337"/>
      <c r="H16" s="337"/>
      <c r="I16" s="337"/>
      <c r="J16" s="337"/>
      <c r="K16" s="337"/>
      <c r="L16" s="337"/>
      <c r="M16" s="337"/>
      <c r="R16" s="339" t="str">
        <f t="shared" si="0"/>
        <v>OK</v>
      </c>
      <c r="S16" s="339" t="str">
        <f t="shared" si="1"/>
        <v>OK</v>
      </c>
      <c r="T16" s="339" t="str">
        <f t="shared" si="2"/>
        <v>OK</v>
      </c>
      <c r="U16" s="339" t="str">
        <f t="shared" si="3"/>
        <v>OK</v>
      </c>
      <c r="V16" s="339" t="str">
        <f t="shared" si="4"/>
        <v>OK</v>
      </c>
      <c r="W16" s="339" t="str">
        <f t="shared" si="5"/>
        <v>OK</v>
      </c>
      <c r="X16" s="339" t="str" cm="1">
        <f t="array" ref="X16">_xlfn.IFS(AND(C16&gt;=$C$21,C16&lt;=$C$22),"OK",C16&lt;$C$21," ",C16&gt;$C$22," ")</f>
        <v>OK</v>
      </c>
      <c r="Y16" s="339" t="str" cm="1">
        <f t="array" ref="Y16">_xlfn.IFS(AND(C16&gt;=$C$21,C16&lt;=$C$22),"OK",OR(C16&lt;$C$21,C16&gt;$C$22)," ")</f>
        <v>OK</v>
      </c>
      <c r="Z16" s="338" t="str">
        <f t="shared" si="6"/>
        <v>OK</v>
      </c>
      <c r="AA16" s="347" t="str" cm="1">
        <f t="array" ref="AA16">_xlfn.SWITCH(TRUE,AND(C16&gt;=$C$21,C16&lt;=$C$22),"OK"," ")</f>
        <v>OK</v>
      </c>
    </row>
    <row r="17" spans="2:27" ht="15" customHeight="1" x14ac:dyDescent="0.25">
      <c r="B17" s="27" t="s">
        <v>762</v>
      </c>
      <c r="C17" s="303">
        <v>68</v>
      </c>
      <c r="D17" s="337"/>
      <c r="E17" s="337"/>
      <c r="F17" s="337"/>
      <c r="G17" s="337"/>
      <c r="H17" s="337"/>
      <c r="I17" s="337"/>
      <c r="J17" s="337"/>
      <c r="K17" s="337"/>
      <c r="L17" s="337"/>
      <c r="M17" s="337"/>
      <c r="R17" s="339" t="str">
        <f t="shared" si="0"/>
        <v xml:space="preserve"> </v>
      </c>
      <c r="S17" s="339" t="str">
        <f t="shared" si="1"/>
        <v xml:space="preserve"> </v>
      </c>
      <c r="T17" s="339" t="str">
        <f t="shared" si="2"/>
        <v xml:space="preserve"> </v>
      </c>
      <c r="U17" s="339" t="str">
        <f t="shared" si="3"/>
        <v xml:space="preserve"> </v>
      </c>
      <c r="V17" s="339" t="str">
        <f t="shared" si="4"/>
        <v xml:space="preserve"> </v>
      </c>
      <c r="W17" s="339" t="str">
        <f t="shared" si="5"/>
        <v xml:space="preserve"> </v>
      </c>
      <c r="X17" s="339" t="str" cm="1">
        <f t="array" ref="X17">_xlfn.IFS(AND(C17&gt;=$C$21,C17&lt;=$C$22),"OK",C17&lt;$C$21," ",C17&gt;$C$22," ")</f>
        <v xml:space="preserve"> </v>
      </c>
      <c r="Y17" s="339" t="str" cm="1">
        <f t="array" ref="Y17">_xlfn.IFS(AND(C17&gt;=$C$21,C17&lt;=$C$22),"OK",OR(C17&lt;$C$21,C17&gt;$C$22)," ")</f>
        <v xml:space="preserve"> </v>
      </c>
      <c r="Z17" s="338" t="str">
        <f t="shared" si="6"/>
        <v xml:space="preserve"> </v>
      </c>
      <c r="AA17" s="347" t="str" cm="1">
        <f t="array" ref="AA17">_xlfn.SWITCH(TRUE,AND(C17&gt;=$C$21,C17&lt;=$C$22),"OK"," ")</f>
        <v xml:space="preserve"> </v>
      </c>
    </row>
    <row r="18" spans="2:27" ht="15" customHeight="1" x14ac:dyDescent="0.25">
      <c r="B18" s="27" t="s">
        <v>763</v>
      </c>
      <c r="C18" s="303">
        <v>51</v>
      </c>
      <c r="D18" s="337"/>
      <c r="E18" s="337"/>
      <c r="F18" s="337"/>
      <c r="G18" s="337"/>
      <c r="H18" s="337"/>
      <c r="I18" s="337"/>
      <c r="J18" s="337"/>
      <c r="K18" s="337"/>
      <c r="L18" s="337"/>
      <c r="M18" s="337"/>
      <c r="R18" s="339" t="str">
        <f t="shared" si="0"/>
        <v>OK</v>
      </c>
      <c r="S18" s="339" t="str">
        <f t="shared" si="1"/>
        <v>OK</v>
      </c>
      <c r="T18" s="339" t="str">
        <f t="shared" si="2"/>
        <v>OK</v>
      </c>
      <c r="U18" s="339" t="str">
        <f t="shared" si="3"/>
        <v>OK</v>
      </c>
      <c r="V18" s="339" t="str">
        <f t="shared" si="4"/>
        <v>OK</v>
      </c>
      <c r="W18" s="339" t="str">
        <f t="shared" si="5"/>
        <v>OK</v>
      </c>
      <c r="X18" s="339" t="str" cm="1">
        <f t="array" ref="X18">_xlfn.IFS(AND(C18&gt;=$C$21,C18&lt;=$C$22),"OK",C18&lt;$C$21," ",C18&gt;$C$22," ")</f>
        <v>OK</v>
      </c>
      <c r="Y18" s="339" t="str" cm="1">
        <f t="array" ref="Y18">_xlfn.IFS(AND(C18&gt;=$C$21,C18&lt;=$C$22),"OK",OR(C18&lt;$C$21,C18&gt;$C$22)," ")</f>
        <v>OK</v>
      </c>
      <c r="Z18" s="338" t="str">
        <f t="shared" si="6"/>
        <v>OK</v>
      </c>
      <c r="AA18" s="347" t="str" cm="1">
        <f t="array" ref="AA18">_xlfn.SWITCH(TRUE,AND(C18&gt;=$C$21,C18&lt;=$C$22),"OK"," ")</f>
        <v>OK</v>
      </c>
    </row>
    <row r="19" spans="2:27" ht="15" customHeight="1" x14ac:dyDescent="0.25">
      <c r="B19" s="27" t="s">
        <v>764</v>
      </c>
      <c r="C19" s="303">
        <v>76</v>
      </c>
      <c r="D19" s="337"/>
      <c r="E19" s="337"/>
      <c r="F19" s="337"/>
      <c r="G19" s="337"/>
      <c r="H19" s="337"/>
      <c r="I19" s="337"/>
      <c r="J19" s="337"/>
      <c r="K19" s="337"/>
      <c r="L19" s="337"/>
      <c r="M19" s="337"/>
      <c r="R19" s="339" t="str">
        <f t="shared" si="0"/>
        <v xml:space="preserve"> </v>
      </c>
      <c r="S19" s="339" t="str">
        <f t="shared" si="1"/>
        <v xml:space="preserve"> </v>
      </c>
      <c r="T19" s="339" t="str">
        <f t="shared" si="2"/>
        <v xml:space="preserve"> </v>
      </c>
      <c r="U19" s="339" t="str">
        <f t="shared" si="3"/>
        <v xml:space="preserve"> </v>
      </c>
      <c r="V19" s="339" t="str">
        <f t="shared" si="4"/>
        <v xml:space="preserve"> </v>
      </c>
      <c r="W19" s="339" t="str">
        <f t="shared" si="5"/>
        <v xml:space="preserve"> </v>
      </c>
      <c r="X19" s="339" t="str" cm="1">
        <f t="array" ref="X19">_xlfn.IFS(AND(C19&gt;=$C$21,C19&lt;=$C$22),"OK",C19&lt;$C$21," ",C19&gt;$C$22," ")</f>
        <v xml:space="preserve"> </v>
      </c>
      <c r="Y19" s="339" t="str" cm="1">
        <f t="array" ref="Y19">_xlfn.IFS(AND(C19&gt;=$C$21,C19&lt;=$C$22),"OK",OR(C19&lt;$C$21,C19&gt;$C$22)," ")</f>
        <v xml:space="preserve"> </v>
      </c>
      <c r="Z19" s="338" t="str">
        <f t="shared" si="6"/>
        <v xml:space="preserve"> </v>
      </c>
      <c r="AA19" s="347" t="str" cm="1">
        <f t="array" ref="AA19">_xlfn.SWITCH(TRUE,AND(C19&gt;=$C$21,C19&lt;=$C$22),"OK"," ")</f>
        <v xml:space="preserve"> </v>
      </c>
    </row>
    <row r="20" spans="2:27" ht="15" customHeight="1" x14ac:dyDescent="0.2">
      <c r="C20" s="304"/>
    </row>
    <row r="21" spans="2:27" ht="15" customHeight="1" x14ac:dyDescent="0.2">
      <c r="B21" s="27" t="s">
        <v>765</v>
      </c>
      <c r="C21" s="303">
        <v>30</v>
      </c>
    </row>
    <row r="22" spans="2:27" ht="15" customHeight="1" x14ac:dyDescent="0.2">
      <c r="B22" s="27" t="s">
        <v>766</v>
      </c>
      <c r="C22" s="303">
        <v>60</v>
      </c>
    </row>
    <row r="24" spans="2:27" ht="15.75" x14ac:dyDescent="0.2">
      <c r="D24" s="340"/>
      <c r="E24" s="340"/>
      <c r="F24" s="341"/>
      <c r="G24" s="341"/>
      <c r="H24" s="341"/>
      <c r="I24" s="341"/>
      <c r="J24" s="340"/>
      <c r="K24" s="340"/>
      <c r="L24" s="341"/>
    </row>
    <row r="25" spans="2:27" ht="12.75" x14ac:dyDescent="0.2">
      <c r="B25" s="344" t="s">
        <v>906</v>
      </c>
      <c r="C25" s="343" t="s">
        <v>914</v>
      </c>
      <c r="E25" s="342" t="s">
        <v>920</v>
      </c>
    </row>
    <row r="26" spans="2:27" ht="12.75" x14ac:dyDescent="0.2">
      <c r="B26" s="344" t="s">
        <v>907</v>
      </c>
      <c r="C26" s="343" t="s">
        <v>914</v>
      </c>
      <c r="E26" s="342" t="s">
        <v>921</v>
      </c>
    </row>
    <row r="27" spans="2:27" ht="12.75" x14ac:dyDescent="0.2">
      <c r="B27" s="345" t="s">
        <v>908</v>
      </c>
      <c r="C27" s="343" t="s">
        <v>915</v>
      </c>
      <c r="E27" s="342" t="s">
        <v>922</v>
      </c>
    </row>
    <row r="28" spans="2:27" ht="12.75" x14ac:dyDescent="0.2">
      <c r="B28" s="345" t="s">
        <v>909</v>
      </c>
      <c r="C28" s="343" t="s">
        <v>915</v>
      </c>
      <c r="E28" s="342" t="s">
        <v>923</v>
      </c>
    </row>
    <row r="29" spans="2:27" ht="12.75" x14ac:dyDescent="0.2">
      <c r="B29" s="345" t="s">
        <v>910</v>
      </c>
      <c r="C29" s="343" t="s">
        <v>916</v>
      </c>
      <c r="E29" s="342" t="s">
        <v>924</v>
      </c>
    </row>
    <row r="30" spans="2:27" ht="12.75" x14ac:dyDescent="0.2">
      <c r="B30" s="345" t="s">
        <v>911</v>
      </c>
      <c r="C30" s="343" t="s">
        <v>916</v>
      </c>
      <c r="E30" s="342" t="s">
        <v>925</v>
      </c>
    </row>
    <row r="31" spans="2:27" ht="12.75" x14ac:dyDescent="0.2">
      <c r="B31" s="344" t="s">
        <v>912</v>
      </c>
      <c r="C31" s="343" t="s">
        <v>917</v>
      </c>
      <c r="E31" s="342" t="s">
        <v>926</v>
      </c>
    </row>
    <row r="32" spans="2:27" ht="12.75" x14ac:dyDescent="0.2">
      <c r="B32" s="344" t="s">
        <v>913</v>
      </c>
      <c r="C32" s="343" t="s">
        <v>918</v>
      </c>
      <c r="E32" s="342" t="s">
        <v>927</v>
      </c>
    </row>
    <row r="33" spans="2:5" ht="12.75" x14ac:dyDescent="0.2">
      <c r="B33" s="345">
        <v>5</v>
      </c>
      <c r="C33" s="343" t="s">
        <v>919</v>
      </c>
      <c r="E33" s="342" t="s">
        <v>928</v>
      </c>
    </row>
    <row r="34" spans="2:5" ht="12.75" x14ac:dyDescent="0.2">
      <c r="B34" s="345">
        <v>6</v>
      </c>
      <c r="C34" s="346" t="s">
        <v>929</v>
      </c>
      <c r="E34" s="342" t="s">
        <v>930</v>
      </c>
    </row>
  </sheetData>
  <sheetProtection sheet="1" formatCells="0"/>
  <protectedRanges>
    <protectedRange sqref="R11:Y19 D11:L19" name="Bereich1"/>
  </protectedRanges>
  <mergeCells count="1">
    <mergeCell ref="D9:M9"/>
  </mergeCells>
  <phoneticPr fontId="15" type="noConversion"/>
  <conditionalFormatting sqref="D11:D19">
    <cfRule type="containsErrors" dxfId="129" priority="90">
      <formula>ISERROR(D11)</formula>
    </cfRule>
    <cfRule type="expression" dxfId="128" priority="91">
      <formula>AND(AND(D11&lt;&gt;" ",D11&lt;&gt;R11),NOT(ISBLANK(D11)))</formula>
    </cfRule>
    <cfRule type="expression" dxfId="127" priority="92">
      <formula>AND(D11&lt;&gt;"",D11=R11)</formula>
    </cfRule>
  </conditionalFormatting>
  <conditionalFormatting sqref="F11:G19">
    <cfRule type="containsErrors" dxfId="126" priority="34">
      <formula>ISERROR(F11)</formula>
    </cfRule>
    <cfRule type="expression" dxfId="125" priority="35">
      <formula>AND(AND(F11&lt;&gt;" ",F11&lt;&gt;T11),NOT(ISBLANK(F11)))</formula>
    </cfRule>
    <cfRule type="expression" dxfId="124" priority="36">
      <formula>AND(F11&lt;&gt;"",F11=T11)</formula>
    </cfRule>
  </conditionalFormatting>
  <conditionalFormatting sqref="H11:I19">
    <cfRule type="containsErrors" dxfId="123" priority="31">
      <formula>ISERROR(H11)</formula>
    </cfRule>
    <cfRule type="expression" dxfId="122" priority="32">
      <formula>AND(AND(H11&lt;&gt;" ",H11&lt;&gt;U11),NOT(ISBLANK(H11)))</formula>
    </cfRule>
    <cfRule type="expression" dxfId="121" priority="33">
      <formula>AND(H11&lt;&gt;"",H11=U11)</formula>
    </cfRule>
  </conditionalFormatting>
  <conditionalFormatting sqref="J11:J19">
    <cfRule type="containsErrors" dxfId="120" priority="28">
      <formula>ISERROR(J11)</formula>
    </cfRule>
    <cfRule type="expression" dxfId="119" priority="29">
      <formula>AND(AND(J11&lt;&gt;" ",J11&lt;&gt;V11),NOT(ISBLANK(J11)))</formula>
    </cfRule>
    <cfRule type="expression" dxfId="118" priority="30">
      <formula>AND(J11&lt;&gt;"",J11=V11)</formula>
    </cfRule>
  </conditionalFormatting>
  <conditionalFormatting sqref="K11:K19">
    <cfRule type="containsErrors" dxfId="117" priority="25">
      <formula>ISERROR(K11)</formula>
    </cfRule>
    <cfRule type="expression" dxfId="116" priority="26">
      <formula>AND(AND(K11&lt;&gt;" ",K11&lt;&gt;W11),NOT(ISBLANK(K11)))</formula>
    </cfRule>
    <cfRule type="expression" dxfId="115" priority="27">
      <formula>AND(K11&lt;&gt;"",K11=W11)</formula>
    </cfRule>
  </conditionalFormatting>
  <conditionalFormatting sqref="L11:L19">
    <cfRule type="containsErrors" dxfId="114" priority="22">
      <formula>ISERROR(L11)</formula>
    </cfRule>
    <cfRule type="expression" dxfId="113" priority="23">
      <formula>AND(AND(L11&lt;&gt;" ",L11&lt;&gt;X11),NOT(ISBLANK(L11)))</formula>
    </cfRule>
    <cfRule type="expression" dxfId="112" priority="24">
      <formula>AND(L11&lt;&gt;"",L11=X11)</formula>
    </cfRule>
  </conditionalFormatting>
  <conditionalFormatting sqref="E11:E19">
    <cfRule type="containsErrors" dxfId="111" priority="96">
      <formula>ISERROR(E11)</formula>
    </cfRule>
    <cfRule type="expression" dxfId="110" priority="97">
      <formula>AND(AND(E11&lt;&gt;" ",E11&lt;&gt;T11),NOT(ISBLANK(E11)))</formula>
    </cfRule>
    <cfRule type="expression" dxfId="109" priority="98">
      <formula>AND(E11&lt;&gt;"",E11=T11)</formula>
    </cfRule>
  </conditionalFormatting>
  <conditionalFormatting sqref="M11:M19">
    <cfRule type="containsErrors" dxfId="108" priority="1">
      <formula>ISERROR(M11)</formula>
    </cfRule>
    <cfRule type="expression" dxfId="107" priority="2">
      <formula>AND(AND(M11&lt;&gt;" ",M11&lt;&gt;Y11),NOT(ISBLANK(M11)))</formula>
    </cfRule>
    <cfRule type="expression" dxfId="106" priority="3">
      <formula>AND(M11&lt;&gt;"",M11=Y11)</formula>
    </cfRule>
  </conditionalFormatting>
  <hyperlinks>
    <hyperlink ref="L2" location="Übersicht!A1" display="Zur Übersicht" xr:uid="{04A08D68-2B70-4ECA-B6BA-F3315C1AB478}"/>
  </hyperlinks>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3">
    <tabColor theme="4"/>
  </sheetPr>
  <dimension ref="A1:R45"/>
  <sheetViews>
    <sheetView showGridLines="0" zoomScaleNormal="100" zoomScalePageLayoutView="145" workbookViewId="0">
      <selection activeCell="A8" sqref="A8:D8"/>
    </sheetView>
  </sheetViews>
  <sheetFormatPr baseColWidth="10" defaultColWidth="11.28515625" defaultRowHeight="15" customHeight="1" x14ac:dyDescent="0.2"/>
  <cols>
    <col min="1" max="9" width="17.28515625" style="2" customWidth="1"/>
    <col min="10" max="12" width="11.28515625" style="2"/>
    <col min="13" max="13" width="12.85546875" style="2" bestFit="1" customWidth="1"/>
    <col min="14" max="15" width="11.28515625" style="2"/>
    <col min="16" max="18" width="11.28515625" style="2" hidden="1" customWidth="1"/>
    <col min="19" max="16384" width="11.28515625" style="2"/>
  </cols>
  <sheetData>
    <row r="1" spans="1:17" ht="15" customHeight="1" thickBot="1" x14ac:dyDescent="0.25"/>
    <row r="2" spans="1:17" ht="15" customHeight="1" x14ac:dyDescent="0.2">
      <c r="A2" s="422" t="s">
        <v>549</v>
      </c>
      <c r="B2" s="423"/>
      <c r="C2" s="423"/>
      <c r="D2" s="424"/>
      <c r="F2" s="466" t="s">
        <v>306</v>
      </c>
      <c r="G2" s="467"/>
      <c r="H2" s="467"/>
      <c r="I2" s="468"/>
      <c r="L2" s="306" t="s">
        <v>900</v>
      </c>
      <c r="M2" s="220" t="s">
        <v>732</v>
      </c>
    </row>
    <row r="3" spans="1:17" ht="15" customHeight="1" x14ac:dyDescent="0.2">
      <c r="A3" s="428"/>
      <c r="B3" s="429"/>
      <c r="C3" s="429"/>
      <c r="D3" s="430"/>
      <c r="F3" s="469" t="s">
        <v>307</v>
      </c>
      <c r="G3" s="470"/>
      <c r="H3" s="470"/>
      <c r="I3" s="471"/>
    </row>
    <row r="4" spans="1:17" ht="15" customHeight="1" thickBot="1" x14ac:dyDescent="0.25">
      <c r="A4" s="425"/>
      <c r="B4" s="426"/>
      <c r="C4" s="426"/>
      <c r="D4" s="427"/>
      <c r="F4" s="472" t="s">
        <v>308</v>
      </c>
      <c r="G4" s="473"/>
      <c r="H4" s="473"/>
      <c r="I4" s="474"/>
    </row>
    <row r="6" spans="1:17" ht="15" customHeight="1" x14ac:dyDescent="0.2">
      <c r="A6" s="395" t="str">
        <f ca="1">"Reiseangebote "&amp;YEAR(TODAY())</f>
        <v>Reiseangebote 2025</v>
      </c>
      <c r="B6" s="395"/>
      <c r="C6" s="395"/>
      <c r="D6" s="395"/>
      <c r="F6" s="395" t="str">
        <f ca="1">"Arbeitszeiten KW "&amp;WEEKNUM(TODAY(),21)</f>
        <v>Arbeitszeiten KW 15</v>
      </c>
      <c r="G6" s="395"/>
      <c r="H6" s="395"/>
      <c r="I6" s="395"/>
    </row>
    <row r="8" spans="1:17" ht="15" customHeight="1" thickBot="1" x14ac:dyDescent="0.25">
      <c r="A8" s="116" t="s">
        <v>297</v>
      </c>
      <c r="B8" s="117" t="s">
        <v>298</v>
      </c>
      <c r="C8" s="117" t="s">
        <v>299</v>
      </c>
      <c r="D8" s="117" t="s">
        <v>300</v>
      </c>
      <c r="F8" s="116" t="s">
        <v>309</v>
      </c>
      <c r="G8" s="117" t="s">
        <v>310</v>
      </c>
      <c r="H8" s="117" t="s">
        <v>311</v>
      </c>
      <c r="I8" s="117" t="s">
        <v>61</v>
      </c>
    </row>
    <row r="9" spans="1:17" ht="15" customHeight="1" x14ac:dyDescent="0.2">
      <c r="A9" s="122" t="s">
        <v>301</v>
      </c>
      <c r="B9" s="41">
        <f ca="1">DATE(YEAR(TODAY()),6,16)</f>
        <v>45824</v>
      </c>
      <c r="C9" s="42">
        <f ca="1">DATE(YEAR(TODAY()),6,23)</f>
        <v>45831</v>
      </c>
      <c r="D9" s="76"/>
      <c r="F9" s="27" t="s">
        <v>312</v>
      </c>
      <c r="G9" s="48">
        <v>0.33333333333333331</v>
      </c>
      <c r="H9" s="48">
        <v>0.66666666666666663</v>
      </c>
      <c r="I9" s="177"/>
      <c r="K9" s="458" t="s">
        <v>654</v>
      </c>
      <c r="L9" s="459"/>
      <c r="M9" s="459"/>
      <c r="N9" s="460"/>
      <c r="P9" s="2">
        <f ca="1">C9-B9</f>
        <v>7</v>
      </c>
      <c r="Q9" s="65">
        <f>H9-G9+(H9&lt;G9)</f>
        <v>0.33333333333333331</v>
      </c>
    </row>
    <row r="10" spans="1:17" ht="15" customHeight="1" x14ac:dyDescent="0.2">
      <c r="A10" s="122" t="s">
        <v>302</v>
      </c>
      <c r="B10" s="41">
        <f ca="1">DATE(YEAR(TODAY()),7,4)</f>
        <v>45842</v>
      </c>
      <c r="C10" s="42">
        <f ca="1">DATE(YEAR(TODAY()),7,7)</f>
        <v>45845</v>
      </c>
      <c r="D10" s="76"/>
      <c r="F10" s="27" t="s">
        <v>313</v>
      </c>
      <c r="G10" s="48">
        <v>0.375</v>
      </c>
      <c r="H10" s="48">
        <v>0.70833333333333337</v>
      </c>
      <c r="I10" s="177"/>
      <c r="K10" s="461"/>
      <c r="L10" s="429"/>
      <c r="M10" s="429"/>
      <c r="N10" s="462"/>
      <c r="P10" s="2">
        <f t="shared" ref="P10:P13" ca="1" si="0">C10-B10</f>
        <v>3</v>
      </c>
      <c r="Q10" s="65">
        <f t="shared" ref="Q10:Q13" si="1">H10-G10+(H10&lt;G10)</f>
        <v>0.33333333333333337</v>
      </c>
    </row>
    <row r="11" spans="1:17" ht="15" customHeight="1" x14ac:dyDescent="0.2">
      <c r="A11" s="122" t="s">
        <v>303</v>
      </c>
      <c r="B11" s="41">
        <f ca="1">DATE(YEAR(TODAY()),7,20)</f>
        <v>45858</v>
      </c>
      <c r="C11" s="42">
        <f ca="1">DATE(YEAR(TODAY()),8,3)</f>
        <v>45872</v>
      </c>
      <c r="D11" s="76"/>
      <c r="F11" s="27" t="s">
        <v>314</v>
      </c>
      <c r="G11" s="48">
        <v>0.375</v>
      </c>
      <c r="H11" s="48">
        <v>0.77083333333333337</v>
      </c>
      <c r="I11" s="177"/>
      <c r="K11" s="461"/>
      <c r="L11" s="429"/>
      <c r="M11" s="429"/>
      <c r="N11" s="462"/>
      <c r="P11" s="2">
        <f t="shared" ca="1" si="0"/>
        <v>14</v>
      </c>
      <c r="Q11" s="65">
        <f t="shared" si="1"/>
        <v>0.39583333333333337</v>
      </c>
    </row>
    <row r="12" spans="1:17" ht="15" customHeight="1" x14ac:dyDescent="0.2">
      <c r="A12" s="122" t="s">
        <v>304</v>
      </c>
      <c r="B12" s="42">
        <f ca="1">DATE(YEAR(TODAY()),9,8)</f>
        <v>45908</v>
      </c>
      <c r="C12" s="42">
        <f ca="1">DATE(YEAR(TODAY()),9,15)</f>
        <v>45915</v>
      </c>
      <c r="D12" s="76"/>
      <c r="F12" s="27" t="s">
        <v>315</v>
      </c>
      <c r="G12" s="48">
        <v>0.83333333333333337</v>
      </c>
      <c r="H12" s="48">
        <v>2.0833333333333332E-2</v>
      </c>
      <c r="I12" s="177"/>
      <c r="K12" s="461"/>
      <c r="L12" s="429"/>
      <c r="M12" s="429"/>
      <c r="N12" s="462"/>
      <c r="P12" s="2">
        <f t="shared" ca="1" si="0"/>
        <v>7</v>
      </c>
      <c r="Q12" s="65">
        <f t="shared" si="1"/>
        <v>0.1875</v>
      </c>
    </row>
    <row r="13" spans="1:17" ht="15" customHeight="1" thickBot="1" x14ac:dyDescent="0.25">
      <c r="A13" s="122" t="s">
        <v>305</v>
      </c>
      <c r="B13" s="42">
        <f ca="1">DATE(YEAR(TODAY()),9,8)</f>
        <v>45908</v>
      </c>
      <c r="C13" s="42">
        <f ca="1">DATE(YEAR(TODAY()),9,22)</f>
        <v>45922</v>
      </c>
      <c r="D13" s="76"/>
      <c r="F13" s="27" t="s">
        <v>316</v>
      </c>
      <c r="G13" s="48">
        <v>0.375</v>
      </c>
      <c r="H13" s="48">
        <v>0.70833333333333337</v>
      </c>
      <c r="I13" s="177"/>
      <c r="K13" s="463"/>
      <c r="L13" s="464"/>
      <c r="M13" s="464"/>
      <c r="N13" s="465"/>
      <c r="P13" s="2">
        <f t="shared" ca="1" si="0"/>
        <v>14</v>
      </c>
      <c r="Q13" s="65">
        <f t="shared" si="1"/>
        <v>0.33333333333333337</v>
      </c>
    </row>
    <row r="14" spans="1:17" ht="15" customHeight="1" x14ac:dyDescent="0.2">
      <c r="F14" s="404" t="s">
        <v>547</v>
      </c>
      <c r="G14" s="404"/>
      <c r="H14" s="404"/>
      <c r="I14" s="123"/>
      <c r="Q14" s="65">
        <f>SUM(Q9:Q13)</f>
        <v>1.5833333333333335</v>
      </c>
    </row>
    <row r="15" spans="1:17" ht="15" customHeight="1" thickBot="1" x14ac:dyDescent="0.25"/>
    <row r="16" spans="1:17" ht="15" customHeight="1" x14ac:dyDescent="0.2">
      <c r="A16" s="406" t="s">
        <v>317</v>
      </c>
      <c r="B16" s="407"/>
      <c r="C16" s="407"/>
      <c r="D16" s="408"/>
      <c r="F16" s="406" t="s">
        <v>507</v>
      </c>
      <c r="G16" s="407"/>
      <c r="H16" s="407"/>
      <c r="I16" s="408"/>
    </row>
    <row r="17" spans="1:17" ht="15" customHeight="1" x14ac:dyDescent="0.2">
      <c r="A17" s="409"/>
      <c r="B17" s="410"/>
      <c r="C17" s="410"/>
      <c r="D17" s="411"/>
      <c r="F17" s="409"/>
      <c r="G17" s="410"/>
      <c r="H17" s="410"/>
      <c r="I17" s="411"/>
    </row>
    <row r="18" spans="1:17" ht="15" customHeight="1" thickBot="1" x14ac:dyDescent="0.25">
      <c r="A18" s="412"/>
      <c r="B18" s="413"/>
      <c r="C18" s="413"/>
      <c r="D18" s="414"/>
      <c r="F18" s="412"/>
      <c r="G18" s="413"/>
      <c r="H18" s="413"/>
      <c r="I18" s="414"/>
    </row>
    <row r="20" spans="1:17" ht="15" customHeight="1" thickBot="1" x14ac:dyDescent="0.25">
      <c r="A20" s="223" t="s">
        <v>60</v>
      </c>
      <c r="B20" s="224"/>
      <c r="C20" s="225">
        <v>18</v>
      </c>
      <c r="F20" s="116" t="s">
        <v>309</v>
      </c>
      <c r="G20" s="117" t="s">
        <v>310</v>
      </c>
      <c r="H20" s="117" t="s">
        <v>311</v>
      </c>
      <c r="I20" s="117" t="s">
        <v>61</v>
      </c>
    </row>
    <row r="21" spans="1:17" ht="15" customHeight="1" x14ac:dyDescent="0.2">
      <c r="F21" s="27" t="s">
        <v>312</v>
      </c>
      <c r="G21" s="48">
        <v>0.33333333333333331</v>
      </c>
      <c r="H21" s="48">
        <v>0.66666666666666663</v>
      </c>
      <c r="I21" s="79"/>
      <c r="K21" s="458" t="s">
        <v>655</v>
      </c>
      <c r="L21" s="459"/>
      <c r="M21" s="459"/>
      <c r="N21" s="460"/>
      <c r="Q21" s="67">
        <f>(H21-G21+(H21&lt;G21))*24</f>
        <v>8</v>
      </c>
    </row>
    <row r="22" spans="1:17" ht="15" customHeight="1" x14ac:dyDescent="0.2">
      <c r="A22" s="116" t="s">
        <v>309</v>
      </c>
      <c r="B22" s="117" t="s">
        <v>61</v>
      </c>
      <c r="C22" s="117" t="s">
        <v>62</v>
      </c>
      <c r="F22" s="27" t="s">
        <v>313</v>
      </c>
      <c r="G22" s="48">
        <v>0.375</v>
      </c>
      <c r="H22" s="48">
        <v>0.70833333333333337</v>
      </c>
      <c r="I22" s="79"/>
      <c r="K22" s="461"/>
      <c r="L22" s="429"/>
      <c r="M22" s="429"/>
      <c r="N22" s="462"/>
      <c r="Q22" s="67">
        <f t="shared" ref="Q22:Q25" si="2">(H22-G22+(H22&lt;G22))*24</f>
        <v>8</v>
      </c>
    </row>
    <row r="23" spans="1:17" ht="15" customHeight="1" x14ac:dyDescent="0.2">
      <c r="A23" s="27" t="s">
        <v>312</v>
      </c>
      <c r="B23" s="48">
        <v>0.33333333333333331</v>
      </c>
      <c r="C23" s="90"/>
      <c r="F23" s="27" t="s">
        <v>314</v>
      </c>
      <c r="G23" s="48">
        <v>0.375</v>
      </c>
      <c r="H23" s="48">
        <v>0.77083333333333337</v>
      </c>
      <c r="I23" s="79"/>
      <c r="K23" s="461"/>
      <c r="L23" s="429"/>
      <c r="M23" s="429"/>
      <c r="N23" s="462"/>
      <c r="P23" s="2">
        <f>B23*24*$C$20</f>
        <v>144</v>
      </c>
      <c r="Q23" s="67">
        <f t="shared" si="2"/>
        <v>9.5</v>
      </c>
    </row>
    <row r="24" spans="1:17" ht="15" customHeight="1" x14ac:dyDescent="0.2">
      <c r="A24" s="27" t="s">
        <v>313</v>
      </c>
      <c r="B24" s="48">
        <v>0.29166666666666669</v>
      </c>
      <c r="C24" s="90"/>
      <c r="F24" s="27" t="s">
        <v>315</v>
      </c>
      <c r="G24" s="48">
        <v>0.83333333333333337</v>
      </c>
      <c r="H24" s="48">
        <v>2.0833333333333332E-2</v>
      </c>
      <c r="I24" s="79"/>
      <c r="K24" s="461"/>
      <c r="L24" s="429"/>
      <c r="M24" s="429"/>
      <c r="N24" s="462"/>
      <c r="P24" s="2">
        <f t="shared" ref="P24:P27" si="3">B24*24*$C$20</f>
        <v>126</v>
      </c>
      <c r="Q24" s="67">
        <f t="shared" si="2"/>
        <v>4.5</v>
      </c>
    </row>
    <row r="25" spans="1:17" ht="15" customHeight="1" thickBot="1" x14ac:dyDescent="0.25">
      <c r="A25" s="27" t="s">
        <v>314</v>
      </c>
      <c r="B25" s="48">
        <v>0.16666666666666666</v>
      </c>
      <c r="C25" s="90"/>
      <c r="F25" s="27" t="s">
        <v>316</v>
      </c>
      <c r="G25" s="48">
        <v>0.375</v>
      </c>
      <c r="H25" s="48">
        <v>0.70833333333333337</v>
      </c>
      <c r="I25" s="79"/>
      <c r="K25" s="463"/>
      <c r="L25" s="464"/>
      <c r="M25" s="464"/>
      <c r="N25" s="465"/>
      <c r="P25" s="2">
        <f t="shared" si="3"/>
        <v>72</v>
      </c>
      <c r="Q25" s="67">
        <f t="shared" si="2"/>
        <v>8</v>
      </c>
    </row>
    <row r="26" spans="1:17" ht="15" customHeight="1" x14ac:dyDescent="0.2">
      <c r="A26" s="27" t="s">
        <v>315</v>
      </c>
      <c r="B26" s="48">
        <v>0.33333333333333331</v>
      </c>
      <c r="C26" s="90"/>
      <c r="F26" s="404" t="s">
        <v>547</v>
      </c>
      <c r="G26" s="404"/>
      <c r="H26" s="404"/>
      <c r="I26" s="79"/>
      <c r="P26" s="2">
        <f t="shared" si="3"/>
        <v>144</v>
      </c>
      <c r="Q26" s="67">
        <f>SUM(Q21:Q25)</f>
        <v>38</v>
      </c>
    </row>
    <row r="27" spans="1:17" ht="15" customHeight="1" x14ac:dyDescent="0.2">
      <c r="A27" s="27" t="s">
        <v>316</v>
      </c>
      <c r="B27" s="48">
        <v>0.3125</v>
      </c>
      <c r="C27" s="90"/>
      <c r="P27" s="2">
        <f t="shared" si="3"/>
        <v>135</v>
      </c>
    </row>
    <row r="28" spans="1:17" ht="15" customHeight="1" x14ac:dyDescent="0.2">
      <c r="A28" s="80" t="s">
        <v>545</v>
      </c>
      <c r="B28" s="124"/>
      <c r="C28" s="90"/>
      <c r="P28" s="2">
        <f>SUM(P23:P27)</f>
        <v>621</v>
      </c>
    </row>
    <row r="30" spans="1:17" ht="15" customHeight="1" thickBot="1" x14ac:dyDescent="0.25"/>
    <row r="31" spans="1:17" ht="15" customHeight="1" x14ac:dyDescent="0.2">
      <c r="A31" s="406" t="s">
        <v>546</v>
      </c>
      <c r="B31" s="407"/>
      <c r="C31" s="407"/>
      <c r="D31" s="408"/>
      <c r="F31" s="406" t="s">
        <v>352</v>
      </c>
      <c r="G31" s="407"/>
      <c r="H31" s="407"/>
      <c r="I31" s="408"/>
    </row>
    <row r="32" spans="1:17" ht="15" customHeight="1" x14ac:dyDescent="0.2">
      <c r="A32" s="409"/>
      <c r="B32" s="410"/>
      <c r="C32" s="410"/>
      <c r="D32" s="411"/>
      <c r="F32" s="409"/>
      <c r="G32" s="410"/>
      <c r="H32" s="410"/>
      <c r="I32" s="411"/>
    </row>
    <row r="33" spans="1:18" ht="15" customHeight="1" thickBot="1" x14ac:dyDescent="0.25">
      <c r="A33" s="412"/>
      <c r="B33" s="413"/>
      <c r="C33" s="413"/>
      <c r="D33" s="414"/>
      <c r="F33" s="412"/>
      <c r="G33" s="413"/>
      <c r="H33" s="413"/>
      <c r="I33" s="414"/>
    </row>
    <row r="35" spans="1:18" ht="15" customHeight="1" x14ac:dyDescent="0.2">
      <c r="A35" s="395" t="s">
        <v>318</v>
      </c>
      <c r="B35" s="395"/>
      <c r="C35" s="395"/>
      <c r="F35" s="395" t="s">
        <v>548</v>
      </c>
      <c r="G35" s="395"/>
      <c r="H35" s="395"/>
    </row>
    <row r="37" spans="1:18" ht="15" customHeight="1" x14ac:dyDescent="0.2">
      <c r="A37" s="116" t="s">
        <v>319</v>
      </c>
      <c r="B37" s="117" t="s">
        <v>320</v>
      </c>
      <c r="C37" s="117" t="s">
        <v>310</v>
      </c>
      <c r="F37" s="116" t="s">
        <v>349</v>
      </c>
      <c r="G37" s="117" t="s">
        <v>350</v>
      </c>
      <c r="H37" s="117" t="s">
        <v>351</v>
      </c>
    </row>
    <row r="38" spans="1:18" ht="15" customHeight="1" x14ac:dyDescent="0.2">
      <c r="A38" s="27" t="s">
        <v>324</v>
      </c>
      <c r="B38" s="27">
        <v>20</v>
      </c>
      <c r="C38" s="125">
        <v>0.70833333333333337</v>
      </c>
      <c r="F38" s="127">
        <f ca="1">TODAY()-14</f>
        <v>45741</v>
      </c>
      <c r="G38" s="178"/>
      <c r="H38" s="76"/>
      <c r="P38" s="66">
        <f>C38</f>
        <v>0.70833333333333337</v>
      </c>
      <c r="Q38" s="14">
        <f ca="1">TODAY()</f>
        <v>45755</v>
      </c>
      <c r="R38" s="2">
        <f ca="1">Q38-F38</f>
        <v>14</v>
      </c>
    </row>
    <row r="39" spans="1:18" ht="15" customHeight="1" x14ac:dyDescent="0.2">
      <c r="A39" s="27" t="s">
        <v>321</v>
      </c>
      <c r="B39" s="27">
        <v>60</v>
      </c>
      <c r="C39" s="177"/>
      <c r="F39" s="127">
        <f ca="1">TODAY()-49</f>
        <v>45706</v>
      </c>
      <c r="G39" s="178"/>
      <c r="H39" s="76"/>
      <c r="P39" s="66">
        <f>P38+B38/60/24</f>
        <v>0.72222222222222221</v>
      </c>
      <c r="Q39" s="14">
        <f t="shared" ref="Q39:Q42" ca="1" si="4">TODAY()</f>
        <v>45755</v>
      </c>
      <c r="R39" s="2">
        <f t="shared" ref="R39:R42" ca="1" si="5">Q39-F39</f>
        <v>49</v>
      </c>
    </row>
    <row r="40" spans="1:18" ht="15" customHeight="1" x14ac:dyDescent="0.2">
      <c r="A40" s="27" t="s">
        <v>322</v>
      </c>
      <c r="B40" s="27">
        <v>15</v>
      </c>
      <c r="C40" s="177"/>
      <c r="F40" s="127">
        <f ca="1">TODAY()-28</f>
        <v>45727</v>
      </c>
      <c r="G40" s="178"/>
      <c r="H40" s="76"/>
      <c r="P40" s="66">
        <f t="shared" ref="P40:P44" si="6">P39+B39/60/24</f>
        <v>0.76388888888888884</v>
      </c>
      <c r="Q40" s="14">
        <f t="shared" ca="1" si="4"/>
        <v>45755</v>
      </c>
      <c r="R40" s="2">
        <f t="shared" ca="1" si="5"/>
        <v>28</v>
      </c>
    </row>
    <row r="41" spans="1:18" ht="15" customHeight="1" x14ac:dyDescent="0.2">
      <c r="A41" s="27" t="s">
        <v>323</v>
      </c>
      <c r="B41" s="27">
        <v>30</v>
      </c>
      <c r="C41" s="177"/>
      <c r="F41" s="127">
        <f ca="1">TODAY()-32</f>
        <v>45723</v>
      </c>
      <c r="G41" s="178"/>
      <c r="H41" s="76"/>
      <c r="P41" s="66">
        <f t="shared" si="6"/>
        <v>0.77430555555555547</v>
      </c>
      <c r="Q41" s="14">
        <f t="shared" ca="1" si="4"/>
        <v>45755</v>
      </c>
      <c r="R41" s="2">
        <f t="shared" ca="1" si="5"/>
        <v>32</v>
      </c>
    </row>
    <row r="42" spans="1:18" ht="15" customHeight="1" x14ac:dyDescent="0.2">
      <c r="A42" s="27" t="s">
        <v>322</v>
      </c>
      <c r="B42" s="27">
        <v>15</v>
      </c>
      <c r="C42" s="177"/>
      <c r="F42" s="127">
        <f ca="1">TODAY()-65</f>
        <v>45690</v>
      </c>
      <c r="G42" s="178"/>
      <c r="H42" s="76"/>
      <c r="P42" s="66">
        <f t="shared" si="6"/>
        <v>0.79513888888888884</v>
      </c>
      <c r="Q42" s="14">
        <f t="shared" ca="1" si="4"/>
        <v>45755</v>
      </c>
      <c r="R42" s="2">
        <f t="shared" ca="1" si="5"/>
        <v>65</v>
      </c>
    </row>
    <row r="43" spans="1:18" ht="15" customHeight="1" x14ac:dyDescent="0.2">
      <c r="A43" s="27" t="s">
        <v>321</v>
      </c>
      <c r="B43" s="27">
        <v>90</v>
      </c>
      <c r="C43" s="177"/>
      <c r="P43" s="66">
        <f t="shared" si="6"/>
        <v>0.80555555555555547</v>
      </c>
    </row>
    <row r="44" spans="1:18" ht="15" customHeight="1" x14ac:dyDescent="0.2">
      <c r="A44" s="97" t="s">
        <v>311</v>
      </c>
      <c r="B44" s="126"/>
      <c r="C44" s="177"/>
      <c r="P44" s="66">
        <f t="shared" si="6"/>
        <v>0.86805555555555547</v>
      </c>
    </row>
    <row r="45" spans="1:18" ht="15" customHeight="1" x14ac:dyDescent="0.2">
      <c r="L45" s="306" t="s">
        <v>900</v>
      </c>
      <c r="M45" s="220" t="s">
        <v>732</v>
      </c>
    </row>
  </sheetData>
  <sheetProtection sheet="1" objects="1" scenarios="1" formatCells="0"/>
  <protectedRanges>
    <protectedRange sqref="D9:D13 I9:I14 C23:C28 I21:I26 G38:H42 C39:C44" name="Bereich1"/>
  </protectedRanges>
  <mergeCells count="16">
    <mergeCell ref="K9:N13"/>
    <mergeCell ref="K21:N25"/>
    <mergeCell ref="A6:D6"/>
    <mergeCell ref="F2:I2"/>
    <mergeCell ref="F3:I3"/>
    <mergeCell ref="F4:I4"/>
    <mergeCell ref="F6:I6"/>
    <mergeCell ref="A2:D4"/>
    <mergeCell ref="F35:H35"/>
    <mergeCell ref="A16:D18"/>
    <mergeCell ref="A31:D33"/>
    <mergeCell ref="A35:C35"/>
    <mergeCell ref="F14:H14"/>
    <mergeCell ref="F16:I18"/>
    <mergeCell ref="F26:H26"/>
    <mergeCell ref="F31:I33"/>
  </mergeCells>
  <conditionalFormatting sqref="D9:D13">
    <cfRule type="expression" dxfId="105" priority="15">
      <formula>AND(D9&lt;&gt;"",D9&lt;&gt;P9)</formula>
    </cfRule>
    <cfRule type="expression" dxfId="104" priority="16">
      <formula>AND(D9&lt;&gt;"",D9=P9)</formula>
    </cfRule>
  </conditionalFormatting>
  <conditionalFormatting sqref="I9:I14">
    <cfRule type="expression" dxfId="103" priority="13">
      <formula>AND(I9&lt;&gt;"",I9&lt;&gt;Q9)</formula>
    </cfRule>
    <cfRule type="expression" dxfId="102" priority="14">
      <formula>AND(I9&lt;&gt;"",I9=Q9)</formula>
    </cfRule>
  </conditionalFormatting>
  <conditionalFormatting sqref="C23:C28">
    <cfRule type="expression" dxfId="101" priority="11">
      <formula>AND(C23&lt;&gt;"",C23&lt;&gt;P23)</formula>
    </cfRule>
    <cfRule type="expression" dxfId="100" priority="12">
      <formula>AND(C23&lt;&gt;"",C23=P23)</formula>
    </cfRule>
  </conditionalFormatting>
  <conditionalFormatting sqref="I26">
    <cfRule type="expression" dxfId="99" priority="9">
      <formula>AND(I26&lt;&gt;"",I26&lt;&gt;Q26)</formula>
    </cfRule>
    <cfRule type="expression" dxfId="98" priority="10">
      <formula>AND(I26&lt;&gt;"",I26=Q26)</formula>
    </cfRule>
  </conditionalFormatting>
  <conditionalFormatting sqref="C39:C44">
    <cfRule type="expression" dxfId="97" priority="7">
      <formula>AND(C39&lt;&gt;"",C39&lt;&gt;P39)</formula>
    </cfRule>
    <cfRule type="expression" dxfId="96" priority="8">
      <formula>AND(C39&lt;&gt;"",C39=P39)</formula>
    </cfRule>
  </conditionalFormatting>
  <conditionalFormatting sqref="G38:G42">
    <cfRule type="expression" dxfId="95" priority="5">
      <formula>AND(G38&lt;&gt;"",G38&lt;&gt;Q38)</formula>
    </cfRule>
    <cfRule type="expression" dxfId="94" priority="6">
      <formula>AND(G38&lt;&gt;"",G38=Q38)</formula>
    </cfRule>
  </conditionalFormatting>
  <conditionalFormatting sqref="H38:H42">
    <cfRule type="expression" dxfId="93" priority="3">
      <formula>AND(H38&lt;&gt;"",H38&lt;&gt;R38)</formula>
    </cfRule>
    <cfRule type="expression" dxfId="92" priority="4">
      <formula>AND(H38&lt;&gt;"",H38=R38)</formula>
    </cfRule>
  </conditionalFormatting>
  <conditionalFormatting sqref="I21:I25">
    <cfRule type="expression" dxfId="91" priority="1">
      <formula>AND(I21&lt;&gt;"",I21&lt;&gt;Q21)</formula>
    </cfRule>
    <cfRule type="expression" dxfId="90" priority="2">
      <formula>AND(I21&lt;&gt;"",I21=Q21)</formula>
    </cfRule>
  </conditionalFormatting>
  <hyperlinks>
    <hyperlink ref="M2" location="Übersicht!A1" display="Zur Übersicht" xr:uid="{00000000-0004-0000-0D00-000000000000}"/>
    <hyperlink ref="M45" location="Übersicht!A1" display="Zur Übersicht" xr:uid="{00000000-0004-0000-0D00-000001000000}"/>
  </hyperlinks>
  <pageMargins left="0.25" right="0.25" top="0.75" bottom="0.75" header="0.3" footer="0.3"/>
  <pageSetup paperSize="9" orientation="landscape" horizontalDpi="300" verticalDpi="30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23">
    <tabColor theme="4"/>
  </sheetPr>
  <dimension ref="A1:S44"/>
  <sheetViews>
    <sheetView showGridLines="0" zoomScaleNormal="100" zoomScalePageLayoutView="145" workbookViewId="0">
      <selection activeCell="A8" sqref="A8"/>
    </sheetView>
  </sheetViews>
  <sheetFormatPr baseColWidth="10" defaultColWidth="11.28515625" defaultRowHeight="15" customHeight="1" x14ac:dyDescent="0.2"/>
  <cols>
    <col min="1" max="1" width="18.42578125" style="2" customWidth="1"/>
    <col min="2" max="2" width="27.5703125" style="2" customWidth="1"/>
    <col min="3" max="8" width="17.28515625" style="2" customWidth="1"/>
    <col min="9" max="11" width="11.28515625" style="2"/>
    <col min="12" max="12" width="12.85546875" style="2" bestFit="1" customWidth="1"/>
    <col min="13" max="14" width="11.28515625" style="2"/>
    <col min="15" max="15" width="11.28515625" style="2" hidden="1" customWidth="1"/>
    <col min="16" max="17" width="11.28515625" style="2" customWidth="1"/>
    <col min="18" max="16384" width="11.28515625" style="2"/>
  </cols>
  <sheetData>
    <row r="1" spans="1:19" ht="15" customHeight="1" thickBot="1" x14ac:dyDescent="0.25"/>
    <row r="2" spans="1:19" ht="15" customHeight="1" x14ac:dyDescent="0.25">
      <c r="A2" s="422" t="s">
        <v>825</v>
      </c>
      <c r="B2" s="423"/>
      <c r="C2" s="424"/>
      <c r="E2"/>
      <c r="F2"/>
      <c r="G2"/>
      <c r="H2"/>
      <c r="K2" s="306" t="s">
        <v>900</v>
      </c>
      <c r="L2" s="220" t="s">
        <v>732</v>
      </c>
    </row>
    <row r="3" spans="1:19" ht="15" customHeight="1" x14ac:dyDescent="0.25">
      <c r="A3" s="428"/>
      <c r="B3" s="429"/>
      <c r="C3" s="430"/>
      <c r="E3"/>
      <c r="F3"/>
      <c r="G3"/>
      <c r="H3"/>
    </row>
    <row r="4" spans="1:19" ht="15" customHeight="1" thickBot="1" x14ac:dyDescent="0.3">
      <c r="A4" s="425"/>
      <c r="B4" s="426"/>
      <c r="C4" s="427"/>
      <c r="E4"/>
      <c r="F4"/>
      <c r="G4"/>
      <c r="H4"/>
    </row>
    <row r="5" spans="1:19" ht="15" customHeight="1" x14ac:dyDescent="0.25">
      <c r="E5"/>
      <c r="F5"/>
      <c r="G5"/>
      <c r="H5"/>
    </row>
    <row r="6" spans="1:19" ht="15" customHeight="1" x14ac:dyDescent="0.25">
      <c r="A6" s="395" t="s">
        <v>816</v>
      </c>
      <c r="B6" s="395"/>
      <c r="C6" s="395"/>
      <c r="E6"/>
      <c r="F6"/>
      <c r="G6"/>
      <c r="H6"/>
    </row>
    <row r="7" spans="1:19" customFormat="1" ht="15" customHeight="1" x14ac:dyDescent="0.25"/>
    <row r="8" spans="1:19" customFormat="1" ht="15" customHeight="1" x14ac:dyDescent="0.25">
      <c r="A8" s="232" t="s">
        <v>819</v>
      </c>
      <c r="B8" s="226"/>
    </row>
    <row r="9" spans="1:19" ht="15" customHeight="1" x14ac:dyDescent="0.25">
      <c r="E9"/>
      <c r="F9"/>
      <c r="G9"/>
      <c r="H9"/>
    </row>
    <row r="10" spans="1:19" ht="15" customHeight="1" x14ac:dyDescent="0.25">
      <c r="A10" s="231" t="s">
        <v>826</v>
      </c>
      <c r="B10" s="117" t="s">
        <v>817</v>
      </c>
      <c r="C10" s="117" t="s">
        <v>821</v>
      </c>
      <c r="D10" s="117" t="s">
        <v>820</v>
      </c>
      <c r="H10"/>
      <c r="I10"/>
      <c r="J10"/>
      <c r="K10"/>
    </row>
    <row r="11" spans="1:19" ht="15" customHeight="1" x14ac:dyDescent="0.25">
      <c r="A11" s="29">
        <v>1</v>
      </c>
      <c r="B11" s="227" t="s">
        <v>827</v>
      </c>
      <c r="C11" s="41">
        <f ca="1">TODAY()</f>
        <v>45755</v>
      </c>
      <c r="D11" s="230"/>
      <c r="H11"/>
      <c r="I11" s="229"/>
      <c r="J11" s="228"/>
      <c r="K11"/>
      <c r="M11"/>
      <c r="N11"/>
      <c r="O11">
        <f ca="1">(YEAR(TODAY())-YEAR(B8))</f>
        <v>125</v>
      </c>
      <c r="P11"/>
      <c r="S11" s="65"/>
    </row>
    <row r="12" spans="1:19" ht="15" customHeight="1" x14ac:dyDescent="0.25">
      <c r="A12" s="29">
        <v>2</v>
      </c>
      <c r="B12" s="227" t="s">
        <v>822</v>
      </c>
      <c r="C12" s="41">
        <f t="shared" ref="C12:C14" ca="1" si="0">TODAY()</f>
        <v>45755</v>
      </c>
      <c r="D12" s="230"/>
      <c r="H12"/>
      <c r="I12" s="229"/>
      <c r="J12" s="228"/>
      <c r="K12"/>
      <c r="M12"/>
      <c r="N12"/>
      <c r="O12">
        <f ca="1">YEARFRAC(B8,C12)</f>
        <v>125.27222222222223</v>
      </c>
      <c r="P12"/>
      <c r="S12" s="65"/>
    </row>
    <row r="13" spans="1:19" ht="15" customHeight="1" x14ac:dyDescent="0.25">
      <c r="A13" s="29">
        <v>3</v>
      </c>
      <c r="B13" s="227" t="s">
        <v>823</v>
      </c>
      <c r="C13" s="41">
        <f t="shared" ca="1" si="0"/>
        <v>45755</v>
      </c>
      <c r="D13" s="230"/>
      <c r="H13"/>
      <c r="I13" s="229"/>
      <c r="J13" s="228"/>
      <c r="K13"/>
      <c r="M13"/>
      <c r="N13"/>
      <c r="O13">
        <f ca="1">(C13-B8)/365.25</f>
        <v>125.27036276522929</v>
      </c>
      <c r="P13"/>
      <c r="S13" s="65"/>
    </row>
    <row r="14" spans="1:19" ht="15" customHeight="1" x14ac:dyDescent="0.25">
      <c r="A14" s="29">
        <v>4</v>
      </c>
      <c r="B14" s="227" t="s">
        <v>824</v>
      </c>
      <c r="C14" s="41">
        <f t="shared" ca="1" si="0"/>
        <v>45755</v>
      </c>
      <c r="D14" s="230"/>
      <c r="H14"/>
      <c r="I14" s="229"/>
      <c r="J14" s="228"/>
      <c r="K14"/>
      <c r="M14"/>
      <c r="N14"/>
      <c r="O14">
        <f ca="1">DATEDIF(B8,C14,"y")</f>
        <v>125</v>
      </c>
      <c r="P14"/>
      <c r="S14" s="65"/>
    </row>
    <row r="15" spans="1:19" ht="15" customHeight="1" thickBot="1" x14ac:dyDescent="0.3">
      <c r="E15"/>
      <c r="F15"/>
      <c r="G15"/>
      <c r="H15"/>
      <c r="P15" s="65"/>
    </row>
    <row r="16" spans="1:19" ht="15" customHeight="1" x14ac:dyDescent="0.25">
      <c r="A16" s="406" t="s">
        <v>818</v>
      </c>
      <c r="B16" s="407"/>
      <c r="C16" s="408"/>
      <c r="E16"/>
      <c r="F16"/>
      <c r="G16"/>
      <c r="H16"/>
    </row>
    <row r="17" spans="1:16" ht="15" customHeight="1" x14ac:dyDescent="0.25">
      <c r="A17" s="409"/>
      <c r="B17" s="410"/>
      <c r="C17" s="411"/>
      <c r="E17"/>
      <c r="F17"/>
      <c r="G17"/>
      <c r="H17"/>
    </row>
    <row r="18" spans="1:16" ht="15" customHeight="1" thickBot="1" x14ac:dyDescent="0.3">
      <c r="A18" s="412"/>
      <c r="B18" s="413"/>
      <c r="C18" s="414"/>
      <c r="E18"/>
      <c r="F18"/>
      <c r="G18"/>
      <c r="H18"/>
    </row>
    <row r="19" spans="1:16" ht="15" customHeight="1" x14ac:dyDescent="0.25">
      <c r="E19"/>
      <c r="F19"/>
      <c r="G19"/>
      <c r="H19"/>
    </row>
    <row r="20" spans="1:16" ht="15" customHeight="1" x14ac:dyDescent="0.25">
      <c r="A20" s="475" t="s">
        <v>828</v>
      </c>
      <c r="B20" s="475"/>
      <c r="C20" s="475"/>
      <c r="D20" s="76"/>
      <c r="E20"/>
      <c r="F20"/>
      <c r="G20"/>
      <c r="H20"/>
      <c r="O20" s="2">
        <v>4</v>
      </c>
    </row>
    <row r="21" spans="1:16" ht="15" customHeight="1" x14ac:dyDescent="0.25">
      <c r="A21"/>
      <c r="B21"/>
      <c r="C21"/>
      <c r="E21"/>
      <c r="F21"/>
      <c r="G21"/>
      <c r="H21"/>
      <c r="J21"/>
      <c r="K21"/>
      <c r="L21"/>
      <c r="M21"/>
      <c r="P21" s="67"/>
    </row>
    <row r="22" spans="1:16" ht="15" customHeight="1" x14ac:dyDescent="0.25">
      <c r="A22" s="476" t="str">
        <f ca="1">IF(COUNTIF($D$11:$D$14,$O$14)&gt;1,"Herzlichen Glückwunsch zum Geburtstag.","")</f>
        <v/>
      </c>
      <c r="B22" s="476"/>
      <c r="C22" s="476"/>
      <c r="D22" s="476"/>
      <c r="E22" s="476"/>
      <c r="F22" s="476"/>
      <c r="G22"/>
      <c r="H22"/>
      <c r="J22"/>
      <c r="K22"/>
      <c r="L22"/>
      <c r="M22"/>
      <c r="P22" s="67"/>
    </row>
    <row r="23" spans="1:16" ht="15" customHeight="1" x14ac:dyDescent="0.25">
      <c r="A23" s="476"/>
      <c r="B23" s="476"/>
      <c r="C23" s="476"/>
      <c r="D23" s="476"/>
      <c r="E23" s="476"/>
      <c r="F23" s="476"/>
      <c r="G23"/>
      <c r="H23"/>
      <c r="J23"/>
      <c r="K23"/>
      <c r="L23"/>
      <c r="M23"/>
      <c r="P23" s="67"/>
    </row>
    <row r="24" spans="1:16" ht="15" customHeight="1" x14ac:dyDescent="0.25">
      <c r="A24"/>
      <c r="B24"/>
      <c r="C24"/>
      <c r="E24"/>
      <c r="F24"/>
      <c r="G24"/>
      <c r="H24"/>
      <c r="J24"/>
      <c r="K24"/>
      <c r="L24"/>
      <c r="M24"/>
      <c r="P24" s="67"/>
    </row>
    <row r="25" spans="1:16" ht="15" customHeight="1" x14ac:dyDescent="0.25">
      <c r="A25"/>
      <c r="B25"/>
      <c r="C25"/>
      <c r="E25"/>
      <c r="F25"/>
      <c r="G25"/>
      <c r="H25"/>
      <c r="J25"/>
      <c r="K25"/>
      <c r="L25"/>
      <c r="M25"/>
      <c r="P25" s="67"/>
    </row>
    <row r="26" spans="1:16" ht="15" customHeight="1" x14ac:dyDescent="0.25">
      <c r="A26"/>
      <c r="B26"/>
      <c r="C26"/>
      <c r="E26"/>
      <c r="F26"/>
      <c r="G26"/>
      <c r="H26"/>
      <c r="P26" s="67"/>
    </row>
    <row r="27" spans="1:16" ht="15" customHeight="1" x14ac:dyDescent="0.25">
      <c r="A27"/>
      <c r="B27"/>
      <c r="C27"/>
      <c r="E27"/>
      <c r="F27"/>
      <c r="G27"/>
      <c r="H27"/>
    </row>
    <row r="28" spans="1:16" ht="15" customHeight="1" x14ac:dyDescent="0.25">
      <c r="A28"/>
      <c r="B28"/>
      <c r="C28"/>
      <c r="E28"/>
      <c r="F28"/>
      <c r="G28"/>
      <c r="H28"/>
    </row>
    <row r="29" spans="1:16" ht="15" customHeight="1" x14ac:dyDescent="0.25">
      <c r="A29"/>
      <c r="B29"/>
      <c r="C29"/>
      <c r="E29"/>
      <c r="F29"/>
      <c r="G29"/>
      <c r="H29"/>
    </row>
    <row r="30" spans="1:16" ht="15" customHeight="1" x14ac:dyDescent="0.25">
      <c r="A30"/>
      <c r="B30"/>
      <c r="C30"/>
      <c r="E30"/>
      <c r="F30"/>
      <c r="G30"/>
      <c r="H30"/>
    </row>
    <row r="31" spans="1:16" ht="15" customHeight="1" x14ac:dyDescent="0.25">
      <c r="A31"/>
      <c r="B31"/>
      <c r="C31"/>
      <c r="E31"/>
      <c r="F31"/>
      <c r="G31"/>
      <c r="H31"/>
    </row>
    <row r="32" spans="1:16" ht="15" customHeight="1" x14ac:dyDescent="0.25">
      <c r="A32"/>
      <c r="B32"/>
      <c r="C32"/>
      <c r="E32"/>
      <c r="F32"/>
      <c r="G32"/>
      <c r="H32"/>
    </row>
    <row r="33" spans="1:16" ht="15" customHeight="1" x14ac:dyDescent="0.25">
      <c r="A33"/>
      <c r="B33"/>
      <c r="C33"/>
      <c r="E33"/>
      <c r="F33"/>
      <c r="G33"/>
      <c r="H33"/>
    </row>
    <row r="34" spans="1:16" ht="15" customHeight="1" x14ac:dyDescent="0.25">
      <c r="A34"/>
      <c r="B34"/>
      <c r="C34"/>
      <c r="E34"/>
      <c r="F34"/>
      <c r="G34"/>
      <c r="H34"/>
    </row>
    <row r="35" spans="1:16" ht="15" customHeight="1" x14ac:dyDescent="0.25">
      <c r="A35"/>
      <c r="B35"/>
      <c r="C35"/>
      <c r="E35"/>
      <c r="F35"/>
      <c r="G35"/>
      <c r="H35"/>
    </row>
    <row r="36" spans="1:16" ht="15" customHeight="1" x14ac:dyDescent="0.25">
      <c r="A36"/>
      <c r="B36"/>
      <c r="C36"/>
      <c r="E36"/>
      <c r="F36"/>
      <c r="G36"/>
      <c r="H36"/>
    </row>
    <row r="37" spans="1:16" ht="15" customHeight="1" x14ac:dyDescent="0.25">
      <c r="A37"/>
      <c r="B37"/>
      <c r="C37"/>
      <c r="E37"/>
      <c r="F37"/>
      <c r="G37"/>
      <c r="H37"/>
    </row>
    <row r="38" spans="1:16" ht="15" customHeight="1" x14ac:dyDescent="0.25">
      <c r="A38"/>
      <c r="B38"/>
      <c r="C38"/>
      <c r="E38"/>
      <c r="F38"/>
      <c r="G38"/>
      <c r="H38"/>
      <c r="O38" s="66"/>
      <c r="P38" s="14"/>
    </row>
    <row r="39" spans="1:16" ht="15" customHeight="1" x14ac:dyDescent="0.25">
      <c r="A39"/>
      <c r="B39"/>
      <c r="C39"/>
      <c r="E39"/>
      <c r="F39"/>
      <c r="G39"/>
      <c r="H39"/>
      <c r="O39" s="66"/>
      <c r="P39" s="14"/>
    </row>
    <row r="40" spans="1:16" ht="15" customHeight="1" x14ac:dyDescent="0.25">
      <c r="A40"/>
      <c r="B40"/>
      <c r="C40"/>
      <c r="E40"/>
      <c r="F40"/>
      <c r="G40"/>
      <c r="H40"/>
      <c r="O40" s="66"/>
      <c r="P40" s="14"/>
    </row>
    <row r="41" spans="1:16" ht="15" customHeight="1" x14ac:dyDescent="0.25">
      <c r="A41"/>
      <c r="B41"/>
      <c r="C41"/>
      <c r="E41"/>
      <c r="F41"/>
      <c r="G41"/>
      <c r="H41"/>
      <c r="O41" s="66"/>
      <c r="P41" s="14"/>
    </row>
    <row r="42" spans="1:16" ht="15" customHeight="1" x14ac:dyDescent="0.25">
      <c r="A42"/>
      <c r="B42"/>
      <c r="C42"/>
      <c r="E42"/>
      <c r="F42"/>
      <c r="G42"/>
      <c r="O42" s="66"/>
      <c r="P42" s="14"/>
    </row>
    <row r="43" spans="1:16" ht="15" customHeight="1" x14ac:dyDescent="0.25">
      <c r="A43"/>
      <c r="B43"/>
      <c r="C43"/>
      <c r="O43" s="66"/>
    </row>
    <row r="44" spans="1:16" ht="15" customHeight="1" x14ac:dyDescent="0.25">
      <c r="A44"/>
      <c r="B44"/>
      <c r="C44"/>
      <c r="O44" s="66"/>
    </row>
  </sheetData>
  <sheetProtection sheet="1" objects="1" scenarios="1" formatCells="0"/>
  <protectedRanges>
    <protectedRange sqref="B8 D11:D14 D20" name="Bereich1"/>
  </protectedRanges>
  <mergeCells count="5">
    <mergeCell ref="A20:C20"/>
    <mergeCell ref="A22:F23"/>
    <mergeCell ref="A16:C18"/>
    <mergeCell ref="A2:C4"/>
    <mergeCell ref="A6:C6"/>
  </mergeCells>
  <conditionalFormatting sqref="D11:D20">
    <cfRule type="expression" dxfId="89" priority="2">
      <formula>AND(D11&lt;&gt;"",D11=O11)</formula>
    </cfRule>
    <cfRule type="expression" dxfId="88" priority="17">
      <formula>AND(D11&lt;&gt;"",D11&lt;&gt;O11)</formula>
    </cfRule>
  </conditionalFormatting>
  <conditionalFormatting sqref="D11:D14">
    <cfRule type="expression" dxfId="87" priority="1">
      <formula>AND(D11&lt;&gt;"",D11&lt;&gt;$O$14)</formula>
    </cfRule>
  </conditionalFormatting>
  <hyperlinks>
    <hyperlink ref="L2" location="Übersicht!A1" display="Zur Übersicht" xr:uid="{00000000-0004-0000-0E00-000000000000}"/>
  </hyperlinks>
  <pageMargins left="0.25" right="0.25" top="0.75" bottom="0.75" header="0.3" footer="0.3"/>
  <pageSetup paperSize="9" orientation="landscape"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4">
    <tabColor theme="9" tint="-0.249977111117893"/>
  </sheetPr>
  <dimension ref="A1:Q35"/>
  <sheetViews>
    <sheetView showGridLines="0" zoomScaleNormal="100" zoomScalePageLayoutView="130" workbookViewId="0">
      <selection activeCell="A29" sqref="A29:B29"/>
    </sheetView>
  </sheetViews>
  <sheetFormatPr baseColWidth="10" defaultColWidth="11.28515625" defaultRowHeight="15" customHeight="1" x14ac:dyDescent="0.2"/>
  <cols>
    <col min="1" max="1" width="17.85546875" style="2" bestFit="1" customWidth="1"/>
    <col min="2" max="2" width="23.42578125" style="2" bestFit="1" customWidth="1"/>
    <col min="3" max="4" width="23.42578125" style="2" customWidth="1"/>
    <col min="5" max="5" width="23.42578125" style="2" bestFit="1" customWidth="1"/>
    <col min="6" max="6" width="26.140625" style="2" bestFit="1" customWidth="1"/>
    <col min="7" max="12" width="11.28515625" style="2"/>
    <col min="13" max="13" width="12.85546875" style="2" bestFit="1" customWidth="1"/>
    <col min="14" max="15" width="11.28515625" style="2"/>
    <col min="16" max="16" width="26.140625" style="2" hidden="1" customWidth="1"/>
    <col min="17" max="17" width="0" style="2" hidden="1" customWidth="1"/>
    <col min="18" max="16384" width="11.28515625" style="2"/>
  </cols>
  <sheetData>
    <row r="1" spans="1:16" ht="15" customHeight="1" thickBot="1" x14ac:dyDescent="0.25"/>
    <row r="2" spans="1:16" ht="15" customHeight="1" x14ac:dyDescent="0.2">
      <c r="A2" s="477" t="s">
        <v>399</v>
      </c>
      <c r="B2" s="478"/>
      <c r="C2" s="478"/>
      <c r="D2" s="478"/>
      <c r="E2" s="478"/>
      <c r="F2" s="479"/>
      <c r="L2" s="306" t="s">
        <v>900</v>
      </c>
      <c r="M2" s="220" t="s">
        <v>732</v>
      </c>
    </row>
    <row r="3" spans="1:16" ht="15" customHeight="1" thickBot="1" x14ac:dyDescent="0.25">
      <c r="A3" s="480"/>
      <c r="B3" s="481"/>
      <c r="C3" s="481"/>
      <c r="D3" s="481"/>
      <c r="E3" s="481"/>
      <c r="F3" s="482"/>
    </row>
    <row r="4" spans="1:16" ht="15" customHeight="1" x14ac:dyDescent="0.25">
      <c r="M4"/>
    </row>
    <row r="6" spans="1:16" ht="15" customHeight="1" x14ac:dyDescent="0.2">
      <c r="A6" s="116" t="s">
        <v>383</v>
      </c>
      <c r="B6" s="117" t="s">
        <v>384</v>
      </c>
      <c r="C6" s="117" t="s">
        <v>226</v>
      </c>
      <c r="E6" s="117" t="s">
        <v>384</v>
      </c>
      <c r="F6" s="117" t="s">
        <v>226</v>
      </c>
    </row>
    <row r="7" spans="1:16" ht="15" customHeight="1" x14ac:dyDescent="0.2">
      <c r="A7" s="128" t="s">
        <v>385</v>
      </c>
      <c r="B7" s="25">
        <v>18</v>
      </c>
      <c r="C7" s="76"/>
      <c r="E7" s="25">
        <v>2</v>
      </c>
      <c r="F7" s="131" t="s">
        <v>391</v>
      </c>
      <c r="P7" s="2" t="str">
        <f>VLOOKUP(B7,$E$7:$F$14,2,1)</f>
        <v>Sporttasche Limited Edition</v>
      </c>
    </row>
    <row r="8" spans="1:16" ht="15" customHeight="1" x14ac:dyDescent="0.2">
      <c r="A8" s="128" t="s">
        <v>386</v>
      </c>
      <c r="B8" s="25">
        <v>6</v>
      </c>
      <c r="C8" s="76"/>
      <c r="E8" s="25">
        <v>4</v>
      </c>
      <c r="F8" s="131" t="s">
        <v>392</v>
      </c>
      <c r="P8" s="2" t="str">
        <f t="shared" ref="P8:P12" si="0">VLOOKUP(B8,$E$7:$F$14,2,1)</f>
        <v>Trinkflasche Limited Edition</v>
      </c>
    </row>
    <row r="9" spans="1:16" ht="15" customHeight="1" x14ac:dyDescent="0.2">
      <c r="A9" s="128" t="s">
        <v>387</v>
      </c>
      <c r="B9" s="25">
        <v>11</v>
      </c>
      <c r="C9" s="76"/>
      <c r="E9" s="25">
        <v>6</v>
      </c>
      <c r="F9" s="131" t="s">
        <v>393</v>
      </c>
      <c r="P9" s="2" t="str">
        <f t="shared" si="0"/>
        <v>500 g Eiweißpulver</v>
      </c>
    </row>
    <row r="10" spans="1:16" ht="15" customHeight="1" x14ac:dyDescent="0.2">
      <c r="A10" s="129" t="s">
        <v>388</v>
      </c>
      <c r="B10" s="25">
        <v>4</v>
      </c>
      <c r="C10" s="76"/>
      <c r="E10" s="25">
        <v>9</v>
      </c>
      <c r="F10" s="131" t="s">
        <v>394</v>
      </c>
      <c r="P10" s="2" t="str">
        <f t="shared" si="0"/>
        <v>Handtuch Limited Edition</v>
      </c>
    </row>
    <row r="11" spans="1:16" ht="15" customHeight="1" x14ac:dyDescent="0.2">
      <c r="A11" s="130" t="s">
        <v>389</v>
      </c>
      <c r="B11" s="25">
        <v>31</v>
      </c>
      <c r="C11" s="76"/>
      <c r="E11" s="25">
        <v>12</v>
      </c>
      <c r="F11" s="131" t="s">
        <v>395</v>
      </c>
      <c r="P11" s="2" t="str">
        <f t="shared" si="0"/>
        <v>2 Monate gratis Mitgliedschaft</v>
      </c>
    </row>
    <row r="12" spans="1:16" ht="15" customHeight="1" x14ac:dyDescent="0.2">
      <c r="A12" s="129" t="s">
        <v>390</v>
      </c>
      <c r="B12" s="25">
        <v>3</v>
      </c>
      <c r="C12" s="76"/>
      <c r="E12" s="25">
        <v>18</v>
      </c>
      <c r="F12" s="131" t="s">
        <v>396</v>
      </c>
      <c r="P12" s="2" t="str">
        <f t="shared" si="0"/>
        <v>Schweißband</v>
      </c>
    </row>
    <row r="13" spans="1:16" ht="15" customHeight="1" x14ac:dyDescent="0.25">
      <c r="A13"/>
      <c r="B13"/>
      <c r="C13"/>
      <c r="E13" s="25">
        <v>24</v>
      </c>
      <c r="F13" s="131" t="s">
        <v>397</v>
      </c>
    </row>
    <row r="14" spans="1:16" ht="15" customHeight="1" x14ac:dyDescent="0.2">
      <c r="E14" s="25">
        <v>36</v>
      </c>
      <c r="F14" s="131" t="s">
        <v>398</v>
      </c>
    </row>
    <row r="16" spans="1:16" ht="15" customHeight="1" thickBot="1" x14ac:dyDescent="0.25">
      <c r="A16" s="26"/>
    </row>
    <row r="17" spans="1:17" ht="15" customHeight="1" x14ac:dyDescent="0.2">
      <c r="A17" s="477" t="s">
        <v>648</v>
      </c>
      <c r="B17" s="478"/>
      <c r="C17" s="478"/>
      <c r="D17" s="478"/>
      <c r="E17" s="478"/>
      <c r="F17" s="479"/>
    </row>
    <row r="18" spans="1:17" ht="15" customHeight="1" thickBot="1" x14ac:dyDescent="0.25">
      <c r="A18" s="480"/>
      <c r="B18" s="481"/>
      <c r="C18" s="481"/>
      <c r="D18" s="481"/>
      <c r="E18" s="481"/>
      <c r="F18" s="482"/>
    </row>
    <row r="20" spans="1:17" ht="15" customHeight="1" x14ac:dyDescent="0.2">
      <c r="A20" s="116" t="s">
        <v>326</v>
      </c>
      <c r="B20" s="117" t="s">
        <v>23</v>
      </c>
      <c r="C20" s="117" t="s">
        <v>400</v>
      </c>
      <c r="D20" s="117" t="s">
        <v>401</v>
      </c>
      <c r="E20" s="117" t="s">
        <v>289</v>
      </c>
    </row>
    <row r="21" spans="1:17" ht="15" customHeight="1" x14ac:dyDescent="0.2">
      <c r="A21" s="128" t="s">
        <v>402</v>
      </c>
      <c r="B21" s="43">
        <v>12000</v>
      </c>
      <c r="C21" s="132">
        <v>6</v>
      </c>
      <c r="D21" s="115"/>
      <c r="E21" s="179"/>
      <c r="P21" s="2">
        <f>B21*C21</f>
        <v>72000</v>
      </c>
      <c r="Q21" s="2">
        <f>VLOOKUP(P21,$A$30:$B$35,2,1)*P21</f>
        <v>3600</v>
      </c>
    </row>
    <row r="22" spans="1:17" ht="15" customHeight="1" x14ac:dyDescent="0.2">
      <c r="A22" s="128" t="s">
        <v>403</v>
      </c>
      <c r="B22" s="43">
        <v>18000</v>
      </c>
      <c r="C22" s="132">
        <v>12</v>
      </c>
      <c r="D22" s="115"/>
      <c r="E22" s="179"/>
      <c r="P22" s="2">
        <f t="shared" ref="P22:P27" si="1">B22*C22</f>
        <v>216000</v>
      </c>
      <c r="Q22" s="2">
        <f t="shared" ref="Q22:Q27" si="2">VLOOKUP(P22,$A$30:$B$35,2,1)*P22</f>
        <v>43200</v>
      </c>
    </row>
    <row r="23" spans="1:17" ht="15" customHeight="1" x14ac:dyDescent="0.2">
      <c r="A23" s="128" t="s">
        <v>404</v>
      </c>
      <c r="B23" s="43">
        <v>15000</v>
      </c>
      <c r="C23" s="132">
        <v>11</v>
      </c>
      <c r="D23" s="115"/>
      <c r="E23" s="179"/>
      <c r="P23" s="2">
        <f t="shared" si="1"/>
        <v>165000</v>
      </c>
      <c r="Q23" s="2">
        <f t="shared" si="2"/>
        <v>24750</v>
      </c>
    </row>
    <row r="24" spans="1:17" ht="15" customHeight="1" x14ac:dyDescent="0.2">
      <c r="A24" s="129" t="s">
        <v>405</v>
      </c>
      <c r="B24" s="43">
        <v>9000</v>
      </c>
      <c r="C24" s="132">
        <v>10</v>
      </c>
      <c r="D24" s="115"/>
      <c r="E24" s="179"/>
      <c r="P24" s="2">
        <f t="shared" si="1"/>
        <v>90000</v>
      </c>
      <c r="Q24" s="2">
        <f t="shared" si="2"/>
        <v>4500</v>
      </c>
    </row>
    <row r="25" spans="1:17" ht="15" customHeight="1" x14ac:dyDescent="0.2">
      <c r="A25" s="129" t="s">
        <v>406</v>
      </c>
      <c r="B25" s="43">
        <v>13000</v>
      </c>
      <c r="C25" s="132">
        <v>8</v>
      </c>
      <c r="D25" s="115"/>
      <c r="E25" s="179"/>
      <c r="P25" s="2">
        <f t="shared" si="1"/>
        <v>104000</v>
      </c>
      <c r="Q25" s="2">
        <f t="shared" si="2"/>
        <v>10400</v>
      </c>
    </row>
    <row r="26" spans="1:17" ht="15" customHeight="1" x14ac:dyDescent="0.2">
      <c r="A26" s="129" t="s">
        <v>407</v>
      </c>
      <c r="B26" s="43">
        <v>12000</v>
      </c>
      <c r="C26" s="132">
        <v>5</v>
      </c>
      <c r="D26" s="115"/>
      <c r="E26" s="179"/>
      <c r="P26" s="2">
        <f t="shared" si="1"/>
        <v>60000</v>
      </c>
      <c r="Q26" s="2">
        <f t="shared" si="2"/>
        <v>3000</v>
      </c>
    </row>
    <row r="27" spans="1:17" ht="15" customHeight="1" x14ac:dyDescent="0.2">
      <c r="A27" s="129" t="s">
        <v>408</v>
      </c>
      <c r="B27" s="43">
        <v>16500</v>
      </c>
      <c r="C27" s="132">
        <v>9</v>
      </c>
      <c r="D27" s="115"/>
      <c r="E27" s="179"/>
      <c r="P27" s="2">
        <f t="shared" si="1"/>
        <v>148500</v>
      </c>
      <c r="Q27" s="2">
        <f t="shared" si="2"/>
        <v>14850</v>
      </c>
    </row>
    <row r="29" spans="1:17" ht="15" customHeight="1" x14ac:dyDescent="0.2">
      <c r="A29" s="421" t="s">
        <v>510</v>
      </c>
      <c r="B29" s="421"/>
    </row>
    <row r="30" spans="1:17" ht="15" customHeight="1" x14ac:dyDescent="0.2">
      <c r="A30" s="43">
        <v>0</v>
      </c>
      <c r="B30" s="133">
        <v>0</v>
      </c>
    </row>
    <row r="31" spans="1:17" ht="15" customHeight="1" x14ac:dyDescent="0.2">
      <c r="A31" s="43">
        <v>50000</v>
      </c>
      <c r="B31" s="133">
        <v>0.05</v>
      </c>
    </row>
    <row r="32" spans="1:17" ht="15" customHeight="1" x14ac:dyDescent="0.25">
      <c r="A32" s="43">
        <v>100000</v>
      </c>
      <c r="B32" s="133">
        <v>0.1</v>
      </c>
      <c r="F32"/>
      <c r="G32"/>
    </row>
    <row r="33" spans="1:7" customFormat="1" ht="15" customHeight="1" x14ac:dyDescent="0.25">
      <c r="A33" s="43">
        <v>150000</v>
      </c>
      <c r="B33" s="133">
        <v>0.15</v>
      </c>
    </row>
    <row r="34" spans="1:7" ht="15" customHeight="1" x14ac:dyDescent="0.25">
      <c r="A34" s="43">
        <v>200000</v>
      </c>
      <c r="B34" s="133">
        <v>0.2</v>
      </c>
      <c r="F34"/>
      <c r="G34"/>
    </row>
    <row r="35" spans="1:7" ht="15" customHeight="1" x14ac:dyDescent="0.2">
      <c r="A35" s="43">
        <v>250000</v>
      </c>
      <c r="B35" s="133">
        <v>0.25</v>
      </c>
    </row>
  </sheetData>
  <sheetProtection sheet="1" objects="1" scenarios="1" formatCells="0"/>
  <protectedRanges>
    <protectedRange sqref="C7:C12 D21:E27" name="Bereich1"/>
  </protectedRanges>
  <mergeCells count="3">
    <mergeCell ref="A2:F3"/>
    <mergeCell ref="A17:F18"/>
    <mergeCell ref="A29:B29"/>
  </mergeCells>
  <conditionalFormatting sqref="C7:C12">
    <cfRule type="expression" dxfId="86" priority="5">
      <formula>AND(C7&lt;&gt;"",C7&lt;&gt;P7)</formula>
    </cfRule>
    <cfRule type="expression" dxfId="85" priority="6">
      <formula>AND(C7&lt;&gt;"",C7=P7)</formula>
    </cfRule>
  </conditionalFormatting>
  <conditionalFormatting sqref="D21:D27">
    <cfRule type="expression" dxfId="84" priority="3">
      <formula>AND(D21&lt;&gt;"",D21&lt;&gt;P21)</formula>
    </cfRule>
    <cfRule type="expression" dxfId="83" priority="4">
      <formula>AND(D21&lt;&gt;"",D21=P21)</formula>
    </cfRule>
  </conditionalFormatting>
  <conditionalFormatting sqref="E21:E27">
    <cfRule type="expression" dxfId="82" priority="1">
      <formula>AND(E21&lt;&gt;"",E21&lt;&gt;Q21)</formula>
    </cfRule>
    <cfRule type="expression" dxfId="81" priority="2">
      <formula>AND(E21&lt;&gt;"",E21=Q21)</formula>
    </cfRule>
  </conditionalFormatting>
  <hyperlinks>
    <hyperlink ref="M2" location="Übersicht!A1" display="Zur Übersicht" xr:uid="{00000000-0004-0000-0F00-000000000000}"/>
  </hyperlinks>
  <pageMargins left="0.25" right="0.25" top="0.75" bottom="0.75" header="0.3" footer="0.3"/>
  <pageSetup paperSize="9" orientation="landscape"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5">
    <tabColor theme="9" tint="-0.249977111117893"/>
  </sheetPr>
  <dimension ref="A1:R35"/>
  <sheetViews>
    <sheetView showGridLines="0" zoomScaleNormal="100" zoomScalePageLayoutView="130" workbookViewId="0">
      <selection activeCell="A30" sqref="A30:B30"/>
    </sheetView>
  </sheetViews>
  <sheetFormatPr baseColWidth="10" defaultColWidth="11.42578125" defaultRowHeight="15" customHeight="1" x14ac:dyDescent="0.2"/>
  <cols>
    <col min="1" max="7" width="23.28515625" style="2" customWidth="1"/>
    <col min="8" max="8" width="13.85546875" style="2" bestFit="1" customWidth="1"/>
    <col min="9" max="12" width="11.42578125" style="2"/>
    <col min="13" max="13" width="12.85546875" style="2" bestFit="1" customWidth="1"/>
    <col min="14" max="15" width="11.42578125" style="2"/>
    <col min="16" max="18" width="11.42578125" style="2" hidden="1" customWidth="1"/>
    <col min="19" max="16384" width="11.42578125" style="2"/>
  </cols>
  <sheetData>
    <row r="1" spans="1:17" ht="15" customHeight="1" thickBot="1" x14ac:dyDescent="0.25"/>
    <row r="2" spans="1:17" ht="15" customHeight="1" x14ac:dyDescent="0.2">
      <c r="A2" s="477" t="s">
        <v>649</v>
      </c>
      <c r="B2" s="478"/>
      <c r="C2" s="478"/>
      <c r="D2" s="478"/>
      <c r="E2" s="478"/>
      <c r="F2" s="478"/>
      <c r="G2" s="478"/>
      <c r="H2" s="479"/>
      <c r="L2" s="306" t="s">
        <v>900</v>
      </c>
      <c r="M2" s="220" t="s">
        <v>732</v>
      </c>
    </row>
    <row r="3" spans="1:17" ht="15" customHeight="1" thickBot="1" x14ac:dyDescent="0.25">
      <c r="A3" s="480"/>
      <c r="B3" s="481"/>
      <c r="C3" s="481"/>
      <c r="D3" s="481"/>
      <c r="E3" s="481"/>
      <c r="F3" s="481"/>
      <c r="G3" s="481"/>
      <c r="H3" s="482"/>
    </row>
    <row r="5" spans="1:17" ht="15" customHeight="1" x14ac:dyDescent="0.2">
      <c r="A5" s="307" t="s">
        <v>65</v>
      </c>
      <c r="B5" s="308" t="s">
        <v>62</v>
      </c>
      <c r="C5" s="308" t="s">
        <v>409</v>
      </c>
      <c r="D5" s="308" t="s">
        <v>418</v>
      </c>
      <c r="E5" s="308" t="s">
        <v>410</v>
      </c>
      <c r="G5" s="307" t="s">
        <v>417</v>
      </c>
      <c r="H5" s="308" t="s">
        <v>418</v>
      </c>
    </row>
    <row r="6" spans="1:17" ht="15" customHeight="1" x14ac:dyDescent="0.2">
      <c r="A6" s="128" t="s">
        <v>411</v>
      </c>
      <c r="B6" s="24">
        <v>1200</v>
      </c>
      <c r="C6" s="46">
        <v>2</v>
      </c>
      <c r="D6" s="179"/>
      <c r="E6" s="115"/>
      <c r="G6" s="46">
        <v>2</v>
      </c>
      <c r="H6" s="135">
        <v>5.0000000000000001E-3</v>
      </c>
      <c r="P6" s="2">
        <f>VLOOKUP(C6,$G$6:$H$15,2,1)*B6</f>
        <v>6</v>
      </c>
      <c r="Q6" s="2">
        <f>B6-P6</f>
        <v>1194</v>
      </c>
    </row>
    <row r="7" spans="1:17" ht="15" customHeight="1" x14ac:dyDescent="0.2">
      <c r="A7" s="128" t="s">
        <v>412</v>
      </c>
      <c r="B7" s="24">
        <v>2300</v>
      </c>
      <c r="C7" s="46">
        <v>6</v>
      </c>
      <c r="D7" s="179"/>
      <c r="E7" s="115"/>
      <c r="G7" s="46">
        <v>4</v>
      </c>
      <c r="H7" s="135">
        <v>1.4999999999999999E-2</v>
      </c>
      <c r="P7" s="2">
        <f t="shared" ref="P7:P11" si="0">VLOOKUP(C7,$G$6:$H$15,2,1)*B7</f>
        <v>46</v>
      </c>
      <c r="Q7" s="2">
        <f t="shared" ref="Q7:Q11" si="1">B7-P7</f>
        <v>2254</v>
      </c>
    </row>
    <row r="8" spans="1:17" ht="15" customHeight="1" x14ac:dyDescent="0.2">
      <c r="A8" s="128" t="s">
        <v>413</v>
      </c>
      <c r="B8" s="24">
        <v>3100</v>
      </c>
      <c r="C8" s="46">
        <v>14</v>
      </c>
      <c r="D8" s="179"/>
      <c r="E8" s="115"/>
      <c r="G8" s="46">
        <v>6</v>
      </c>
      <c r="H8" s="135">
        <v>0.02</v>
      </c>
      <c r="P8" s="2">
        <f t="shared" si="0"/>
        <v>248</v>
      </c>
      <c r="Q8" s="2">
        <f t="shared" si="1"/>
        <v>2852</v>
      </c>
    </row>
    <row r="9" spans="1:17" ht="15" customHeight="1" x14ac:dyDescent="0.2">
      <c r="A9" s="134" t="s">
        <v>414</v>
      </c>
      <c r="B9" s="24">
        <v>3500</v>
      </c>
      <c r="C9" s="46">
        <v>8</v>
      </c>
      <c r="D9" s="179"/>
      <c r="E9" s="115"/>
      <c r="G9" s="46">
        <v>8</v>
      </c>
      <c r="H9" s="135">
        <v>3.5000000000000003E-2</v>
      </c>
      <c r="P9" s="2">
        <f t="shared" si="0"/>
        <v>122.50000000000001</v>
      </c>
      <c r="Q9" s="2">
        <f t="shared" si="1"/>
        <v>3377.5</v>
      </c>
    </row>
    <row r="10" spans="1:17" ht="15" customHeight="1" x14ac:dyDescent="0.2">
      <c r="A10" s="134" t="s">
        <v>415</v>
      </c>
      <c r="B10" s="24">
        <v>2400</v>
      </c>
      <c r="C10" s="46">
        <v>9</v>
      </c>
      <c r="D10" s="179"/>
      <c r="E10" s="115"/>
      <c r="G10" s="46">
        <v>10</v>
      </c>
      <c r="H10" s="136">
        <v>0.04</v>
      </c>
      <c r="P10" s="2">
        <f t="shared" si="0"/>
        <v>84.000000000000014</v>
      </c>
      <c r="Q10" s="2">
        <f t="shared" si="1"/>
        <v>2316</v>
      </c>
    </row>
    <row r="11" spans="1:17" ht="15" customHeight="1" x14ac:dyDescent="0.2">
      <c r="A11" s="134" t="s">
        <v>416</v>
      </c>
      <c r="B11" s="24">
        <v>1200</v>
      </c>
      <c r="C11" s="46">
        <v>20</v>
      </c>
      <c r="D11" s="179"/>
      <c r="E11" s="115"/>
      <c r="G11" s="46">
        <v>12</v>
      </c>
      <c r="H11" s="135">
        <v>6.5000000000000002E-2</v>
      </c>
      <c r="P11" s="2">
        <f t="shared" si="0"/>
        <v>120</v>
      </c>
      <c r="Q11" s="2">
        <f t="shared" si="1"/>
        <v>1080</v>
      </c>
    </row>
    <row r="12" spans="1:17" ht="15" customHeight="1" x14ac:dyDescent="0.25">
      <c r="A12"/>
      <c r="B12"/>
      <c r="C12" s="47"/>
      <c r="D12" s="21"/>
      <c r="E12" s="22"/>
      <c r="G12" s="46">
        <v>14</v>
      </c>
      <c r="H12" s="135">
        <v>0.08</v>
      </c>
    </row>
    <row r="13" spans="1:17" ht="15" customHeight="1" x14ac:dyDescent="0.25">
      <c r="A13"/>
      <c r="B13"/>
      <c r="G13" s="46">
        <v>16</v>
      </c>
      <c r="H13" s="136" t="s">
        <v>419</v>
      </c>
    </row>
    <row r="14" spans="1:17" ht="15" customHeight="1" x14ac:dyDescent="0.25">
      <c r="A14"/>
      <c r="B14"/>
      <c r="G14" s="46">
        <v>18</v>
      </c>
      <c r="H14" s="135">
        <v>0.09</v>
      </c>
    </row>
    <row r="15" spans="1:17" ht="15" customHeight="1" x14ac:dyDescent="0.2">
      <c r="G15" s="46">
        <v>20</v>
      </c>
      <c r="H15" s="135">
        <v>0.1</v>
      </c>
    </row>
    <row r="17" spans="1:18" ht="15" customHeight="1" thickBot="1" x14ac:dyDescent="0.25"/>
    <row r="18" spans="1:18" ht="15" customHeight="1" x14ac:dyDescent="0.2">
      <c r="A18" s="477" t="s">
        <v>438</v>
      </c>
      <c r="B18" s="478"/>
      <c r="C18" s="478"/>
      <c r="D18" s="478"/>
      <c r="E18" s="478"/>
      <c r="F18" s="478"/>
      <c r="G18" s="478"/>
      <c r="H18" s="479"/>
    </row>
    <row r="19" spans="1:18" ht="15" customHeight="1" thickBot="1" x14ac:dyDescent="0.25">
      <c r="A19" s="480"/>
      <c r="B19" s="481"/>
      <c r="C19" s="481"/>
      <c r="D19" s="481"/>
      <c r="E19" s="481"/>
      <c r="F19" s="481"/>
      <c r="G19" s="481"/>
      <c r="H19" s="482"/>
    </row>
    <row r="21" spans="1:18" ht="15" customHeight="1" x14ac:dyDescent="0.2">
      <c r="A21" s="307" t="s">
        <v>121</v>
      </c>
      <c r="B21" s="308" t="s">
        <v>420</v>
      </c>
      <c r="C21" s="308" t="s">
        <v>421</v>
      </c>
      <c r="D21" s="308" t="s">
        <v>422</v>
      </c>
      <c r="E21" s="308" t="s">
        <v>423</v>
      </c>
      <c r="F21" s="308" t="s">
        <v>424</v>
      </c>
      <c r="G21" s="308" t="s">
        <v>425</v>
      </c>
    </row>
    <row r="22" spans="1:18" ht="15" customHeight="1" x14ac:dyDescent="0.2">
      <c r="A22" s="128" t="s">
        <v>426</v>
      </c>
      <c r="B22" s="44" t="s">
        <v>427</v>
      </c>
      <c r="C22" s="138"/>
      <c r="D22" s="137">
        <f ca="1">DATE(YEAR(TODAY())-1,10,27)</f>
        <v>45592</v>
      </c>
      <c r="E22" s="137">
        <f ca="1">DATE(YEAR(TODAY())-1,10,30)</f>
        <v>45595</v>
      </c>
      <c r="F22" s="76"/>
      <c r="G22" s="138"/>
      <c r="P22" s="2">
        <f>VLOOKUP(B22,$A$31:$B$35,2,0)</f>
        <v>129</v>
      </c>
      <c r="Q22" s="2">
        <f ca="1">E22-D22</f>
        <v>3</v>
      </c>
      <c r="R22" s="2">
        <f ca="1">Q22*P22</f>
        <v>387</v>
      </c>
    </row>
    <row r="23" spans="1:18" ht="15" customHeight="1" x14ac:dyDescent="0.2">
      <c r="A23" s="128" t="s">
        <v>428</v>
      </c>
      <c r="B23" s="44" t="s">
        <v>429</v>
      </c>
      <c r="C23" s="138"/>
      <c r="D23" s="137">
        <f ca="1">DATE(YEAR(TODAY())-1,10,13)</f>
        <v>45578</v>
      </c>
      <c r="E23" s="137">
        <f ca="1">DATE(YEAR(TODAY())-1,10,28)</f>
        <v>45593</v>
      </c>
      <c r="F23" s="76"/>
      <c r="G23" s="138"/>
      <c r="P23" s="2">
        <f t="shared" ref="P23:P28" si="2">VLOOKUP(B23,$A$31:$B$35,2,0)</f>
        <v>1000</v>
      </c>
      <c r="Q23" s="2">
        <f t="shared" ref="Q23:Q28" ca="1" si="3">E23-D23</f>
        <v>15</v>
      </c>
      <c r="R23" s="2">
        <f t="shared" ref="R23:R28" ca="1" si="4">Q23*P23</f>
        <v>15000</v>
      </c>
    </row>
    <row r="24" spans="1:18" ht="15" customHeight="1" x14ac:dyDescent="0.2">
      <c r="A24" s="128" t="s">
        <v>430</v>
      </c>
      <c r="B24" s="44" t="s">
        <v>431</v>
      </c>
      <c r="C24" s="138"/>
      <c r="D24" s="137">
        <f ca="1">DATE(YEAR(TODAY())-1,10,9)</f>
        <v>45574</v>
      </c>
      <c r="E24" s="137">
        <f ca="1">DATE(YEAR(TODAY())-1,10,20)</f>
        <v>45585</v>
      </c>
      <c r="F24" s="76"/>
      <c r="G24" s="138"/>
      <c r="P24" s="2">
        <f t="shared" si="2"/>
        <v>259</v>
      </c>
      <c r="Q24" s="2">
        <f t="shared" ca="1" si="3"/>
        <v>11</v>
      </c>
      <c r="R24" s="2">
        <f t="shared" ca="1" si="4"/>
        <v>2849</v>
      </c>
    </row>
    <row r="25" spans="1:18" ht="15" customHeight="1" x14ac:dyDescent="0.2">
      <c r="A25" s="134" t="s">
        <v>432</v>
      </c>
      <c r="B25" s="45" t="s">
        <v>427</v>
      </c>
      <c r="C25" s="138"/>
      <c r="D25" s="137">
        <f ca="1">DATE(YEAR(TODAY())-1,10,4)</f>
        <v>45569</v>
      </c>
      <c r="E25" s="137">
        <f ca="1">DATE(YEAR(TODAY())-1,10,20)</f>
        <v>45585</v>
      </c>
      <c r="F25" s="76"/>
      <c r="G25" s="138"/>
      <c r="P25" s="2">
        <f t="shared" si="2"/>
        <v>129</v>
      </c>
      <c r="Q25" s="2">
        <f t="shared" ca="1" si="3"/>
        <v>16</v>
      </c>
      <c r="R25" s="2">
        <f t="shared" ca="1" si="4"/>
        <v>2064</v>
      </c>
    </row>
    <row r="26" spans="1:18" ht="15" customHeight="1" x14ac:dyDescent="0.2">
      <c r="A26" s="134" t="s">
        <v>433</v>
      </c>
      <c r="B26" s="45" t="s">
        <v>434</v>
      </c>
      <c r="C26" s="138"/>
      <c r="D26" s="137">
        <f ca="1">DATE(YEAR(TODAY())-1,9,22)</f>
        <v>45557</v>
      </c>
      <c r="E26" s="137">
        <f ca="1">DATE(YEAR(TODAY())-1,10,10)</f>
        <v>45575</v>
      </c>
      <c r="F26" s="76"/>
      <c r="G26" s="138"/>
      <c r="P26" s="2">
        <f t="shared" si="2"/>
        <v>600</v>
      </c>
      <c r="Q26" s="2">
        <f t="shared" ca="1" si="3"/>
        <v>18</v>
      </c>
      <c r="R26" s="2">
        <f t="shared" ca="1" si="4"/>
        <v>10800</v>
      </c>
    </row>
    <row r="27" spans="1:18" ht="15" customHeight="1" x14ac:dyDescent="0.2">
      <c r="A27" s="134" t="s">
        <v>435</v>
      </c>
      <c r="B27" s="45" t="s">
        <v>427</v>
      </c>
      <c r="C27" s="138"/>
      <c r="D27" s="137">
        <f ca="1">DATE(YEAR(TODAY())-1,9,19)</f>
        <v>45554</v>
      </c>
      <c r="E27" s="137">
        <f ca="1">DATE(YEAR(TODAY())-1,10,5)</f>
        <v>45570</v>
      </c>
      <c r="F27" s="76"/>
      <c r="G27" s="138"/>
      <c r="P27" s="2">
        <f t="shared" si="2"/>
        <v>129</v>
      </c>
      <c r="Q27" s="2">
        <f t="shared" ca="1" si="3"/>
        <v>16</v>
      </c>
      <c r="R27" s="2">
        <f t="shared" ca="1" si="4"/>
        <v>2064</v>
      </c>
    </row>
    <row r="28" spans="1:18" ht="15" customHeight="1" x14ac:dyDescent="0.2">
      <c r="A28" s="134" t="s">
        <v>436</v>
      </c>
      <c r="B28" s="45" t="s">
        <v>437</v>
      </c>
      <c r="C28" s="138"/>
      <c r="D28" s="137">
        <f ca="1">DATE(YEAR(TODAY())-1,9,10)</f>
        <v>45545</v>
      </c>
      <c r="E28" s="139">
        <f ca="1">DATE(YEAR(TODAY())-1,10,2)</f>
        <v>45567</v>
      </c>
      <c r="F28" s="76"/>
      <c r="G28" s="138"/>
      <c r="P28" s="2">
        <f t="shared" si="2"/>
        <v>3592</v>
      </c>
      <c r="Q28" s="2">
        <f t="shared" ca="1" si="3"/>
        <v>22</v>
      </c>
      <c r="R28" s="2">
        <f t="shared" ca="1" si="4"/>
        <v>79024</v>
      </c>
    </row>
    <row r="30" spans="1:18" ht="15" customHeight="1" x14ac:dyDescent="0.2">
      <c r="A30" s="483" t="s">
        <v>421</v>
      </c>
      <c r="B30" s="483"/>
    </row>
    <row r="31" spans="1:18" ht="15" customHeight="1" x14ac:dyDescent="0.2">
      <c r="A31" s="140" t="s">
        <v>431</v>
      </c>
      <c r="B31" s="141">
        <v>259</v>
      </c>
    </row>
    <row r="32" spans="1:18" ht="15" customHeight="1" x14ac:dyDescent="0.2">
      <c r="A32" s="140" t="s">
        <v>427</v>
      </c>
      <c r="B32" s="141">
        <v>129</v>
      </c>
    </row>
    <row r="33" spans="1:7" ht="15" customHeight="1" x14ac:dyDescent="0.2">
      <c r="A33" s="140" t="s">
        <v>429</v>
      </c>
      <c r="B33" s="141">
        <v>1000</v>
      </c>
    </row>
    <row r="34" spans="1:7" ht="15" customHeight="1" x14ac:dyDescent="0.25">
      <c r="A34" s="140" t="s">
        <v>437</v>
      </c>
      <c r="B34" s="141">
        <v>3592</v>
      </c>
      <c r="C34" s="23"/>
      <c r="D34"/>
      <c r="E34"/>
      <c r="F34" s="15"/>
      <c r="G34" s="23"/>
    </row>
    <row r="35" spans="1:7" ht="15" customHeight="1" x14ac:dyDescent="0.2">
      <c r="A35" s="140" t="s">
        <v>434</v>
      </c>
      <c r="B35" s="141">
        <v>600</v>
      </c>
    </row>
  </sheetData>
  <sheetProtection sheet="1" objects="1" scenarios="1" formatCells="0"/>
  <protectedRanges>
    <protectedRange sqref="D6:E11 C22:C28 F22:G28" name="Bereich1"/>
  </protectedRanges>
  <mergeCells count="3">
    <mergeCell ref="A30:B30"/>
    <mergeCell ref="A2:H3"/>
    <mergeCell ref="A18:H19"/>
  </mergeCells>
  <conditionalFormatting sqref="D6:D11">
    <cfRule type="expression" dxfId="80" priority="9">
      <formula>AND(D6&lt;&gt;"",D6&lt;&gt;P6)</formula>
    </cfRule>
    <cfRule type="expression" dxfId="79" priority="10">
      <formula>AND(D6&lt;&gt;"",D6=P6)</formula>
    </cfRule>
  </conditionalFormatting>
  <conditionalFormatting sqref="E6:E11">
    <cfRule type="expression" dxfId="78" priority="7">
      <formula>AND(E6&lt;&gt;"",E6&lt;&gt;Q6)</formula>
    </cfRule>
    <cfRule type="expression" dxfId="77" priority="8">
      <formula>AND(E6&lt;&gt;"",E6=Q6)</formula>
    </cfRule>
  </conditionalFormatting>
  <conditionalFormatting sqref="C22:C28">
    <cfRule type="expression" dxfId="76" priority="5">
      <formula>AND(C22&lt;&gt;"",C22&lt;&gt;P22)</formula>
    </cfRule>
    <cfRule type="expression" dxfId="75" priority="6">
      <formula>AND(C22&lt;&gt;"",C22=P22)</formula>
    </cfRule>
  </conditionalFormatting>
  <conditionalFormatting sqref="F22:F28">
    <cfRule type="expression" dxfId="74" priority="3">
      <formula>AND(F22&lt;&gt;"",F22&lt;&gt;Q22)</formula>
    </cfRule>
    <cfRule type="expression" dxfId="73" priority="4">
      <formula>AND(F22&lt;&gt;"",F22=Q22)</formula>
    </cfRule>
  </conditionalFormatting>
  <conditionalFormatting sqref="G22:G28">
    <cfRule type="expression" dxfId="72" priority="1">
      <formula>AND(G22&lt;&gt;"",G22&lt;&gt;R22)</formula>
    </cfRule>
    <cfRule type="expression" dxfId="71" priority="2">
      <formula>AND(G22&lt;&gt;"",G22=R22)</formula>
    </cfRule>
  </conditionalFormatting>
  <hyperlinks>
    <hyperlink ref="M2" location="Übersicht!A1" display="Zur Übersicht" xr:uid="{00000000-0004-0000-1000-000000000000}"/>
  </hyperlinks>
  <pageMargins left="0.25" right="0.25" top="0.75" bottom="0.75" header="0.3" footer="0.3"/>
  <pageSetup paperSize="9" orientation="landscape"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6">
    <tabColor theme="9" tint="-0.249977111117893"/>
  </sheetPr>
  <dimension ref="A1:R43"/>
  <sheetViews>
    <sheetView showGridLines="0" zoomScaleNormal="100" zoomScalePageLayoutView="130" workbookViewId="0">
      <selection activeCell="J34" sqref="J34"/>
    </sheetView>
  </sheetViews>
  <sheetFormatPr baseColWidth="10" defaultColWidth="11.42578125" defaultRowHeight="15" customHeight="1" x14ac:dyDescent="0.2"/>
  <cols>
    <col min="1" max="7" width="23.42578125" style="2" customWidth="1"/>
    <col min="8" max="12" width="11.42578125" style="2"/>
    <col min="13" max="13" width="12.85546875" style="2" bestFit="1" customWidth="1"/>
    <col min="14" max="15" width="11.42578125" style="2"/>
    <col min="16" max="18" width="11.42578125" style="2" hidden="1" customWidth="1"/>
    <col min="19" max="16384" width="11.42578125" style="2"/>
  </cols>
  <sheetData>
    <row r="1" spans="1:18" ht="15" customHeight="1" thickBot="1" x14ac:dyDescent="0.25"/>
    <row r="2" spans="1:18" ht="15" customHeight="1" x14ac:dyDescent="0.2">
      <c r="A2" s="369" t="s">
        <v>508</v>
      </c>
      <c r="B2" s="370"/>
      <c r="C2" s="370"/>
      <c r="D2" s="370"/>
      <c r="E2" s="370"/>
      <c r="F2" s="370"/>
      <c r="G2" s="371"/>
      <c r="L2" s="306" t="s">
        <v>900</v>
      </c>
      <c r="M2" s="220" t="s">
        <v>732</v>
      </c>
    </row>
    <row r="3" spans="1:18" ht="15" customHeight="1" thickBot="1" x14ac:dyDescent="0.25">
      <c r="A3" s="375"/>
      <c r="B3" s="376"/>
      <c r="C3" s="376"/>
      <c r="D3" s="376"/>
      <c r="E3" s="376"/>
      <c r="F3" s="376"/>
      <c r="G3" s="377"/>
    </row>
    <row r="5" spans="1:18" ht="15" customHeight="1" x14ac:dyDescent="0.2">
      <c r="A5" s="116" t="s">
        <v>439</v>
      </c>
      <c r="B5" s="117" t="s">
        <v>440</v>
      </c>
      <c r="C5" s="117" t="s">
        <v>441</v>
      </c>
      <c r="D5" s="117" t="s">
        <v>320</v>
      </c>
    </row>
    <row r="6" spans="1:18" ht="15" customHeight="1" x14ac:dyDescent="0.2">
      <c r="A6" s="74" t="s">
        <v>442</v>
      </c>
      <c r="B6" s="13">
        <v>600</v>
      </c>
      <c r="C6" s="12">
        <v>1200</v>
      </c>
      <c r="D6" s="31">
        <v>200</v>
      </c>
    </row>
    <row r="7" spans="1:18" ht="15" customHeight="1" x14ac:dyDescent="0.2">
      <c r="A7" s="74" t="s">
        <v>443</v>
      </c>
      <c r="B7" s="13">
        <v>388</v>
      </c>
      <c r="C7" s="12">
        <v>2000</v>
      </c>
      <c r="D7" s="31">
        <v>120</v>
      </c>
    </row>
    <row r="8" spans="1:18" ht="15" customHeight="1" x14ac:dyDescent="0.2">
      <c r="A8" s="74" t="s">
        <v>444</v>
      </c>
      <c r="B8" s="13">
        <v>499</v>
      </c>
      <c r="C8" s="12">
        <v>3220</v>
      </c>
      <c r="D8" s="31">
        <v>230</v>
      </c>
    </row>
    <row r="9" spans="1:18" ht="15" customHeight="1" x14ac:dyDescent="0.2">
      <c r="A9" s="74" t="s">
        <v>445</v>
      </c>
      <c r="B9" s="13">
        <v>554</v>
      </c>
      <c r="C9" s="12">
        <v>1230</v>
      </c>
      <c r="D9" s="31">
        <v>215</v>
      </c>
    </row>
    <row r="10" spans="1:18" ht="15" customHeight="1" x14ac:dyDescent="0.2">
      <c r="A10" s="74" t="s">
        <v>446</v>
      </c>
      <c r="B10" s="13">
        <v>336</v>
      </c>
      <c r="C10" s="12">
        <v>3222</v>
      </c>
      <c r="D10" s="31">
        <v>330</v>
      </c>
    </row>
    <row r="11" spans="1:18" ht="15" customHeight="1" x14ac:dyDescent="0.2">
      <c r="A11" s="74" t="s">
        <v>447</v>
      </c>
      <c r="B11" s="13">
        <v>755</v>
      </c>
      <c r="C11" s="12">
        <v>2333</v>
      </c>
      <c r="D11" s="31">
        <v>100</v>
      </c>
    </row>
    <row r="12" spans="1:18" ht="15" customHeight="1" x14ac:dyDescent="0.2">
      <c r="A12" s="74" t="s">
        <v>448</v>
      </c>
      <c r="B12" s="13">
        <v>316</v>
      </c>
      <c r="C12" s="12">
        <v>2312</v>
      </c>
      <c r="D12" s="31">
        <v>90</v>
      </c>
    </row>
    <row r="13" spans="1:18" ht="15" customHeight="1" x14ac:dyDescent="0.2">
      <c r="A13" s="74" t="s">
        <v>449</v>
      </c>
      <c r="B13" s="13">
        <v>642</v>
      </c>
      <c r="C13" s="12">
        <v>4253</v>
      </c>
      <c r="D13" s="31">
        <v>400</v>
      </c>
    </row>
    <row r="14" spans="1:18" ht="15" customHeight="1" x14ac:dyDescent="0.2">
      <c r="A14" s="18"/>
      <c r="B14" s="19"/>
      <c r="C14" s="20"/>
      <c r="D14" s="4"/>
    </row>
    <row r="15" spans="1:18" ht="15" customHeight="1" x14ac:dyDescent="0.2">
      <c r="A15" s="116" t="s">
        <v>439</v>
      </c>
      <c r="B15" s="117" t="s">
        <v>440</v>
      </c>
      <c r="C15" s="117" t="s">
        <v>441</v>
      </c>
      <c r="D15" s="117" t="s">
        <v>320</v>
      </c>
    </row>
    <row r="16" spans="1:18" ht="15" customHeight="1" x14ac:dyDescent="0.2">
      <c r="A16" s="74" t="s">
        <v>445</v>
      </c>
      <c r="B16" s="90"/>
      <c r="C16" s="90"/>
      <c r="D16" s="90"/>
      <c r="P16" s="2">
        <f>VLOOKUP($A16,$A$6:$D$13,COLUMN(B:B),0)</f>
        <v>554</v>
      </c>
      <c r="Q16" s="2">
        <f t="shared" ref="Q16:R20" si="0">VLOOKUP($A16,$A$6:$D$13,COLUMN(C:C),0)</f>
        <v>1230</v>
      </c>
      <c r="R16" s="2">
        <f t="shared" si="0"/>
        <v>215</v>
      </c>
    </row>
    <row r="17" spans="1:18" ht="15" customHeight="1" x14ac:dyDescent="0.2">
      <c r="A17" s="74" t="s">
        <v>446</v>
      </c>
      <c r="B17" s="90"/>
      <c r="C17" s="90"/>
      <c r="D17" s="90"/>
      <c r="P17" s="2">
        <f t="shared" ref="P17:P20" si="1">VLOOKUP($A17,$A$6:$D$13,COLUMN(B:B),0)</f>
        <v>336</v>
      </c>
      <c r="Q17" s="2">
        <f t="shared" si="0"/>
        <v>3222</v>
      </c>
      <c r="R17" s="2">
        <f t="shared" si="0"/>
        <v>330</v>
      </c>
    </row>
    <row r="18" spans="1:18" ht="15" customHeight="1" x14ac:dyDescent="0.2">
      <c r="A18" s="74" t="s">
        <v>444</v>
      </c>
      <c r="B18" s="90"/>
      <c r="C18" s="90"/>
      <c r="D18" s="90"/>
      <c r="P18" s="2">
        <f t="shared" si="1"/>
        <v>499</v>
      </c>
      <c r="Q18" s="2">
        <f t="shared" si="0"/>
        <v>3220</v>
      </c>
      <c r="R18" s="2">
        <f t="shared" si="0"/>
        <v>230</v>
      </c>
    </row>
    <row r="19" spans="1:18" ht="15" customHeight="1" x14ac:dyDescent="0.2">
      <c r="A19" s="74" t="s">
        <v>448</v>
      </c>
      <c r="B19" s="90"/>
      <c r="C19" s="90"/>
      <c r="D19" s="90"/>
      <c r="P19" s="2">
        <f t="shared" si="1"/>
        <v>316</v>
      </c>
      <c r="Q19" s="2">
        <f t="shared" si="0"/>
        <v>2312</v>
      </c>
      <c r="R19" s="2">
        <f t="shared" si="0"/>
        <v>90</v>
      </c>
    </row>
    <row r="20" spans="1:18" ht="15" customHeight="1" x14ac:dyDescent="0.2">
      <c r="A20" s="74" t="s">
        <v>442</v>
      </c>
      <c r="B20" s="90"/>
      <c r="C20" s="90"/>
      <c r="D20" s="90"/>
      <c r="P20" s="2">
        <f t="shared" si="1"/>
        <v>600</v>
      </c>
      <c r="Q20" s="2">
        <f t="shared" si="0"/>
        <v>1200</v>
      </c>
      <c r="R20" s="2">
        <f t="shared" si="0"/>
        <v>200</v>
      </c>
    </row>
    <row r="22" spans="1:18" ht="15" customHeight="1" thickBot="1" x14ac:dyDescent="0.25"/>
    <row r="23" spans="1:18" ht="15" customHeight="1" x14ac:dyDescent="0.2">
      <c r="A23" s="369" t="s">
        <v>470</v>
      </c>
      <c r="B23" s="370"/>
      <c r="C23" s="370"/>
      <c r="D23" s="370"/>
      <c r="E23" s="370"/>
      <c r="F23" s="370"/>
      <c r="G23" s="371"/>
    </row>
    <row r="24" spans="1:18" ht="15" customHeight="1" thickBot="1" x14ac:dyDescent="0.25">
      <c r="A24" s="375"/>
      <c r="B24" s="376"/>
      <c r="C24" s="376"/>
      <c r="D24" s="376"/>
      <c r="E24" s="376"/>
      <c r="F24" s="376"/>
      <c r="G24" s="377"/>
    </row>
    <row r="26" spans="1:18" ht="15" customHeight="1" x14ac:dyDescent="0.2">
      <c r="A26" s="116" t="s">
        <v>121</v>
      </c>
      <c r="B26" s="117" t="s">
        <v>450</v>
      </c>
      <c r="C26" s="117" t="s">
        <v>468</v>
      </c>
      <c r="D26" s="117" t="s">
        <v>451</v>
      </c>
      <c r="E26" s="117" t="s">
        <v>452</v>
      </c>
      <c r="F26" s="117" t="s">
        <v>453</v>
      </c>
      <c r="G26" s="117" t="s">
        <v>24</v>
      </c>
    </row>
    <row r="27" spans="1:18" ht="15" customHeight="1" x14ac:dyDescent="0.2">
      <c r="A27" s="27" t="s">
        <v>454</v>
      </c>
      <c r="B27" s="27" t="s">
        <v>455</v>
      </c>
      <c r="C27" s="138"/>
      <c r="D27" s="142">
        <f ca="1">TODAY()-11</f>
        <v>45744</v>
      </c>
      <c r="E27" s="142">
        <f ca="1">TODAY()-9</f>
        <v>45746</v>
      </c>
      <c r="F27" s="76"/>
      <c r="G27" s="138"/>
      <c r="P27" s="2">
        <f>VLOOKUP(B27,$A$36:$B$43,2,0)</f>
        <v>750</v>
      </c>
      <c r="Q27" s="2">
        <f ca="1">E27-D27</f>
        <v>2</v>
      </c>
      <c r="R27" s="2">
        <f ca="1">P27*Q27</f>
        <v>1500</v>
      </c>
    </row>
    <row r="28" spans="1:18" ht="15" customHeight="1" x14ac:dyDescent="0.2">
      <c r="A28" s="27" t="s">
        <v>456</v>
      </c>
      <c r="B28" s="27" t="s">
        <v>457</v>
      </c>
      <c r="C28" s="138"/>
      <c r="D28" s="142">
        <f ca="1">TODAY()-19</f>
        <v>45736</v>
      </c>
      <c r="E28" s="142">
        <f ca="1">TODAY()-13</f>
        <v>45742</v>
      </c>
      <c r="F28" s="76"/>
      <c r="G28" s="138"/>
      <c r="P28" s="2">
        <f t="shared" ref="P28:P33" si="2">VLOOKUP(B28,$A$36:$B$43,2,0)</f>
        <v>800</v>
      </c>
      <c r="Q28" s="2">
        <f t="shared" ref="Q28:Q33" ca="1" si="3">E28-D28</f>
        <v>6</v>
      </c>
      <c r="R28" s="2">
        <f t="shared" ref="R28:R33" ca="1" si="4">P28*Q28</f>
        <v>4800</v>
      </c>
    </row>
    <row r="29" spans="1:18" ht="15" customHeight="1" x14ac:dyDescent="0.2">
      <c r="A29" s="27" t="s">
        <v>458</v>
      </c>
      <c r="B29" s="27" t="s">
        <v>459</v>
      </c>
      <c r="C29" s="138"/>
      <c r="D29" s="142">
        <f ca="1">TODAY()-20</f>
        <v>45735</v>
      </c>
      <c r="E29" s="142">
        <f ca="1">TODAY()-15</f>
        <v>45740</v>
      </c>
      <c r="F29" s="76"/>
      <c r="G29" s="138"/>
      <c r="P29" s="2">
        <f t="shared" si="2"/>
        <v>600</v>
      </c>
      <c r="Q29" s="2">
        <f t="shared" ca="1" si="3"/>
        <v>5</v>
      </c>
      <c r="R29" s="2">
        <f t="shared" ca="1" si="4"/>
        <v>3000</v>
      </c>
    </row>
    <row r="30" spans="1:18" ht="15" customHeight="1" x14ac:dyDescent="0.2">
      <c r="A30" s="27" t="s">
        <v>460</v>
      </c>
      <c r="B30" s="27" t="s">
        <v>461</v>
      </c>
      <c r="C30" s="138"/>
      <c r="D30" s="142">
        <f ca="1">TODAY()-34</f>
        <v>45721</v>
      </c>
      <c r="E30" s="142">
        <f ca="1">TODAY()-30</f>
        <v>45725</v>
      </c>
      <c r="F30" s="76"/>
      <c r="G30" s="138"/>
      <c r="P30" s="2">
        <f t="shared" si="2"/>
        <v>1500</v>
      </c>
      <c r="Q30" s="2">
        <f t="shared" ca="1" si="3"/>
        <v>4</v>
      </c>
      <c r="R30" s="2">
        <f t="shared" ca="1" si="4"/>
        <v>6000</v>
      </c>
    </row>
    <row r="31" spans="1:18" ht="15" customHeight="1" x14ac:dyDescent="0.2">
      <c r="A31" s="27" t="s">
        <v>462</v>
      </c>
      <c r="B31" s="27" t="s">
        <v>463</v>
      </c>
      <c r="C31" s="138"/>
      <c r="D31" s="142">
        <f ca="1">TODAY()-39</f>
        <v>45716</v>
      </c>
      <c r="E31" s="142">
        <f ca="1">TODAY()-35</f>
        <v>45720</v>
      </c>
      <c r="F31" s="76"/>
      <c r="G31" s="138"/>
      <c r="P31" s="2">
        <f t="shared" si="2"/>
        <v>750</v>
      </c>
      <c r="Q31" s="2">
        <f t="shared" ca="1" si="3"/>
        <v>4</v>
      </c>
      <c r="R31" s="2">
        <f t="shared" ca="1" si="4"/>
        <v>3000</v>
      </c>
    </row>
    <row r="32" spans="1:18" ht="15" customHeight="1" x14ac:dyDescent="0.2">
      <c r="A32" s="27" t="s">
        <v>464</v>
      </c>
      <c r="B32" s="27" t="s">
        <v>465</v>
      </c>
      <c r="C32" s="138"/>
      <c r="D32" s="142">
        <f ca="1">TODAY()-64</f>
        <v>45691</v>
      </c>
      <c r="E32" s="142">
        <f ca="1">TODAY()-60</f>
        <v>45695</v>
      </c>
      <c r="F32" s="76"/>
      <c r="G32" s="138"/>
      <c r="P32" s="2">
        <f t="shared" si="2"/>
        <v>800</v>
      </c>
      <c r="Q32" s="2">
        <f t="shared" ca="1" si="3"/>
        <v>4</v>
      </c>
      <c r="R32" s="2">
        <f t="shared" ca="1" si="4"/>
        <v>3200</v>
      </c>
    </row>
    <row r="33" spans="1:18" ht="15" customHeight="1" x14ac:dyDescent="0.2">
      <c r="A33" s="27" t="s">
        <v>466</v>
      </c>
      <c r="B33" s="27" t="s">
        <v>467</v>
      </c>
      <c r="C33" s="138"/>
      <c r="D33" s="142">
        <f ca="1">TODAY()-66</f>
        <v>45689</v>
      </c>
      <c r="E33" s="142">
        <f ca="1">TODAY()-60</f>
        <v>45695</v>
      </c>
      <c r="F33" s="76"/>
      <c r="G33" s="138"/>
      <c r="P33" s="2">
        <f t="shared" si="2"/>
        <v>1400</v>
      </c>
      <c r="Q33" s="2">
        <f t="shared" ca="1" si="3"/>
        <v>6</v>
      </c>
      <c r="R33" s="2">
        <f t="shared" ca="1" si="4"/>
        <v>8400</v>
      </c>
    </row>
    <row r="35" spans="1:18" ht="15" customHeight="1" x14ac:dyDescent="0.25">
      <c r="A35" s="116" t="s">
        <v>450</v>
      </c>
      <c r="B35" s="117" t="s">
        <v>468</v>
      </c>
      <c r="C35"/>
      <c r="D35"/>
      <c r="E35" s="14"/>
      <c r="F35" s="15"/>
      <c r="G35" s="16"/>
    </row>
    <row r="36" spans="1:18" x14ac:dyDescent="0.25">
      <c r="A36" s="143" t="s">
        <v>457</v>
      </c>
      <c r="B36" s="144">
        <v>800</v>
      </c>
      <c r="C36"/>
      <c r="D36"/>
    </row>
    <row r="37" spans="1:18" ht="15" customHeight="1" x14ac:dyDescent="0.2">
      <c r="A37" s="143" t="s">
        <v>463</v>
      </c>
      <c r="B37" s="144">
        <v>750</v>
      </c>
      <c r="C37" s="17"/>
      <c r="D37" s="17"/>
    </row>
    <row r="38" spans="1:18" ht="15" customHeight="1" x14ac:dyDescent="0.2">
      <c r="A38" s="143" t="s">
        <v>469</v>
      </c>
      <c r="B38" s="144">
        <v>550</v>
      </c>
    </row>
    <row r="39" spans="1:18" ht="15" customHeight="1" x14ac:dyDescent="0.2">
      <c r="A39" s="143" t="s">
        <v>459</v>
      </c>
      <c r="B39" s="144">
        <v>600</v>
      </c>
    </row>
    <row r="40" spans="1:18" ht="15" customHeight="1" x14ac:dyDescent="0.2">
      <c r="A40" s="143" t="s">
        <v>461</v>
      </c>
      <c r="B40" s="144">
        <v>1500</v>
      </c>
    </row>
    <row r="41" spans="1:18" ht="15" customHeight="1" x14ac:dyDescent="0.2">
      <c r="A41" s="143" t="s">
        <v>467</v>
      </c>
      <c r="B41" s="144">
        <v>1400</v>
      </c>
    </row>
    <row r="42" spans="1:18" ht="15" customHeight="1" x14ac:dyDescent="0.2">
      <c r="A42" s="143" t="s">
        <v>465</v>
      </c>
      <c r="B42" s="144">
        <v>800</v>
      </c>
    </row>
    <row r="43" spans="1:18" ht="15" customHeight="1" x14ac:dyDescent="0.2">
      <c r="A43" s="143" t="s">
        <v>455</v>
      </c>
      <c r="B43" s="144">
        <v>750</v>
      </c>
      <c r="L43" s="306" t="s">
        <v>900</v>
      </c>
      <c r="M43" s="220" t="s">
        <v>732</v>
      </c>
    </row>
  </sheetData>
  <sheetProtection sheet="1" objects="1" scenarios="1" formatCells="0"/>
  <protectedRanges>
    <protectedRange sqref="B16:D20 C27:C33 F27:G33" name="Bereich1"/>
  </protectedRanges>
  <mergeCells count="2">
    <mergeCell ref="A23:G24"/>
    <mergeCell ref="A2:G3"/>
  </mergeCells>
  <conditionalFormatting sqref="B16:D20">
    <cfRule type="expression" dxfId="70" priority="11">
      <formula>AND(B16&lt;&gt;"",B16&lt;&gt;P16)</formula>
    </cfRule>
    <cfRule type="expression" dxfId="69" priority="12">
      <formula>AND(B16&lt;&gt;"",B16=P16)</formula>
    </cfRule>
  </conditionalFormatting>
  <conditionalFormatting sqref="C27:C33">
    <cfRule type="expression" dxfId="68" priority="5">
      <formula>AND(C27&lt;&gt;"",C27&lt;&gt;P27)</formula>
    </cfRule>
    <cfRule type="expression" dxfId="67" priority="6">
      <formula>AND(C27&lt;&gt;"",C27=P27)</formula>
    </cfRule>
  </conditionalFormatting>
  <conditionalFormatting sqref="F27:F33">
    <cfRule type="expression" dxfId="66" priority="3">
      <formula>AND(F27&lt;&gt;"",F27&lt;&gt;Q27)</formula>
    </cfRule>
    <cfRule type="expression" dxfId="65" priority="4">
      <formula>AND(F27&lt;&gt;"",F27=Q27)</formula>
    </cfRule>
  </conditionalFormatting>
  <conditionalFormatting sqref="G27:G33">
    <cfRule type="expression" dxfId="64" priority="1">
      <formula>AND(G27&lt;&gt;"",G27&lt;&gt;R27)</formula>
    </cfRule>
    <cfRule type="expression" dxfId="63" priority="2">
      <formula>AND(G27&lt;&gt;"",G27=R27)</formula>
    </cfRule>
  </conditionalFormatting>
  <hyperlinks>
    <hyperlink ref="M2" location="Übersicht!A1" display="Zur Übersicht" xr:uid="{00000000-0004-0000-1100-000000000000}"/>
    <hyperlink ref="M43" location="Übersicht!A1" display="Zur Übersicht" xr:uid="{00000000-0004-0000-1100-000001000000}"/>
  </hyperlinks>
  <pageMargins left="0.25" right="0.25" top="0.75" bottom="0.75" header="0.3" footer="0.3"/>
  <pageSetup paperSize="9" orientation="landscape"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6">
    <tabColor theme="7" tint="-0.499984740745262"/>
  </sheetPr>
  <dimension ref="A1:T24"/>
  <sheetViews>
    <sheetView showGridLines="0" workbookViewId="0">
      <selection activeCell="L28" sqref="L28"/>
    </sheetView>
  </sheetViews>
  <sheetFormatPr baseColWidth="10" defaultRowHeight="15" customHeight="1" x14ac:dyDescent="0.2"/>
  <cols>
    <col min="1" max="5" width="18.7109375" style="2" customWidth="1"/>
    <col min="6" max="7" width="20.5703125" style="2" customWidth="1"/>
    <col min="8" max="8" width="18.7109375" style="2" customWidth="1"/>
    <col min="9" max="12" width="11.42578125" style="2"/>
    <col min="13" max="13" width="12.85546875" style="2" bestFit="1" customWidth="1"/>
    <col min="14" max="14" width="11.42578125" style="2"/>
    <col min="15" max="20" width="11.42578125" style="2" hidden="1" customWidth="1"/>
    <col min="21" max="16384" width="11.42578125" style="2"/>
  </cols>
  <sheetData>
    <row r="1" spans="1:20" ht="15" customHeight="1" thickBot="1" x14ac:dyDescent="0.25"/>
    <row r="2" spans="1:20" ht="15" customHeight="1" x14ac:dyDescent="0.2">
      <c r="A2" s="458" t="s">
        <v>844</v>
      </c>
      <c r="B2" s="459"/>
      <c r="C2" s="459"/>
      <c r="D2" s="459"/>
      <c r="E2" s="459"/>
      <c r="F2" s="459"/>
      <c r="G2" s="459"/>
      <c r="H2" s="460"/>
      <c r="L2" s="306" t="s">
        <v>900</v>
      </c>
      <c r="M2" s="220" t="s">
        <v>732</v>
      </c>
    </row>
    <row r="3" spans="1:20" ht="15" customHeight="1" x14ac:dyDescent="0.2">
      <c r="A3" s="461"/>
      <c r="B3" s="429"/>
      <c r="C3" s="429"/>
      <c r="D3" s="429"/>
      <c r="E3" s="429"/>
      <c r="F3" s="429"/>
      <c r="G3" s="429"/>
      <c r="H3" s="462"/>
    </row>
    <row r="4" spans="1:20" ht="15" customHeight="1" thickBot="1" x14ac:dyDescent="0.25">
      <c r="A4" s="463"/>
      <c r="B4" s="464"/>
      <c r="C4" s="464"/>
      <c r="D4" s="464"/>
      <c r="E4" s="464"/>
      <c r="F4" s="464"/>
      <c r="G4" s="464"/>
      <c r="H4" s="465"/>
    </row>
    <row r="6" spans="1:20" ht="45" customHeight="1" x14ac:dyDescent="0.2">
      <c r="A6" s="112" t="s">
        <v>842</v>
      </c>
      <c r="B6" s="75" t="s">
        <v>845</v>
      </c>
      <c r="C6" s="75" t="s">
        <v>833</v>
      </c>
      <c r="D6" s="75" t="s">
        <v>846</v>
      </c>
      <c r="E6" s="75" t="s">
        <v>843</v>
      </c>
      <c r="F6" s="75" t="s">
        <v>838</v>
      </c>
      <c r="G6" s="75" t="s">
        <v>837</v>
      </c>
      <c r="H6" s="75" t="s">
        <v>834</v>
      </c>
    </row>
    <row r="7" spans="1:20" ht="15" customHeight="1" x14ac:dyDescent="0.2">
      <c r="A7" s="74">
        <v>4401</v>
      </c>
      <c r="B7" s="147">
        <v>1056</v>
      </c>
      <c r="C7" s="237"/>
      <c r="D7" s="238"/>
      <c r="E7" s="239"/>
      <c r="F7" s="240"/>
      <c r="G7" s="240"/>
      <c r="H7" s="101"/>
      <c r="K7" s="97" t="s">
        <v>835</v>
      </c>
      <c r="L7" s="98" t="s">
        <v>836</v>
      </c>
      <c r="O7" s="2">
        <f>RANK(B7,$B$7:$B$16,0)</f>
        <v>8</v>
      </c>
      <c r="P7" s="2">
        <f>INDEX($A$7:$B$16,(MATCH(ROW(1:1),$O$7:$O$16,0)),2)</f>
        <v>15090</v>
      </c>
      <c r="Q7" s="2">
        <f>INDEX($A$7:$A$16,MATCH(P7,$B$7:$B$16,0),1)</f>
        <v>4404</v>
      </c>
      <c r="R7" s="2">
        <f>IF(AND(A7&lt;&gt;"",B7&lt;&gt;""),P7*100/$P$17,"")</f>
        <v>37.039764359351992</v>
      </c>
      <c r="S7" s="2">
        <f>SUM($R$7:R7)</f>
        <v>37.039764359351992</v>
      </c>
      <c r="T7" s="2" t="str">
        <f>IF(S7&lt;=$L$8,$K$8,IF(S7&lt;=$L$9+$L$8,$K$9,$K$10))</f>
        <v>A</v>
      </c>
    </row>
    <row r="8" spans="1:20" ht="15" customHeight="1" x14ac:dyDescent="0.2">
      <c r="A8" s="74">
        <v>4402</v>
      </c>
      <c r="B8" s="147">
        <v>2012</v>
      </c>
      <c r="C8" s="237"/>
      <c r="D8" s="238"/>
      <c r="E8" s="239"/>
      <c r="F8" s="240"/>
      <c r="G8" s="240"/>
      <c r="H8" s="101"/>
      <c r="K8" s="27" t="s">
        <v>772</v>
      </c>
      <c r="L8" s="235">
        <v>85</v>
      </c>
      <c r="O8" s="2">
        <f t="shared" ref="O8:O16" si="0">RANK(B8,$B$7:$B$16,0)</f>
        <v>5</v>
      </c>
      <c r="P8" s="2">
        <f t="shared" ref="P8:P16" si="1">INDEX($A$7:$B$16,(MATCH(ROW(2:2),$O$7:$O$16,0)),2)</f>
        <v>10060</v>
      </c>
      <c r="Q8" s="2">
        <f t="shared" ref="Q8:Q16" si="2">INDEX($A$7:$A$16,MATCH(P8,$B$7:$B$16,0),1)</f>
        <v>4406</v>
      </c>
      <c r="R8" s="2">
        <f t="shared" ref="R8:R16" si="3">IF(AND(A8&lt;&gt;"",B8&lt;&gt;""),P8*100/$P$17,"")</f>
        <v>24.693176239567993</v>
      </c>
      <c r="S8" s="2">
        <f>SUM($R$7:R8)</f>
        <v>61.732940598919981</v>
      </c>
      <c r="T8" s="2" t="str">
        <f t="shared" ref="T8:T16" si="4">IF(S8&lt;=$L$8,$K$8,IF(S8&lt;=$L$9+$L$8,$K$9,$K$10))</f>
        <v>A</v>
      </c>
    </row>
    <row r="9" spans="1:20" ht="15" customHeight="1" x14ac:dyDescent="0.2">
      <c r="A9" s="74">
        <v>4403</v>
      </c>
      <c r="B9" s="147">
        <v>1861</v>
      </c>
      <c r="C9" s="237"/>
      <c r="D9" s="238"/>
      <c r="E9" s="239"/>
      <c r="F9" s="240"/>
      <c r="G9" s="240"/>
      <c r="H9" s="101"/>
      <c r="K9" s="27" t="s">
        <v>773</v>
      </c>
      <c r="L9" s="235">
        <v>10</v>
      </c>
      <c r="O9" s="2">
        <f t="shared" si="0"/>
        <v>6</v>
      </c>
      <c r="P9" s="2">
        <f t="shared" si="1"/>
        <v>5281</v>
      </c>
      <c r="Q9" s="2">
        <f t="shared" si="2"/>
        <v>4409</v>
      </c>
      <c r="R9" s="2">
        <f t="shared" si="3"/>
        <v>12.962690230731468</v>
      </c>
      <c r="S9" s="2">
        <f>SUM($R$7:R9)</f>
        <v>74.695630829651449</v>
      </c>
      <c r="T9" s="2" t="str">
        <f t="shared" si="4"/>
        <v>A</v>
      </c>
    </row>
    <row r="10" spans="1:20" ht="15" customHeight="1" x14ac:dyDescent="0.2">
      <c r="A10" s="74">
        <v>4404</v>
      </c>
      <c r="B10" s="147">
        <v>15090</v>
      </c>
      <c r="C10" s="237"/>
      <c r="D10" s="238"/>
      <c r="E10" s="239"/>
      <c r="F10" s="240"/>
      <c r="G10" s="240"/>
      <c r="H10" s="101"/>
      <c r="K10" s="27" t="s">
        <v>774</v>
      </c>
      <c r="L10" s="235">
        <v>5</v>
      </c>
      <c r="O10" s="2">
        <f t="shared" si="0"/>
        <v>1</v>
      </c>
      <c r="P10" s="2">
        <f t="shared" si="1"/>
        <v>2716</v>
      </c>
      <c r="Q10" s="2">
        <f t="shared" si="2"/>
        <v>4407</v>
      </c>
      <c r="R10" s="2">
        <f t="shared" si="3"/>
        <v>6.666666666666667</v>
      </c>
      <c r="S10" s="2">
        <f>SUM($R$7:R10)</f>
        <v>81.362297496318121</v>
      </c>
      <c r="T10" s="2" t="str">
        <f t="shared" si="4"/>
        <v>A</v>
      </c>
    </row>
    <row r="11" spans="1:20" ht="15" customHeight="1" x14ac:dyDescent="0.2">
      <c r="A11" s="74">
        <v>4405</v>
      </c>
      <c r="B11" s="147">
        <v>1659</v>
      </c>
      <c r="C11" s="237"/>
      <c r="D11" s="238"/>
      <c r="E11" s="239"/>
      <c r="F11" s="240"/>
      <c r="G11" s="240"/>
      <c r="H11" s="101"/>
      <c r="O11" s="2">
        <f t="shared" si="0"/>
        <v>7</v>
      </c>
      <c r="P11" s="2">
        <f t="shared" si="1"/>
        <v>2012</v>
      </c>
      <c r="Q11" s="2">
        <f t="shared" si="2"/>
        <v>4402</v>
      </c>
      <c r="R11" s="2">
        <f t="shared" si="3"/>
        <v>4.9386352479135986</v>
      </c>
      <c r="S11" s="2">
        <f>SUM($R$7:R11)</f>
        <v>86.300932744231716</v>
      </c>
      <c r="T11" s="2" t="str">
        <f t="shared" si="4"/>
        <v>B</v>
      </c>
    </row>
    <row r="12" spans="1:20" ht="15" customHeight="1" x14ac:dyDescent="0.2">
      <c r="A12" s="74">
        <v>4406</v>
      </c>
      <c r="B12" s="147">
        <v>10060</v>
      </c>
      <c r="C12" s="237"/>
      <c r="D12" s="238"/>
      <c r="E12" s="239"/>
      <c r="F12" s="240"/>
      <c r="G12" s="240"/>
      <c r="H12" s="101"/>
      <c r="O12" s="2">
        <f t="shared" si="0"/>
        <v>2</v>
      </c>
      <c r="P12" s="2">
        <f t="shared" si="1"/>
        <v>1861</v>
      </c>
      <c r="Q12" s="2">
        <f t="shared" si="2"/>
        <v>4403</v>
      </c>
      <c r="R12" s="2">
        <f t="shared" si="3"/>
        <v>4.5679921453117327</v>
      </c>
      <c r="S12" s="2">
        <f>SUM($R$7:R12)</f>
        <v>90.86892488954345</v>
      </c>
      <c r="T12" s="2" t="str">
        <f t="shared" si="4"/>
        <v>B</v>
      </c>
    </row>
    <row r="13" spans="1:20" ht="15" customHeight="1" x14ac:dyDescent="0.2">
      <c r="A13" s="74">
        <v>4407</v>
      </c>
      <c r="B13" s="147">
        <v>2716</v>
      </c>
      <c r="C13" s="237"/>
      <c r="D13" s="238"/>
      <c r="E13" s="239"/>
      <c r="F13" s="240"/>
      <c r="G13" s="240"/>
      <c r="H13" s="101"/>
      <c r="O13" s="2">
        <f t="shared" si="0"/>
        <v>4</v>
      </c>
      <c r="P13" s="2">
        <f t="shared" si="1"/>
        <v>1659</v>
      </c>
      <c r="Q13" s="2">
        <f t="shared" si="2"/>
        <v>4405</v>
      </c>
      <c r="R13" s="2">
        <f t="shared" si="3"/>
        <v>4.072164948453608</v>
      </c>
      <c r="S13" s="2">
        <f>SUM($R$7:R13)</f>
        <v>94.941089837997055</v>
      </c>
      <c r="T13" s="2" t="str">
        <f t="shared" si="4"/>
        <v>B</v>
      </c>
    </row>
    <row r="14" spans="1:20" ht="15" customHeight="1" x14ac:dyDescent="0.2">
      <c r="A14" s="74">
        <v>4408</v>
      </c>
      <c r="B14" s="147">
        <v>503</v>
      </c>
      <c r="C14" s="237"/>
      <c r="D14" s="238"/>
      <c r="E14" s="239"/>
      <c r="F14" s="240"/>
      <c r="G14" s="240"/>
      <c r="H14" s="101"/>
      <c r="O14" s="2">
        <f t="shared" si="0"/>
        <v>9</v>
      </c>
      <c r="P14" s="2">
        <f t="shared" si="1"/>
        <v>1056</v>
      </c>
      <c r="Q14" s="2">
        <f t="shared" si="2"/>
        <v>4401</v>
      </c>
      <c r="R14" s="2">
        <f t="shared" si="3"/>
        <v>2.5920471281296025</v>
      </c>
      <c r="S14" s="2">
        <f>SUM($R$7:R14)</f>
        <v>97.533136966126662</v>
      </c>
      <c r="T14" s="2" t="str">
        <f t="shared" si="4"/>
        <v>C</v>
      </c>
    </row>
    <row r="15" spans="1:20" ht="15" customHeight="1" x14ac:dyDescent="0.2">
      <c r="A15" s="74">
        <v>4409</v>
      </c>
      <c r="B15" s="147">
        <v>5281</v>
      </c>
      <c r="C15" s="237"/>
      <c r="D15" s="238"/>
      <c r="E15" s="239"/>
      <c r="F15" s="240"/>
      <c r="G15" s="240"/>
      <c r="H15" s="101"/>
      <c r="O15" s="2">
        <f t="shared" si="0"/>
        <v>3</v>
      </c>
      <c r="P15" s="2">
        <f t="shared" si="1"/>
        <v>503</v>
      </c>
      <c r="Q15" s="2">
        <f t="shared" si="2"/>
        <v>4408</v>
      </c>
      <c r="R15" s="2">
        <f t="shared" si="3"/>
        <v>1.2346588119783997</v>
      </c>
      <c r="S15" s="2">
        <f>SUM($R$7:R15)</f>
        <v>98.767795778105068</v>
      </c>
      <c r="T15" s="2" t="str">
        <f t="shared" si="4"/>
        <v>C</v>
      </c>
    </row>
    <row r="16" spans="1:20" ht="15" customHeight="1" x14ac:dyDescent="0.2">
      <c r="A16" s="74">
        <v>4499</v>
      </c>
      <c r="B16" s="147">
        <v>502</v>
      </c>
      <c r="C16" s="237"/>
      <c r="D16" s="238"/>
      <c r="E16" s="239"/>
      <c r="F16" s="240"/>
      <c r="G16" s="240"/>
      <c r="H16" s="101"/>
      <c r="O16" s="2">
        <f t="shared" si="0"/>
        <v>10</v>
      </c>
      <c r="P16" s="2">
        <f t="shared" si="1"/>
        <v>502</v>
      </c>
      <c r="Q16" s="2">
        <f t="shared" si="2"/>
        <v>4499</v>
      </c>
      <c r="R16" s="2">
        <f t="shared" si="3"/>
        <v>1.2322042218949436</v>
      </c>
      <c r="S16" s="2">
        <f>SUM($R$7:R16)</f>
        <v>100.00000000000001</v>
      </c>
      <c r="T16" s="2" t="str">
        <f t="shared" si="4"/>
        <v>C</v>
      </c>
    </row>
    <row r="17" spans="1:18" ht="15" customHeight="1" x14ac:dyDescent="0.2">
      <c r="A17" s="233"/>
      <c r="B17" s="242"/>
      <c r="C17" s="234"/>
      <c r="D17" s="242"/>
      <c r="E17" s="234"/>
      <c r="F17" s="241"/>
      <c r="G17" s="233"/>
      <c r="H17" s="233"/>
      <c r="P17" s="2">
        <f>SUM(P7:P16)</f>
        <v>40740</v>
      </c>
      <c r="R17" s="2">
        <f>SUM(R7:R16)</f>
        <v>100.00000000000001</v>
      </c>
    </row>
    <row r="18" spans="1:18" ht="15" customHeight="1" thickBot="1" x14ac:dyDescent="0.25">
      <c r="L18" s="306" t="s">
        <v>900</v>
      </c>
      <c r="M18" s="220" t="s">
        <v>732</v>
      </c>
    </row>
    <row r="19" spans="1:18" ht="15" customHeight="1" x14ac:dyDescent="0.2">
      <c r="A19" s="271" t="s">
        <v>847</v>
      </c>
      <c r="B19" s="263"/>
      <c r="C19" s="263"/>
      <c r="D19" s="263"/>
      <c r="E19" s="263"/>
      <c r="F19" s="263"/>
      <c r="G19" s="263"/>
      <c r="H19" s="264"/>
    </row>
    <row r="20" spans="1:18" ht="15" customHeight="1" x14ac:dyDescent="0.2">
      <c r="A20" s="265" t="s">
        <v>848</v>
      </c>
      <c r="B20" s="262"/>
      <c r="C20" s="262"/>
      <c r="D20" s="262"/>
      <c r="E20" s="262"/>
      <c r="F20" s="262"/>
      <c r="G20" s="262"/>
      <c r="H20" s="266"/>
    </row>
    <row r="21" spans="1:18" ht="15" customHeight="1" x14ac:dyDescent="0.2">
      <c r="A21" s="265" t="s">
        <v>849</v>
      </c>
      <c r="B21" s="262"/>
      <c r="C21" s="262"/>
      <c r="D21" s="262"/>
      <c r="E21" s="262"/>
      <c r="F21" s="262"/>
      <c r="G21" s="262"/>
      <c r="H21" s="266"/>
    </row>
    <row r="22" spans="1:18" ht="15" customHeight="1" x14ac:dyDescent="0.2">
      <c r="A22" s="265" t="s">
        <v>850</v>
      </c>
      <c r="B22" s="262"/>
      <c r="C22" s="262"/>
      <c r="D22" s="262"/>
      <c r="E22" s="262"/>
      <c r="F22" s="262"/>
      <c r="G22" s="262"/>
      <c r="H22" s="266"/>
    </row>
    <row r="23" spans="1:18" ht="15" customHeight="1" x14ac:dyDescent="0.2">
      <c r="A23" s="267" t="s">
        <v>851</v>
      </c>
      <c r="B23" s="262"/>
      <c r="C23" s="262"/>
      <c r="D23" s="262"/>
      <c r="E23" s="262"/>
      <c r="F23" s="262"/>
      <c r="G23" s="262"/>
      <c r="H23" s="266"/>
    </row>
    <row r="24" spans="1:18" ht="15" customHeight="1" thickBot="1" x14ac:dyDescent="0.25">
      <c r="A24" s="268" t="s">
        <v>852</v>
      </c>
      <c r="B24" s="269"/>
      <c r="C24" s="269"/>
      <c r="D24" s="269"/>
      <c r="E24" s="269"/>
      <c r="F24" s="269"/>
      <c r="G24" s="269"/>
      <c r="H24" s="270"/>
    </row>
  </sheetData>
  <sheetProtection sheet="1" objects="1" scenarios="1" formatCells="0"/>
  <protectedRanges>
    <protectedRange sqref="B17 D17 F17 C7:H16" name="Bereich1"/>
  </protectedRanges>
  <mergeCells count="1">
    <mergeCell ref="A2:H4"/>
  </mergeCells>
  <conditionalFormatting sqref="H7:H16">
    <cfRule type="expression" dxfId="62" priority="1">
      <formula>AND(H7&lt;&gt;"",H7=T7)</formula>
    </cfRule>
    <cfRule type="expression" dxfId="61" priority="2">
      <formula>AND(H7&lt;&gt;"",H7&lt;&gt;T7)</formula>
    </cfRule>
    <cfRule type="cellIs" dxfId="60" priority="15" stopIfTrue="1" operator="equal">
      <formula>"A-Lieferant"</formula>
    </cfRule>
    <cfRule type="cellIs" dxfId="59" priority="16" stopIfTrue="1" operator="equal">
      <formula>"B-Lieferant"</formula>
    </cfRule>
    <cfRule type="cellIs" dxfId="58" priority="17" stopIfTrue="1" operator="equal">
      <formula>"C-Lieferant"</formula>
    </cfRule>
  </conditionalFormatting>
  <conditionalFormatting sqref="C7:C16">
    <cfRule type="expression" dxfId="57" priority="13">
      <formula>AND(C7&lt;&gt;"",C7&lt;&gt;O7)</formula>
    </cfRule>
    <cfRule type="expression" dxfId="56" priority="14">
      <formula>AND(C7&lt;&gt;"",C7=O7)</formula>
    </cfRule>
  </conditionalFormatting>
  <conditionalFormatting sqref="D7:D17">
    <cfRule type="expression" dxfId="55" priority="11">
      <formula>AND(D7&lt;&gt;"",D7&lt;&gt;P7)</formula>
    </cfRule>
    <cfRule type="expression" dxfId="54" priority="12">
      <formula>AND(D7&lt;&gt;"",D7=P7)</formula>
    </cfRule>
  </conditionalFormatting>
  <conditionalFormatting sqref="B17">
    <cfRule type="expression" dxfId="53" priority="9">
      <formula>AND(B17&lt;&gt;"",B17=P17)</formula>
    </cfRule>
    <cfRule type="expression" dxfId="52" priority="10">
      <formula>AND(B17&lt;&gt;"",B17&lt;&gt;P17)</formula>
    </cfRule>
  </conditionalFormatting>
  <conditionalFormatting sqref="E7:E16">
    <cfRule type="expression" dxfId="51" priority="7">
      <formula>AND(E7&lt;&gt;"",E7=Q7)</formula>
    </cfRule>
    <cfRule type="expression" dxfId="50" priority="8">
      <formula>AND(E7&lt;&gt;"",E7&lt;&gt;Q7)</formula>
    </cfRule>
  </conditionalFormatting>
  <conditionalFormatting sqref="F7:F17">
    <cfRule type="expression" dxfId="49" priority="5">
      <formula>AND(F7&lt;&gt;"",F7=R7)</formula>
    </cfRule>
    <cfRule type="expression" dxfId="48" priority="6">
      <formula>AND(F7&lt;&gt;"",F7&lt;&gt;R7)</formula>
    </cfRule>
  </conditionalFormatting>
  <conditionalFormatting sqref="G7:G16">
    <cfRule type="expression" dxfId="47" priority="3">
      <formula>AND(G7&lt;&gt;"",G7=S7)</formula>
    </cfRule>
    <cfRule type="expression" dxfId="46" priority="4">
      <formula>AND(G7&lt;&gt;"",G7&lt;&gt;S7)</formula>
    </cfRule>
  </conditionalFormatting>
  <hyperlinks>
    <hyperlink ref="M2" location="Übersicht!A1" display="Zur Übersicht" xr:uid="{00000000-0004-0000-1200-000000000000}"/>
    <hyperlink ref="M18" location="Übersicht!A1" display="Zur Übersicht" xr:uid="{00000000-0004-0000-1200-000001000000}"/>
  </hyperlinks>
  <pageMargins left="0.7" right="0.7" top="0.78740157499999996" bottom="0.78740157499999996"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17">
    <tabColor theme="7" tint="-0.499984740745262"/>
  </sheetPr>
  <dimension ref="A1:R32"/>
  <sheetViews>
    <sheetView showGridLines="0" zoomScaleNormal="100" zoomScalePageLayoutView="130" workbookViewId="0">
      <selection activeCell="L34" sqref="L34"/>
    </sheetView>
  </sheetViews>
  <sheetFormatPr baseColWidth="10" defaultColWidth="11.28515625" defaultRowHeight="15" customHeight="1" x14ac:dyDescent="0.2"/>
  <cols>
    <col min="1" max="1" width="27.42578125" style="2" bestFit="1" customWidth="1"/>
    <col min="2" max="2" width="16.28515625" style="2" bestFit="1" customWidth="1"/>
    <col min="3" max="7" width="16.28515625" style="2" customWidth="1"/>
    <col min="8" max="12" width="11.28515625" style="2"/>
    <col min="13" max="13" width="12.85546875" style="2" bestFit="1" customWidth="1"/>
    <col min="14" max="15" width="11.28515625" style="2"/>
    <col min="16" max="18" width="0" style="2" hidden="1" customWidth="1"/>
    <col min="19" max="16384" width="11.28515625" style="2"/>
  </cols>
  <sheetData>
    <row r="1" spans="1:18" ht="15" customHeight="1" thickBot="1" x14ac:dyDescent="0.25"/>
    <row r="2" spans="1:18" ht="15" customHeight="1" x14ac:dyDescent="0.2">
      <c r="A2" s="477" t="s">
        <v>650</v>
      </c>
      <c r="B2" s="478"/>
      <c r="C2" s="478"/>
      <c r="D2" s="478"/>
      <c r="E2" s="478"/>
      <c r="F2" s="478"/>
      <c r="G2" s="479"/>
      <c r="L2" s="306" t="s">
        <v>900</v>
      </c>
      <c r="M2" s="220" t="s">
        <v>732</v>
      </c>
    </row>
    <row r="3" spans="1:18" ht="15" customHeight="1" x14ac:dyDescent="0.2">
      <c r="A3" s="486"/>
      <c r="B3" s="487"/>
      <c r="C3" s="487"/>
      <c r="D3" s="487"/>
      <c r="E3" s="487"/>
      <c r="F3" s="487"/>
      <c r="G3" s="488"/>
    </row>
    <row r="4" spans="1:18" ht="15" customHeight="1" x14ac:dyDescent="0.2">
      <c r="A4" s="486"/>
      <c r="B4" s="487"/>
      <c r="C4" s="487"/>
      <c r="D4" s="487"/>
      <c r="E4" s="487"/>
      <c r="F4" s="487"/>
      <c r="G4" s="488"/>
    </row>
    <row r="5" spans="1:18" ht="15" customHeight="1" thickBot="1" x14ac:dyDescent="0.25">
      <c r="A5" s="480"/>
      <c r="B5" s="481"/>
      <c r="C5" s="481"/>
      <c r="D5" s="481"/>
      <c r="E5" s="481"/>
      <c r="F5" s="481"/>
      <c r="G5" s="482"/>
    </row>
    <row r="7" spans="1:18" ht="15" customHeight="1" x14ac:dyDescent="0.2">
      <c r="A7" s="484" t="s">
        <v>471</v>
      </c>
      <c r="B7" s="484"/>
      <c r="C7" s="484"/>
      <c r="D7" s="484"/>
      <c r="E7" s="484"/>
      <c r="F7" s="484"/>
      <c r="G7" s="484"/>
    </row>
    <row r="8" spans="1:18" ht="15" customHeight="1" x14ac:dyDescent="0.2">
      <c r="A8" s="6"/>
      <c r="B8" s="6"/>
      <c r="C8" s="6"/>
      <c r="D8" s="6"/>
      <c r="E8" s="6"/>
      <c r="F8" s="6"/>
      <c r="G8" s="6"/>
    </row>
    <row r="9" spans="1:18" ht="15" customHeight="1" x14ac:dyDescent="0.2">
      <c r="A9" s="309" t="s">
        <v>472</v>
      </c>
      <c r="B9" s="310">
        <v>10104</v>
      </c>
      <c r="C9" s="309" t="s">
        <v>54</v>
      </c>
      <c r="D9" s="311">
        <f ca="1">TODAY()</f>
        <v>45755</v>
      </c>
      <c r="E9" s="7"/>
      <c r="F9" s="7"/>
      <c r="G9" s="7"/>
    </row>
    <row r="10" spans="1:18" ht="15" customHeight="1" x14ac:dyDescent="0.2">
      <c r="A10" s="8"/>
      <c r="B10" s="8"/>
      <c r="C10" s="8"/>
      <c r="D10" s="8"/>
      <c r="E10" s="8"/>
      <c r="F10" s="8"/>
      <c r="G10" s="8"/>
    </row>
    <row r="11" spans="1:18" ht="15" customHeight="1" x14ac:dyDescent="0.2">
      <c r="A11" s="309" t="s">
        <v>473</v>
      </c>
      <c r="B11" s="485" t="s">
        <v>663</v>
      </c>
      <c r="C11" s="485"/>
      <c r="D11" s="485" t="s">
        <v>664</v>
      </c>
      <c r="E11" s="485"/>
      <c r="F11" s="485" t="s">
        <v>662</v>
      </c>
      <c r="G11" s="485"/>
    </row>
    <row r="12" spans="1:18" ht="25.5" x14ac:dyDescent="0.2">
      <c r="A12" s="146"/>
      <c r="B12" s="75" t="s">
        <v>474</v>
      </c>
      <c r="C12" s="312" t="s">
        <v>475</v>
      </c>
      <c r="D12" s="75" t="s">
        <v>474</v>
      </c>
      <c r="E12" s="312" t="s">
        <v>475</v>
      </c>
      <c r="F12" s="75" t="s">
        <v>474</v>
      </c>
      <c r="G12" s="312" t="s">
        <v>475</v>
      </c>
    </row>
    <row r="13" spans="1:18" ht="15" customHeight="1" x14ac:dyDescent="0.2">
      <c r="A13" s="147" t="s">
        <v>288</v>
      </c>
      <c r="B13" s="9">
        <v>2000</v>
      </c>
      <c r="C13" s="10"/>
      <c r="D13" s="9">
        <v>2000</v>
      </c>
      <c r="E13" s="10"/>
      <c r="F13" s="9">
        <v>2000</v>
      </c>
      <c r="G13" s="10"/>
    </row>
    <row r="14" spans="1:18" ht="15" customHeight="1" x14ac:dyDescent="0.2">
      <c r="A14" s="148" t="s">
        <v>476</v>
      </c>
      <c r="B14" s="149">
        <v>6.99</v>
      </c>
      <c r="C14" s="10"/>
      <c r="D14" s="149">
        <v>7.5</v>
      </c>
      <c r="E14" s="10"/>
      <c r="F14" s="149">
        <v>7.78</v>
      </c>
      <c r="G14" s="10"/>
    </row>
    <row r="15" spans="1:18" ht="15" customHeight="1" x14ac:dyDescent="0.2">
      <c r="A15" s="148" t="s">
        <v>477</v>
      </c>
      <c r="B15" s="150"/>
      <c r="C15" s="138"/>
      <c r="D15" s="150"/>
      <c r="E15" s="138"/>
      <c r="F15" s="150"/>
      <c r="G15" s="138"/>
      <c r="P15" s="35">
        <f>B13*B14</f>
        <v>13980</v>
      </c>
      <c r="Q15" s="35">
        <f>D13*D14</f>
        <v>15000</v>
      </c>
      <c r="R15" s="35">
        <f>F13*F14</f>
        <v>15560</v>
      </c>
    </row>
    <row r="16" spans="1:18" ht="15" customHeight="1" x14ac:dyDescent="0.2">
      <c r="A16" s="148" t="s">
        <v>478</v>
      </c>
      <c r="B16" s="151">
        <v>0.05</v>
      </c>
      <c r="C16" s="138"/>
      <c r="D16" s="151">
        <v>7.4999999999999997E-2</v>
      </c>
      <c r="E16" s="138"/>
      <c r="F16" s="151">
        <v>0.15</v>
      </c>
      <c r="G16" s="138"/>
      <c r="P16" s="35">
        <f>P15*B16</f>
        <v>699</v>
      </c>
      <c r="Q16" s="35">
        <f>Q15*D16</f>
        <v>1125</v>
      </c>
      <c r="R16" s="35">
        <f>R15*F16</f>
        <v>2334</v>
      </c>
    </row>
    <row r="17" spans="1:18" ht="15" customHeight="1" x14ac:dyDescent="0.2">
      <c r="A17" s="148" t="s">
        <v>479</v>
      </c>
      <c r="B17" s="150"/>
      <c r="C17" s="138"/>
      <c r="D17" s="150"/>
      <c r="E17" s="138"/>
      <c r="F17" s="150"/>
      <c r="G17" s="138"/>
      <c r="P17" s="35">
        <f>P15-P16</f>
        <v>13281</v>
      </c>
      <c r="Q17" s="35">
        <f t="shared" ref="Q17:R17" si="0">Q15-Q16</f>
        <v>13875</v>
      </c>
      <c r="R17" s="35">
        <f t="shared" si="0"/>
        <v>13226</v>
      </c>
    </row>
    <row r="18" spans="1:18" ht="15" customHeight="1" x14ac:dyDescent="0.2">
      <c r="A18" s="148" t="s">
        <v>480</v>
      </c>
      <c r="B18" s="151">
        <v>0.02</v>
      </c>
      <c r="C18" s="138"/>
      <c r="D18" s="151">
        <v>0.03</v>
      </c>
      <c r="E18" s="138"/>
      <c r="F18" s="151">
        <v>0.02</v>
      </c>
      <c r="G18" s="138"/>
      <c r="P18" s="35">
        <f>P17*B18</f>
        <v>265.62</v>
      </c>
      <c r="Q18" s="35">
        <f>Q17*D18</f>
        <v>416.25</v>
      </c>
      <c r="R18" s="35">
        <f>R17*F18</f>
        <v>264.52</v>
      </c>
    </row>
    <row r="19" spans="1:18" ht="15" customHeight="1" x14ac:dyDescent="0.2">
      <c r="A19" s="148" t="s">
        <v>481</v>
      </c>
      <c r="B19" s="150"/>
      <c r="C19" s="138"/>
      <c r="D19" s="150"/>
      <c r="E19" s="138"/>
      <c r="F19" s="150"/>
      <c r="G19" s="138"/>
      <c r="P19" s="35">
        <f>P17-P18</f>
        <v>13015.38</v>
      </c>
      <c r="Q19" s="35">
        <f t="shared" ref="Q19:R19" si="1">Q17-Q18</f>
        <v>13458.75</v>
      </c>
      <c r="R19" s="35">
        <f t="shared" si="1"/>
        <v>12961.48</v>
      </c>
    </row>
    <row r="20" spans="1:18" ht="15" customHeight="1" x14ac:dyDescent="0.2">
      <c r="A20" s="148" t="s">
        <v>482</v>
      </c>
      <c r="B20" s="149">
        <v>100</v>
      </c>
      <c r="C20" s="138"/>
      <c r="D20" s="149">
        <v>50</v>
      </c>
      <c r="E20" s="138"/>
      <c r="F20" s="149">
        <v>120</v>
      </c>
      <c r="G20" s="138"/>
      <c r="P20" s="35">
        <f>B20</f>
        <v>100</v>
      </c>
      <c r="Q20" s="35">
        <f>D20</f>
        <v>50</v>
      </c>
      <c r="R20" s="35">
        <f>F20</f>
        <v>120</v>
      </c>
    </row>
    <row r="21" spans="1:18" ht="15" customHeight="1" x14ac:dyDescent="0.2">
      <c r="A21" s="148" t="s">
        <v>483</v>
      </c>
      <c r="B21" s="153"/>
      <c r="C21" s="138"/>
      <c r="D21" s="153"/>
      <c r="E21" s="138"/>
      <c r="F21" s="153"/>
      <c r="G21" s="138"/>
      <c r="P21" s="35">
        <f>P19+P20</f>
        <v>13115.38</v>
      </c>
      <c r="Q21" s="35">
        <f t="shared" ref="Q21:R21" si="2">Q19+Q20</f>
        <v>13508.75</v>
      </c>
      <c r="R21" s="35">
        <f t="shared" si="2"/>
        <v>13081.48</v>
      </c>
    </row>
    <row r="22" spans="1:18" ht="15" customHeight="1" x14ac:dyDescent="0.2">
      <c r="A22" s="148" t="s">
        <v>484</v>
      </c>
      <c r="B22" s="154"/>
      <c r="C22" s="138"/>
      <c r="D22" s="154"/>
      <c r="E22" s="138"/>
      <c r="F22" s="154"/>
      <c r="G22" s="138"/>
      <c r="P22" s="35">
        <f>P21/B13</f>
        <v>6.55769</v>
      </c>
      <c r="Q22" s="35">
        <f>Q21/D13</f>
        <v>6.7543749999999996</v>
      </c>
      <c r="R22" s="35">
        <f>R21/F13</f>
        <v>6.5407399999999996</v>
      </c>
    </row>
    <row r="23" spans="1:18" ht="15" customHeight="1" x14ac:dyDescent="0.2">
      <c r="A23" s="8"/>
      <c r="B23" s="8"/>
      <c r="C23" s="8"/>
      <c r="D23" s="8"/>
      <c r="E23" s="8"/>
      <c r="F23" s="8"/>
      <c r="G23" s="8"/>
    </row>
    <row r="24" spans="1:18" ht="15" customHeight="1" x14ac:dyDescent="0.2">
      <c r="A24" s="145" t="s">
        <v>485</v>
      </c>
      <c r="B24" s="76"/>
      <c r="C24" s="8"/>
      <c r="D24" s="8"/>
      <c r="E24" s="8"/>
      <c r="F24" s="8"/>
      <c r="G24" s="8"/>
      <c r="P24" s="2" t="str">
        <f>IF(C22=MIN(C22:G22),B11,IF(E22=MIN(C22:G22),D11,F11))</f>
        <v>Heller KG</v>
      </c>
    </row>
    <row r="25" spans="1:18" ht="15" customHeight="1" x14ac:dyDescent="0.2">
      <c r="A25" s="145" t="s">
        <v>486</v>
      </c>
      <c r="B25" s="138"/>
      <c r="C25" s="8"/>
      <c r="P25" s="35">
        <f>MIN(P22:R22)</f>
        <v>6.5407399999999996</v>
      </c>
    </row>
    <row r="26" spans="1:18" ht="15" customHeight="1" x14ac:dyDescent="0.2">
      <c r="A26" s="145" t="s">
        <v>487</v>
      </c>
      <c r="B26" s="118">
        <v>6.43</v>
      </c>
      <c r="C26" s="8"/>
    </row>
    <row r="27" spans="1:18" ht="15" customHeight="1" x14ac:dyDescent="0.2">
      <c r="A27" s="145" t="s">
        <v>488</v>
      </c>
      <c r="B27" s="152"/>
      <c r="C27" s="8"/>
      <c r="L27" s="306" t="s">
        <v>900</v>
      </c>
      <c r="M27" s="220" t="s">
        <v>732</v>
      </c>
      <c r="P27" s="68">
        <f>P25/B26-1</f>
        <v>1.7222395023328119E-2</v>
      </c>
    </row>
    <row r="30" spans="1:18" ht="15" customHeight="1" x14ac:dyDescent="0.2">
      <c r="D30" s="11"/>
      <c r="E30" s="11"/>
      <c r="F30" s="11"/>
      <c r="G30" s="11"/>
    </row>
    <row r="31" spans="1:18" ht="15" customHeight="1" x14ac:dyDescent="0.2">
      <c r="D31" s="11"/>
      <c r="E31" s="11"/>
      <c r="F31" s="11"/>
      <c r="G31" s="11"/>
    </row>
    <row r="32" spans="1:18" ht="15" customHeight="1" x14ac:dyDescent="0.2">
      <c r="D32" s="11"/>
      <c r="E32" s="11"/>
      <c r="F32" s="11"/>
      <c r="G32" s="11"/>
    </row>
  </sheetData>
  <sheetProtection sheet="1" objects="1" scenarios="1" formatCells="0"/>
  <protectedRanges>
    <protectedRange sqref="B24:B25 B27 C15:C22 E15:E22 G15:G22" name="Bereich1" securityDescriptor="O:WDG:WDD:(A;;CC;;;WD)"/>
  </protectedRanges>
  <mergeCells count="5">
    <mergeCell ref="A7:G7"/>
    <mergeCell ref="B11:C11"/>
    <mergeCell ref="D11:E11"/>
    <mergeCell ref="F11:G11"/>
    <mergeCell ref="A2:G5"/>
  </mergeCells>
  <conditionalFormatting sqref="C15:C22">
    <cfRule type="expression" dxfId="45" priority="27">
      <formula>AND(C15&lt;&gt;"",C15&lt;&gt;P15)</formula>
    </cfRule>
    <cfRule type="expression" dxfId="44" priority="28">
      <formula>AND(C15&lt;&gt;"",C15=P15)</formula>
    </cfRule>
  </conditionalFormatting>
  <conditionalFormatting sqref="B24:B25">
    <cfRule type="expression" dxfId="43" priority="21">
      <formula>AND(B24&lt;&gt;"",B24&lt;&gt;P24)</formula>
    </cfRule>
    <cfRule type="expression" dxfId="42" priority="22">
      <formula>AND(B24&lt;&gt;"",B24=P24)</formula>
    </cfRule>
  </conditionalFormatting>
  <conditionalFormatting sqref="B27">
    <cfRule type="expression" dxfId="41" priority="19">
      <formula>AND(B27&lt;&gt;"",B27&lt;&gt;P27)</formula>
    </cfRule>
    <cfRule type="expression" dxfId="40" priority="20">
      <formula>AND(B27&lt;&gt;"",B27=P27)</formula>
    </cfRule>
  </conditionalFormatting>
  <conditionalFormatting sqref="E15:E22">
    <cfRule type="expression" dxfId="39" priority="3">
      <formula>AND(E15&lt;&gt;"",$E15&lt;&gt;Q15)</formula>
    </cfRule>
    <cfRule type="expression" dxfId="38" priority="4">
      <formula>AND(E15&lt;&gt;"",E15=Q15)</formula>
    </cfRule>
  </conditionalFormatting>
  <conditionalFormatting sqref="G15:G22">
    <cfRule type="expression" dxfId="37" priority="1">
      <formula>AND($G15&lt;&gt;"",$G15&lt;&gt;$R15)</formula>
    </cfRule>
    <cfRule type="expression" dxfId="36" priority="2">
      <formula>AND($G15&lt;&gt;"",$G15=$R15)</formula>
    </cfRule>
  </conditionalFormatting>
  <hyperlinks>
    <hyperlink ref="M2" location="Übersicht!A1" display="Zur Übersicht" xr:uid="{00000000-0004-0000-1300-000000000000}"/>
    <hyperlink ref="M27" location="Übersicht!A1" display="Zur Übersicht" xr:uid="{00000000-0004-0000-1300-000001000000}"/>
  </hyperlinks>
  <pageMargins left="0.25" right="0.25" top="0.75" bottom="0.75" header="0.3" footer="0.3"/>
  <pageSetup paperSize="9" orientation="landscape" horizontalDpi="300" verticalDpi="300" r:id="rId1"/>
  <ignoredErrors>
    <ignoredError sqref="D9" unlocked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21">
    <tabColor theme="7" tint="-0.499984740745262"/>
  </sheetPr>
  <dimension ref="A1:S42"/>
  <sheetViews>
    <sheetView showGridLines="0" workbookViewId="0">
      <selection activeCell="N23" sqref="N23"/>
    </sheetView>
  </sheetViews>
  <sheetFormatPr baseColWidth="10" defaultRowHeight="15" customHeight="1" x14ac:dyDescent="0.2"/>
  <cols>
    <col min="1" max="1" width="29.28515625" style="2" customWidth="1"/>
    <col min="2" max="2" width="14.5703125" style="2" customWidth="1"/>
    <col min="3" max="3" width="21" style="2" customWidth="1"/>
    <col min="4" max="7" width="14.5703125" style="2" customWidth="1"/>
    <col min="8" max="8" width="11.42578125" style="2"/>
    <col min="9" max="9" width="12.7109375" style="2" customWidth="1"/>
    <col min="10" max="10" width="15.28515625" style="2" bestFit="1" customWidth="1"/>
    <col min="11" max="11" width="12.85546875" style="2" customWidth="1"/>
    <col min="12" max="12" width="11.42578125" style="2"/>
    <col min="13" max="13" width="15.140625" style="2" bestFit="1" customWidth="1"/>
    <col min="14" max="14" width="16.28515625" style="2" customWidth="1"/>
    <col min="15" max="15" width="11.42578125" style="2"/>
    <col min="16" max="19" width="11.42578125" style="2" hidden="1" customWidth="1"/>
    <col min="20" max="16384" width="11.42578125" style="2"/>
  </cols>
  <sheetData>
    <row r="1" spans="1:19" ht="15" customHeight="1" thickBot="1" x14ac:dyDescent="0.25"/>
    <row r="2" spans="1:19" ht="15" customHeight="1" x14ac:dyDescent="0.2">
      <c r="A2" s="406" t="s">
        <v>832</v>
      </c>
      <c r="B2" s="494"/>
      <c r="C2" s="494"/>
      <c r="D2" s="494"/>
      <c r="E2" s="494"/>
      <c r="F2" s="494"/>
      <c r="G2" s="495"/>
      <c r="M2" s="306" t="s">
        <v>900</v>
      </c>
      <c r="N2" s="220" t="s">
        <v>732</v>
      </c>
    </row>
    <row r="3" spans="1:19" ht="15" customHeight="1" x14ac:dyDescent="0.2">
      <c r="A3" s="496"/>
      <c r="B3" s="497"/>
      <c r="C3" s="497"/>
      <c r="D3" s="497"/>
      <c r="E3" s="497"/>
      <c r="F3" s="497"/>
      <c r="G3" s="498"/>
    </row>
    <row r="4" spans="1:19" ht="15" customHeight="1" thickBot="1" x14ac:dyDescent="0.25">
      <c r="A4" s="499"/>
      <c r="B4" s="500"/>
      <c r="C4" s="500"/>
      <c r="D4" s="500"/>
      <c r="E4" s="500"/>
      <c r="F4" s="500"/>
      <c r="G4" s="501"/>
    </row>
    <row r="6" spans="1:19" ht="18.75" customHeight="1" x14ac:dyDescent="0.2">
      <c r="A6" s="395" t="s">
        <v>806</v>
      </c>
      <c r="B6" s="395"/>
      <c r="C6" s="395"/>
      <c r="D6" s="395"/>
      <c r="E6" s="395"/>
      <c r="F6" s="395"/>
      <c r="G6" s="395"/>
    </row>
    <row r="7" spans="1:19" ht="15" customHeight="1" x14ac:dyDescent="0.2">
      <c r="A7" s="4"/>
      <c r="B7" s="4"/>
      <c r="C7" s="4"/>
      <c r="D7" s="51"/>
      <c r="E7" s="51"/>
      <c r="F7" s="51"/>
      <c r="G7" s="51"/>
    </row>
    <row r="8" spans="1:19" ht="15" customHeight="1" x14ac:dyDescent="0.2">
      <c r="A8" s="502" t="s">
        <v>572</v>
      </c>
      <c r="B8" s="503" t="s">
        <v>573</v>
      </c>
      <c r="C8" s="503" t="s">
        <v>574</v>
      </c>
      <c r="D8" s="415" t="s">
        <v>575</v>
      </c>
      <c r="E8" s="415"/>
      <c r="F8" s="415"/>
      <c r="G8" s="415"/>
      <c r="I8" s="395" t="s">
        <v>576</v>
      </c>
      <c r="J8" s="395"/>
      <c r="K8" s="395"/>
      <c r="M8" s="395" t="s">
        <v>577</v>
      </c>
      <c r="N8" s="395"/>
    </row>
    <row r="9" spans="1:19" ht="15" customHeight="1" x14ac:dyDescent="0.2">
      <c r="A9" s="502"/>
      <c r="B9" s="503"/>
      <c r="C9" s="503"/>
      <c r="D9" s="117" t="s">
        <v>578</v>
      </c>
      <c r="E9" s="117" t="s">
        <v>579</v>
      </c>
      <c r="F9" s="117" t="s">
        <v>580</v>
      </c>
      <c r="G9" s="117" t="s">
        <v>581</v>
      </c>
      <c r="I9" s="18"/>
      <c r="J9" s="18"/>
      <c r="K9" s="18"/>
      <c r="M9" s="4"/>
      <c r="N9" s="4"/>
    </row>
    <row r="10" spans="1:19" ht="15" customHeight="1" x14ac:dyDescent="0.2">
      <c r="A10" s="52"/>
      <c r="B10" s="52"/>
      <c r="C10" s="52" t="s">
        <v>582</v>
      </c>
      <c r="D10" s="158"/>
      <c r="E10" s="158"/>
      <c r="F10" s="158"/>
      <c r="G10" s="158"/>
      <c r="I10" s="116" t="s">
        <v>583</v>
      </c>
      <c r="J10" s="117"/>
      <c r="K10" s="117" t="s">
        <v>584</v>
      </c>
      <c r="M10" s="116" t="s">
        <v>583</v>
      </c>
      <c r="N10" s="117" t="s">
        <v>582</v>
      </c>
      <c r="P10" s="2">
        <f>VLOOKUP(D9,$M$11:$N$14,2,0)</f>
        <v>415000</v>
      </c>
      <c r="Q10" s="2">
        <f t="shared" ref="Q10:R10" si="0">VLOOKUP(E9,$M$11:$N$14,2,0)</f>
        <v>990000</v>
      </c>
      <c r="R10" s="2">
        <f t="shared" si="0"/>
        <v>45000</v>
      </c>
      <c r="S10" s="2">
        <f>VLOOKUP(G9,$M$11:$N$14,2,0)</f>
        <v>350000</v>
      </c>
    </row>
    <row r="11" spans="1:19" ht="15" customHeight="1" x14ac:dyDescent="0.2">
      <c r="A11" s="52"/>
      <c r="B11" s="52"/>
      <c r="C11" s="52" t="s">
        <v>584</v>
      </c>
      <c r="D11" s="158"/>
      <c r="E11" s="158"/>
      <c r="F11" s="158"/>
      <c r="G11" s="158"/>
      <c r="I11" s="31" t="s">
        <v>581</v>
      </c>
      <c r="J11" s="31" t="s">
        <v>585</v>
      </c>
      <c r="K11" s="147">
        <v>4000</v>
      </c>
      <c r="M11" s="31" t="s">
        <v>578</v>
      </c>
      <c r="N11" s="147">
        <v>415000</v>
      </c>
      <c r="P11" s="2">
        <f>SUMIF($I$11:$I$32,D9,$K$11:$K$32)</f>
        <v>17600</v>
      </c>
      <c r="Q11" s="2">
        <f t="shared" ref="Q11:S11" si="1">SUMIF($I$11:$I$32,E9,$K$11:$K$32)</f>
        <v>13400</v>
      </c>
      <c r="R11" s="2">
        <f t="shared" si="1"/>
        <v>2500</v>
      </c>
      <c r="S11" s="2">
        <f t="shared" si="1"/>
        <v>12000</v>
      </c>
    </row>
    <row r="12" spans="1:19" ht="15" customHeight="1" x14ac:dyDescent="0.2">
      <c r="A12" s="490"/>
      <c r="B12" s="490"/>
      <c r="C12" s="490"/>
      <c r="D12" s="490"/>
      <c r="E12" s="490"/>
      <c r="F12" s="490"/>
      <c r="G12" s="490"/>
      <c r="I12" s="31" t="s">
        <v>579</v>
      </c>
      <c r="J12" s="31" t="s">
        <v>586</v>
      </c>
      <c r="K12" s="147">
        <v>2500</v>
      </c>
      <c r="M12" s="31" t="s">
        <v>579</v>
      </c>
      <c r="N12" s="147">
        <v>990000</v>
      </c>
    </row>
    <row r="13" spans="1:19" ht="15" customHeight="1" x14ac:dyDescent="0.2">
      <c r="A13" s="52" t="s">
        <v>587</v>
      </c>
      <c r="B13" s="53">
        <v>675000</v>
      </c>
      <c r="C13" s="52" t="s">
        <v>588</v>
      </c>
      <c r="D13" s="54">
        <v>156000</v>
      </c>
      <c r="E13" s="54">
        <v>318000</v>
      </c>
      <c r="F13" s="54">
        <v>59000</v>
      </c>
      <c r="G13" s="159">
        <v>142000</v>
      </c>
      <c r="I13" s="31" t="s">
        <v>578</v>
      </c>
      <c r="J13" s="31" t="s">
        <v>589</v>
      </c>
      <c r="K13" s="147">
        <v>1500</v>
      </c>
      <c r="M13" s="31" t="s">
        <v>580</v>
      </c>
      <c r="N13" s="147">
        <v>45000</v>
      </c>
    </row>
    <row r="14" spans="1:19" ht="15" customHeight="1" x14ac:dyDescent="0.2">
      <c r="A14" s="52" t="s">
        <v>590</v>
      </c>
      <c r="B14" s="53">
        <v>694000</v>
      </c>
      <c r="C14" s="52" t="s">
        <v>591</v>
      </c>
      <c r="D14" s="54">
        <v>99000</v>
      </c>
      <c r="E14" s="54">
        <v>397000</v>
      </c>
      <c r="F14" s="54">
        <v>49500</v>
      </c>
      <c r="G14" s="159">
        <v>148500</v>
      </c>
      <c r="I14" s="31" t="s">
        <v>581</v>
      </c>
      <c r="J14" s="31" t="s">
        <v>592</v>
      </c>
      <c r="K14" s="147">
        <v>2500</v>
      </c>
      <c r="M14" s="31" t="s">
        <v>581</v>
      </c>
      <c r="N14" s="147">
        <v>350000</v>
      </c>
    </row>
    <row r="15" spans="1:19" ht="15" customHeight="1" x14ac:dyDescent="0.2">
      <c r="A15" s="52" t="s">
        <v>593</v>
      </c>
      <c r="B15" s="53">
        <v>150800</v>
      </c>
      <c r="C15" s="52" t="s">
        <v>594</v>
      </c>
      <c r="D15" s="54">
        <v>25133</v>
      </c>
      <c r="E15" s="54">
        <v>75400</v>
      </c>
      <c r="F15" s="54">
        <v>12567</v>
      </c>
      <c r="G15" s="159">
        <v>37700</v>
      </c>
      <c r="I15" s="31" t="s">
        <v>578</v>
      </c>
      <c r="J15" s="31" t="s">
        <v>595</v>
      </c>
      <c r="K15" s="147">
        <v>4000</v>
      </c>
    </row>
    <row r="16" spans="1:19" ht="15" customHeight="1" x14ac:dyDescent="0.2">
      <c r="A16" s="52" t="s">
        <v>596</v>
      </c>
      <c r="B16" s="53">
        <f>SUM(D16:G16)</f>
        <v>98000</v>
      </c>
      <c r="C16" s="52" t="s">
        <v>597</v>
      </c>
      <c r="D16" s="54">
        <v>13035</v>
      </c>
      <c r="E16" s="54">
        <v>76338</v>
      </c>
      <c r="F16" s="54">
        <v>2865</v>
      </c>
      <c r="G16" s="159">
        <v>5762</v>
      </c>
      <c r="I16" s="31" t="s">
        <v>578</v>
      </c>
      <c r="J16" s="31" t="s">
        <v>598</v>
      </c>
      <c r="K16" s="147">
        <v>500</v>
      </c>
    </row>
    <row r="17" spans="1:19" ht="15" customHeight="1" x14ac:dyDescent="0.2">
      <c r="A17" s="52" t="s">
        <v>599</v>
      </c>
      <c r="B17" s="53">
        <v>13250</v>
      </c>
      <c r="C17" s="52" t="s">
        <v>600</v>
      </c>
      <c r="D17" s="54">
        <v>930</v>
      </c>
      <c r="E17" s="54">
        <v>7439</v>
      </c>
      <c r="F17" s="54">
        <v>1395</v>
      </c>
      <c r="G17" s="159">
        <v>3487</v>
      </c>
      <c r="I17" s="31" t="s">
        <v>579</v>
      </c>
      <c r="J17" s="31" t="s">
        <v>601</v>
      </c>
      <c r="K17" s="147">
        <v>900</v>
      </c>
    </row>
    <row r="18" spans="1:19" ht="15" customHeight="1" x14ac:dyDescent="0.2">
      <c r="A18" s="52" t="s">
        <v>602</v>
      </c>
      <c r="B18" s="53">
        <v>29730</v>
      </c>
      <c r="C18" s="52" t="s">
        <v>600</v>
      </c>
      <c r="D18" s="160"/>
      <c r="E18" s="160"/>
      <c r="F18" s="160"/>
      <c r="G18" s="160"/>
      <c r="I18" s="31" t="s">
        <v>581</v>
      </c>
      <c r="J18" s="31" t="s">
        <v>603</v>
      </c>
      <c r="K18" s="147">
        <v>2000</v>
      </c>
      <c r="P18" s="69">
        <f>$B18/SUM($P$10:$S$10)*P10</f>
        <v>6854.4166666666661</v>
      </c>
      <c r="Q18" s="69">
        <f t="shared" ref="Q18:S18" si="2">$B18/SUM($P$10:$S$10)*Q10</f>
        <v>16351.499999999998</v>
      </c>
      <c r="R18" s="69">
        <f t="shared" si="2"/>
        <v>743.25</v>
      </c>
      <c r="S18" s="69">
        <f t="shared" si="2"/>
        <v>5780.833333333333</v>
      </c>
    </row>
    <row r="19" spans="1:19" ht="15" customHeight="1" x14ac:dyDescent="0.2">
      <c r="A19" s="52" t="s">
        <v>37</v>
      </c>
      <c r="B19" s="53">
        <v>70830</v>
      </c>
      <c r="C19" s="52" t="s">
        <v>604</v>
      </c>
      <c r="D19" s="160"/>
      <c r="E19" s="160"/>
      <c r="F19" s="160"/>
      <c r="G19" s="160"/>
      <c r="I19" s="31" t="s">
        <v>578</v>
      </c>
      <c r="J19" s="31" t="s">
        <v>605</v>
      </c>
      <c r="K19" s="147">
        <v>2000</v>
      </c>
      <c r="P19" s="69">
        <f>$B19/SUM($P$11:$S$11)*P11</f>
        <v>27397.978021978022</v>
      </c>
      <c r="Q19" s="69">
        <f t="shared" ref="Q19:S19" si="3">$B19/SUM($P$11:$S$11)*Q11</f>
        <v>20859.824175824178</v>
      </c>
      <c r="R19" s="69">
        <f t="shared" si="3"/>
        <v>3891.7582417582421</v>
      </c>
      <c r="S19" s="69">
        <f t="shared" si="3"/>
        <v>18680.439560439561</v>
      </c>
    </row>
    <row r="20" spans="1:19" ht="15" customHeight="1" x14ac:dyDescent="0.2">
      <c r="A20" s="385" t="s">
        <v>606</v>
      </c>
      <c r="B20" s="385"/>
      <c r="C20" s="385"/>
      <c r="D20" s="161"/>
      <c r="E20" s="161"/>
      <c r="F20" s="161"/>
      <c r="G20" s="161"/>
      <c r="I20" s="31" t="s">
        <v>580</v>
      </c>
      <c r="J20" s="31" t="s">
        <v>607</v>
      </c>
      <c r="K20" s="147">
        <v>2500</v>
      </c>
      <c r="P20" s="69">
        <f>SUM(D13:D17,P18:P19)</f>
        <v>328350.39468864468</v>
      </c>
      <c r="Q20" s="69">
        <f t="shared" ref="Q20:S20" si="4">SUM(E13:E17,Q18:Q19)</f>
        <v>911388.32417582418</v>
      </c>
      <c r="R20" s="69">
        <f t="shared" si="4"/>
        <v>129962.00824175825</v>
      </c>
      <c r="S20" s="69">
        <f t="shared" si="4"/>
        <v>361910.27289377287</v>
      </c>
    </row>
    <row r="21" spans="1:19" ht="15" customHeight="1" x14ac:dyDescent="0.2">
      <c r="A21" s="492" t="s">
        <v>608</v>
      </c>
      <c r="B21" s="492"/>
      <c r="C21" s="492"/>
      <c r="D21" s="493"/>
      <c r="E21" s="493"/>
      <c r="F21" s="493"/>
      <c r="G21" s="493"/>
      <c r="I21" s="31" t="s">
        <v>578</v>
      </c>
      <c r="J21" s="31" t="s">
        <v>609</v>
      </c>
      <c r="K21" s="147">
        <v>700</v>
      </c>
    </row>
    <row r="22" spans="1:19" ht="15" customHeight="1" x14ac:dyDescent="0.2">
      <c r="A22" s="491" t="s">
        <v>610</v>
      </c>
      <c r="B22" s="491"/>
      <c r="C22" s="491"/>
      <c r="D22" s="71">
        <v>351000</v>
      </c>
      <c r="E22" s="71">
        <v>1600000</v>
      </c>
      <c r="F22" s="162">
        <f>SUM(D22:E22,D20:G20)</f>
        <v>1951000</v>
      </c>
      <c r="G22" s="162">
        <f>F22</f>
        <v>1951000</v>
      </c>
      <c r="I22" s="31" t="s">
        <v>581</v>
      </c>
      <c r="J22" s="31" t="s">
        <v>611</v>
      </c>
      <c r="K22" s="147">
        <v>3500</v>
      </c>
      <c r="P22" s="2">
        <v>350000</v>
      </c>
      <c r="Q22" s="2">
        <v>1600000</v>
      </c>
      <c r="R22" s="69">
        <f>SUM(D22:E22,P20:S20)</f>
        <v>3682611</v>
      </c>
      <c r="S22" s="69">
        <f>R22</f>
        <v>3682611</v>
      </c>
    </row>
    <row r="23" spans="1:19" ht="15" customHeight="1" x14ac:dyDescent="0.2">
      <c r="A23" s="384" t="s">
        <v>612</v>
      </c>
      <c r="B23" s="384"/>
      <c r="C23" s="384"/>
      <c r="D23" s="163">
        <f>D20/D22</f>
        <v>0</v>
      </c>
      <c r="E23" s="163">
        <f t="shared" ref="E23:G23" si="5">E20/E22</f>
        <v>0</v>
      </c>
      <c r="F23" s="163">
        <f t="shared" si="5"/>
        <v>0</v>
      </c>
      <c r="G23" s="163">
        <f t="shared" si="5"/>
        <v>0</v>
      </c>
      <c r="I23" s="31" t="s">
        <v>579</v>
      </c>
      <c r="J23" s="31" t="s">
        <v>613</v>
      </c>
      <c r="K23" s="147">
        <v>3000</v>
      </c>
      <c r="P23" s="2">
        <f>P20/D22</f>
        <v>0.93547120993915867</v>
      </c>
      <c r="Q23" s="2">
        <f>Q20/E22</f>
        <v>0.56961770260989009</v>
      </c>
      <c r="R23" s="2">
        <f>R20/R22</f>
        <v>3.5290723956931169E-2</v>
      </c>
      <c r="S23" s="2">
        <f>S20/S22</f>
        <v>9.8275455347787991E-2</v>
      </c>
    </row>
    <row r="24" spans="1:19" ht="15" customHeight="1" x14ac:dyDescent="0.2">
      <c r="D24" s="55"/>
      <c r="E24" s="56"/>
      <c r="F24" s="56"/>
      <c r="G24" s="56"/>
      <c r="I24" s="31" t="s">
        <v>578</v>
      </c>
      <c r="J24" s="31" t="s">
        <v>614</v>
      </c>
      <c r="K24" s="147">
        <v>2500</v>
      </c>
    </row>
    <row r="25" spans="1:19" ht="15" customHeight="1" x14ac:dyDescent="0.2">
      <c r="A25" s="489" t="s">
        <v>615</v>
      </c>
      <c r="B25" s="57"/>
      <c r="C25" s="421" t="s">
        <v>616</v>
      </c>
      <c r="D25" s="56"/>
      <c r="E25" s="421" t="s">
        <v>617</v>
      </c>
      <c r="F25" s="57"/>
      <c r="G25" s="421" t="s">
        <v>488</v>
      </c>
      <c r="I25" s="31" t="s">
        <v>579</v>
      </c>
      <c r="J25" s="31" t="s">
        <v>618</v>
      </c>
      <c r="K25" s="147">
        <v>2000</v>
      </c>
    </row>
    <row r="26" spans="1:19" ht="15" customHeight="1" x14ac:dyDescent="0.2">
      <c r="A26" s="489"/>
      <c r="C26" s="421"/>
      <c r="D26" s="56"/>
      <c r="E26" s="421"/>
      <c r="F26" s="56"/>
      <c r="G26" s="421"/>
      <c r="I26" s="31" t="s">
        <v>578</v>
      </c>
      <c r="J26" s="31" t="s">
        <v>619</v>
      </c>
      <c r="K26" s="147">
        <v>500</v>
      </c>
    </row>
    <row r="27" spans="1:19" ht="15" customHeight="1" x14ac:dyDescent="0.2">
      <c r="A27" s="27" t="s">
        <v>620</v>
      </c>
      <c r="C27" s="165">
        <v>350000</v>
      </c>
      <c r="D27" s="56"/>
      <c r="E27" s="167"/>
      <c r="F27" s="56"/>
      <c r="G27" s="169"/>
      <c r="I27" s="31" t="s">
        <v>578</v>
      </c>
      <c r="J27" s="31" t="s">
        <v>621</v>
      </c>
      <c r="K27" s="147">
        <v>800</v>
      </c>
      <c r="P27" s="2">
        <f>D22</f>
        <v>351000</v>
      </c>
      <c r="Q27" s="2">
        <f>(P27-C27)/C27</f>
        <v>2.8571428571428571E-3</v>
      </c>
    </row>
    <row r="28" spans="1:19" ht="15" customHeight="1" x14ac:dyDescent="0.2">
      <c r="A28" s="27" t="s">
        <v>622</v>
      </c>
      <c r="B28" s="73" t="s">
        <v>656</v>
      </c>
      <c r="C28" s="166">
        <v>280000</v>
      </c>
      <c r="D28" s="56"/>
      <c r="E28" s="167"/>
      <c r="F28" s="56"/>
      <c r="G28" s="169"/>
      <c r="I28" s="31" t="s">
        <v>578</v>
      </c>
      <c r="J28" s="31" t="s">
        <v>623</v>
      </c>
      <c r="K28" s="147">
        <v>3000</v>
      </c>
      <c r="P28" s="2">
        <f>P20</f>
        <v>328350.39468864468</v>
      </c>
      <c r="Q28" s="2">
        <f t="shared" ref="Q28:Q34" si="6">(P28-C28)/C28</f>
        <v>0.17267998103087384</v>
      </c>
    </row>
    <row r="29" spans="1:19" ht="15" customHeight="1" x14ac:dyDescent="0.2">
      <c r="A29" s="27" t="s">
        <v>624</v>
      </c>
      <c r="B29" s="73" t="s">
        <v>656</v>
      </c>
      <c r="C29" s="165">
        <v>1660000</v>
      </c>
      <c r="D29" s="56"/>
      <c r="E29" s="167"/>
      <c r="F29" s="56"/>
      <c r="G29" s="169"/>
      <c r="I29" s="31" t="s">
        <v>579</v>
      </c>
      <c r="J29" s="31" t="s">
        <v>625</v>
      </c>
      <c r="K29" s="147">
        <v>5000</v>
      </c>
      <c r="P29" s="2">
        <f>E22</f>
        <v>1600000</v>
      </c>
      <c r="Q29" s="2">
        <f t="shared" si="6"/>
        <v>-3.614457831325301E-2</v>
      </c>
    </row>
    <row r="30" spans="1:19" ht="15" customHeight="1" x14ac:dyDescent="0.2">
      <c r="A30" s="27" t="s">
        <v>626</v>
      </c>
      <c r="B30" s="73" t="s">
        <v>656</v>
      </c>
      <c r="C30" s="166">
        <v>800000</v>
      </c>
      <c r="D30" s="56"/>
      <c r="E30" s="167"/>
      <c r="F30" s="56"/>
      <c r="G30" s="169"/>
      <c r="I30" s="31" t="s">
        <v>578</v>
      </c>
      <c r="J30" s="31" t="s">
        <v>627</v>
      </c>
      <c r="K30" s="147">
        <v>700</v>
      </c>
      <c r="P30" s="2">
        <f>Q20</f>
        <v>911388.32417582418</v>
      </c>
      <c r="Q30" s="2">
        <f t="shared" si="6"/>
        <v>0.13923540521978023</v>
      </c>
    </row>
    <row r="31" spans="1:19" ht="15" customHeight="1" x14ac:dyDescent="0.2">
      <c r="A31" s="164" t="s">
        <v>633</v>
      </c>
      <c r="B31" s="73" t="s">
        <v>657</v>
      </c>
      <c r="C31" s="165">
        <v>3100000</v>
      </c>
      <c r="D31" s="56"/>
      <c r="E31" s="115"/>
      <c r="F31" s="37"/>
      <c r="G31" s="169"/>
      <c r="I31" s="31" t="s">
        <v>578</v>
      </c>
      <c r="J31" s="31" t="s">
        <v>628</v>
      </c>
      <c r="K31" s="147">
        <v>600</v>
      </c>
      <c r="P31" s="2">
        <f>R22</f>
        <v>3682611</v>
      </c>
      <c r="Q31" s="2">
        <f t="shared" si="6"/>
        <v>0.18793903225806452</v>
      </c>
    </row>
    <row r="32" spans="1:19" ht="15" customHeight="1" x14ac:dyDescent="0.2">
      <c r="A32" s="74" t="s">
        <v>630</v>
      </c>
      <c r="B32" s="72" t="s">
        <v>656</v>
      </c>
      <c r="C32" s="166">
        <v>130000</v>
      </c>
      <c r="D32" s="56"/>
      <c r="E32" s="167"/>
      <c r="F32" s="56"/>
      <c r="G32" s="169"/>
      <c r="I32" s="31" t="s">
        <v>578</v>
      </c>
      <c r="J32" s="31" t="s">
        <v>629</v>
      </c>
      <c r="K32" s="147">
        <v>800</v>
      </c>
      <c r="P32" s="2">
        <f>R20</f>
        <v>129962.00824175825</v>
      </c>
      <c r="Q32" s="2">
        <f t="shared" si="6"/>
        <v>-2.9224429416734401E-4</v>
      </c>
    </row>
    <row r="33" spans="1:17" ht="15" customHeight="1" x14ac:dyDescent="0.2">
      <c r="A33" s="27" t="s">
        <v>631</v>
      </c>
      <c r="B33" s="73" t="s">
        <v>656</v>
      </c>
      <c r="C33" s="166">
        <v>350000</v>
      </c>
      <c r="D33" s="56"/>
      <c r="E33" s="168"/>
      <c r="F33" s="56"/>
      <c r="G33" s="169"/>
      <c r="P33" s="2">
        <f>S20</f>
        <v>361910.27289377287</v>
      </c>
      <c r="Q33" s="2">
        <f t="shared" si="6"/>
        <v>3.4029351125065339E-2</v>
      </c>
    </row>
    <row r="34" spans="1:17" ht="15" customHeight="1" x14ac:dyDescent="0.2">
      <c r="A34" s="27" t="s">
        <v>632</v>
      </c>
      <c r="B34" s="73" t="s">
        <v>657</v>
      </c>
      <c r="C34" s="165">
        <f>SUM(C31:C33)</f>
        <v>3580000</v>
      </c>
      <c r="D34" s="56"/>
      <c r="E34" s="167"/>
      <c r="F34" s="56"/>
      <c r="G34" s="169"/>
      <c r="M34" s="306" t="s">
        <v>900</v>
      </c>
      <c r="N34" s="220" t="s">
        <v>732</v>
      </c>
      <c r="P34" s="2">
        <f>SUM(P31:P33)</f>
        <v>4174483.2811355311</v>
      </c>
      <c r="Q34" s="2">
        <f t="shared" si="6"/>
        <v>0.1660567824400925</v>
      </c>
    </row>
    <row r="35" spans="1:17" ht="15" customHeight="1" x14ac:dyDescent="0.2">
      <c r="I35" s="4"/>
      <c r="J35" s="4"/>
      <c r="K35" s="4"/>
    </row>
    <row r="36" spans="1:17" ht="15" customHeight="1" x14ac:dyDescent="0.2">
      <c r="K36" s="4"/>
    </row>
    <row r="37" spans="1:17" ht="15" customHeight="1" x14ac:dyDescent="0.2">
      <c r="K37" s="4"/>
    </row>
    <row r="38" spans="1:17" ht="15" customHeight="1" x14ac:dyDescent="0.2">
      <c r="K38" s="4"/>
    </row>
    <row r="39" spans="1:17" ht="15" customHeight="1" x14ac:dyDescent="0.2">
      <c r="K39" s="4"/>
    </row>
    <row r="40" spans="1:17" ht="15" customHeight="1" x14ac:dyDescent="0.2">
      <c r="K40" s="4"/>
    </row>
    <row r="41" spans="1:17" ht="15" customHeight="1" x14ac:dyDescent="0.2">
      <c r="K41" s="4"/>
    </row>
    <row r="42" spans="1:17" ht="15" customHeight="1" x14ac:dyDescent="0.2">
      <c r="K42" s="4"/>
    </row>
  </sheetData>
  <sheetProtection sheet="1" objects="1" scenarios="1" formatCells="0"/>
  <protectedRanges>
    <protectedRange sqref="D10:G11 D18:G20 E27:E34 G27:G34" name="Bereich1"/>
  </protectedRanges>
  <mergeCells count="17">
    <mergeCell ref="A2:G4"/>
    <mergeCell ref="A6:G6"/>
    <mergeCell ref="A8:A9"/>
    <mergeCell ref="B8:B9"/>
    <mergeCell ref="C8:C9"/>
    <mergeCell ref="D8:G8"/>
    <mergeCell ref="I8:K8"/>
    <mergeCell ref="M8:N8"/>
    <mergeCell ref="A25:A26"/>
    <mergeCell ref="C25:C26"/>
    <mergeCell ref="E25:E26"/>
    <mergeCell ref="G25:G26"/>
    <mergeCell ref="A12:G12"/>
    <mergeCell ref="A20:C20"/>
    <mergeCell ref="A22:C22"/>
    <mergeCell ref="A23:C23"/>
    <mergeCell ref="A21:G21"/>
  </mergeCells>
  <conditionalFormatting sqref="D10:G11">
    <cfRule type="expression" dxfId="35" priority="15">
      <formula>AND(D10&lt;&gt;"",D10&lt;&gt;P10)</formula>
    </cfRule>
    <cfRule type="expression" dxfId="34" priority="16">
      <formula>AND(D10&lt;&gt;"",D10=P10)</formula>
    </cfRule>
  </conditionalFormatting>
  <conditionalFormatting sqref="D18:G20">
    <cfRule type="containsErrors" dxfId="33" priority="6">
      <formula>ISERROR(D18)</formula>
    </cfRule>
    <cfRule type="expression" dxfId="32" priority="13">
      <formula>AND(D18&lt;&gt;"",D18&lt;&gt;P18)</formula>
    </cfRule>
    <cfRule type="expression" dxfId="31" priority="14">
      <formula>AND(D18&lt;&gt;"",D18=P18)</formula>
    </cfRule>
  </conditionalFormatting>
  <conditionalFormatting sqref="E27:E34">
    <cfRule type="containsErrors" dxfId="30" priority="4">
      <formula>ISERROR(E27)</formula>
    </cfRule>
    <cfRule type="expression" dxfId="29" priority="9">
      <formula>AND(E27&lt;&gt;"",E27&lt;&gt;P27)</formula>
    </cfRule>
    <cfRule type="expression" dxfId="28" priority="10">
      <formula>AND(E27&lt;&gt;"",E27=P27)</formula>
    </cfRule>
  </conditionalFormatting>
  <conditionalFormatting sqref="G27:G34">
    <cfRule type="containsErrors" dxfId="27" priority="3">
      <formula>ISERROR(G27)</formula>
    </cfRule>
    <cfRule type="expression" dxfId="26" priority="7">
      <formula>AND(G27&lt;&gt;"",G27&lt;&gt;Q27)</formula>
    </cfRule>
    <cfRule type="expression" dxfId="25" priority="8">
      <formula>AND(G27&lt;&gt;"",G27=Q27)</formula>
    </cfRule>
  </conditionalFormatting>
  <conditionalFormatting sqref="D23:G23">
    <cfRule type="cellIs" dxfId="24" priority="2" operator="equal">
      <formula>0</formula>
    </cfRule>
  </conditionalFormatting>
  <conditionalFormatting sqref="F22:G22">
    <cfRule type="cellIs" dxfId="23" priority="1" operator="equal">
      <formula>1951000</formula>
    </cfRule>
  </conditionalFormatting>
  <hyperlinks>
    <hyperlink ref="N2" location="Übersicht!A1" display="Zur Übersicht" xr:uid="{00000000-0004-0000-1400-000000000000}"/>
    <hyperlink ref="N34" location="Übersicht!A1" display="Zur Übersicht" xr:uid="{00000000-0004-0000-1400-000001000000}"/>
  </hyperlinks>
  <pageMargins left="0.7" right="0.7" top="0.78740157499999996" bottom="0.78740157499999996" header="0.3" footer="0.3"/>
  <pageSetup paperSize="9"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18">
    <tabColor theme="7" tint="-0.499984740745262"/>
  </sheetPr>
  <dimension ref="A1:R46"/>
  <sheetViews>
    <sheetView showGridLines="0" zoomScaleNormal="100" zoomScalePageLayoutView="130" workbookViewId="0">
      <selection activeCell="S17" sqref="S17"/>
    </sheetView>
  </sheetViews>
  <sheetFormatPr baseColWidth="10" defaultColWidth="11.42578125" defaultRowHeight="15" customHeight="1" x14ac:dyDescent="0.2"/>
  <cols>
    <col min="1" max="5" width="17.28515625" style="2" customWidth="1"/>
    <col min="6" max="6" width="25.5703125" style="2" customWidth="1"/>
    <col min="7" max="7" width="17.28515625" style="2" customWidth="1"/>
    <col min="8" max="8" width="7.42578125" style="2" customWidth="1"/>
    <col min="9" max="11" width="15.7109375" style="2" customWidth="1"/>
    <col min="12" max="12" width="11.42578125" style="2"/>
    <col min="13" max="14" width="12.85546875" style="2" bestFit="1" customWidth="1"/>
    <col min="15" max="15" width="11.42578125" style="2"/>
    <col min="16" max="18" width="0" style="2" hidden="1" customWidth="1"/>
    <col min="19" max="16384" width="11.42578125" style="2"/>
  </cols>
  <sheetData>
    <row r="1" spans="1:18" ht="15" customHeight="1" thickBot="1" x14ac:dyDescent="0.25"/>
    <row r="2" spans="1:18" ht="15" customHeight="1" x14ac:dyDescent="0.2">
      <c r="A2" s="386" t="str">
        <f ca="1">"1. Berechnen Sie die Werte in den Zellen D12 bis E16 unter Zuhilfenahme der Absatzzahlen des 1. Halbjahres "&amp;YEAR(TODAY())-1&amp;".
2. Übertragen Sie die Schlussbestände der oberen in die untere Tabelle unter Verwendung der SVERWEIS-Funktion."&amp;"
3. Berechnen Sie die Spalte F der unteren Tabelle. Stellen Sie den Wert mit zwei Dezimalstellen dar."&amp;"
4. Wenn die Schlussbestände des 1. Halbjahres "&amp;YEAR(TODAY())-1&amp;" im Vergleich zum 2. Halbjahr "&amp;YEAR(TODAY())-2&amp;" und die des 2. Halbjahres "&amp;YEAR(TODAY())-2&amp;" im Vergleich zum 1. Halbjahr "&amp;YEAR(TODAY())-2&amp;" um mehr als 5.000 Stück gestiegen sind,
     soll in Spalte G ""ja"", ansonsten ""nein"" stehen."</f>
        <v>1. Berechnen Sie die Werte in den Zellen D12 bis E16 unter Zuhilfenahme der Absatzzahlen des 1. Halbjahres 2024.
2. Übertragen Sie die Schlussbestände der oberen in die untere Tabelle unter Verwendung der SVERWEIS-Funktion.
3. Berechnen Sie die Spalte F der unteren Tabelle. Stellen Sie den Wert mit zwei Dezimalstellen dar.
4. Wenn die Schlussbestände des 1. Halbjahres 2024 im Vergleich zum 2. Halbjahr 2023 und die des 2. Halbjahres 2023 im Vergleich zum 1. Halbjahr 2023 um mehr als 5.000 Stück gestiegen sind,
     soll in Spalte G "ja", ansonsten "nein" stehen.</v>
      </c>
      <c r="B2" s="387"/>
      <c r="C2" s="387"/>
      <c r="D2" s="387"/>
      <c r="E2" s="387"/>
      <c r="F2" s="387"/>
      <c r="G2" s="387"/>
      <c r="H2" s="387"/>
      <c r="I2" s="387"/>
      <c r="J2" s="387"/>
      <c r="K2" s="388"/>
      <c r="M2" s="306" t="s">
        <v>900</v>
      </c>
      <c r="N2" s="220" t="s">
        <v>732</v>
      </c>
    </row>
    <row r="3" spans="1:18" ht="15" customHeight="1" x14ac:dyDescent="0.2">
      <c r="A3" s="389"/>
      <c r="B3" s="390"/>
      <c r="C3" s="390"/>
      <c r="D3" s="390"/>
      <c r="E3" s="390"/>
      <c r="F3" s="390"/>
      <c r="G3" s="390"/>
      <c r="H3" s="390"/>
      <c r="I3" s="390"/>
      <c r="J3" s="390"/>
      <c r="K3" s="391"/>
    </row>
    <row r="4" spans="1:18" ht="15" customHeight="1" x14ac:dyDescent="0.2">
      <c r="A4" s="389"/>
      <c r="B4" s="390"/>
      <c r="C4" s="390"/>
      <c r="D4" s="390"/>
      <c r="E4" s="390"/>
      <c r="F4" s="390"/>
      <c r="G4" s="390"/>
      <c r="H4" s="390"/>
      <c r="I4" s="390"/>
      <c r="J4" s="390"/>
      <c r="K4" s="391"/>
    </row>
    <row r="5" spans="1:18" ht="15" customHeight="1" x14ac:dyDescent="0.2">
      <c r="A5" s="389"/>
      <c r="B5" s="390"/>
      <c r="C5" s="390"/>
      <c r="D5" s="390"/>
      <c r="E5" s="390"/>
      <c r="F5" s="390"/>
      <c r="G5" s="390"/>
      <c r="H5" s="390"/>
      <c r="I5" s="390"/>
      <c r="J5" s="390"/>
      <c r="K5" s="391"/>
    </row>
    <row r="6" spans="1:18" ht="15" customHeight="1" x14ac:dyDescent="0.2">
      <c r="A6" s="389"/>
      <c r="B6" s="390"/>
      <c r="C6" s="390"/>
      <c r="D6" s="390"/>
      <c r="E6" s="390"/>
      <c r="F6" s="390"/>
      <c r="G6" s="390"/>
      <c r="H6" s="390"/>
      <c r="I6" s="390"/>
      <c r="J6" s="390"/>
      <c r="K6" s="391"/>
    </row>
    <row r="7" spans="1:18" ht="15" customHeight="1" thickBot="1" x14ac:dyDescent="0.25">
      <c r="A7" s="392"/>
      <c r="B7" s="393"/>
      <c r="C7" s="393"/>
      <c r="D7" s="393"/>
      <c r="E7" s="393"/>
      <c r="F7" s="393"/>
      <c r="G7" s="393"/>
      <c r="H7" s="393"/>
      <c r="I7" s="393"/>
      <c r="J7" s="393"/>
      <c r="K7" s="394"/>
    </row>
    <row r="9" spans="1:18" ht="17.25" customHeight="1" x14ac:dyDescent="0.2">
      <c r="A9" s="418" t="str">
        <f ca="1">"Veränderung der Lagerbestände für Ordner
 1. Halbjahr "&amp;YEAR(TODAY())-1</f>
        <v>Veränderung der Lagerbestände für Ordner
 1. Halbjahr 2024</v>
      </c>
      <c r="B9" s="418"/>
      <c r="C9" s="418"/>
      <c r="D9" s="418"/>
      <c r="E9" s="418"/>
      <c r="F9" s="418"/>
      <c r="I9" s="395" t="str">
        <f ca="1">"Absatzzahlen 1. Halbjahr "&amp;YEAR(TODAY())-1</f>
        <v>Absatzzahlen 1. Halbjahr 2024</v>
      </c>
      <c r="J9" s="395"/>
      <c r="K9" s="395"/>
    </row>
    <row r="10" spans="1:18" ht="17.25" customHeight="1" x14ac:dyDescent="0.2">
      <c r="A10" s="418"/>
      <c r="B10" s="418"/>
      <c r="C10" s="418"/>
      <c r="D10" s="418"/>
      <c r="E10" s="418"/>
      <c r="F10" s="418"/>
      <c r="I10" s="395"/>
      <c r="J10" s="395"/>
      <c r="K10" s="395"/>
    </row>
    <row r="11" spans="1:18" ht="30.75" customHeight="1" x14ac:dyDescent="0.2">
      <c r="A11" s="112" t="s">
        <v>489</v>
      </c>
      <c r="B11" s="75" t="s">
        <v>490</v>
      </c>
      <c r="C11" s="75" t="s">
        <v>496</v>
      </c>
      <c r="D11" s="75" t="s">
        <v>495</v>
      </c>
      <c r="E11" s="75" t="s">
        <v>491</v>
      </c>
      <c r="F11" s="75" t="s">
        <v>497</v>
      </c>
      <c r="I11" s="155" t="s">
        <v>54</v>
      </c>
      <c r="J11" s="156" t="s">
        <v>489</v>
      </c>
      <c r="K11" s="157" t="s">
        <v>550</v>
      </c>
    </row>
    <row r="12" spans="1:18" ht="15" customHeight="1" x14ac:dyDescent="0.2">
      <c r="A12" s="29">
        <v>10201</v>
      </c>
      <c r="B12" s="3">
        <v>27800</v>
      </c>
      <c r="C12" s="3">
        <v>30000</v>
      </c>
      <c r="D12" s="78"/>
      <c r="E12" s="78"/>
      <c r="F12" s="78"/>
      <c r="I12" s="99">
        <f ca="1">DATE(YEAR(TODAY())-1,1,4)</f>
        <v>45295</v>
      </c>
      <c r="J12" s="29">
        <v>10205</v>
      </c>
      <c r="K12" s="3">
        <v>5900</v>
      </c>
      <c r="P12" s="2">
        <f>SUMIF($J$12:$J$30,A12,$K$12:$K$30)</f>
        <v>20000</v>
      </c>
      <c r="Q12" s="5">
        <f>B12+C12-P12</f>
        <v>37800</v>
      </c>
      <c r="R12" s="2">
        <f>COUNTIF($J$12:$J$30,A12)</f>
        <v>1</v>
      </c>
    </row>
    <row r="13" spans="1:18" ht="15" customHeight="1" x14ac:dyDescent="0.2">
      <c r="A13" s="29">
        <v>10202</v>
      </c>
      <c r="B13" s="3">
        <v>10900</v>
      </c>
      <c r="C13" s="3">
        <v>30000</v>
      </c>
      <c r="D13" s="78"/>
      <c r="E13" s="78"/>
      <c r="F13" s="78"/>
      <c r="I13" s="99">
        <f ca="1">I12+13</f>
        <v>45308</v>
      </c>
      <c r="J13" s="29">
        <v>10203</v>
      </c>
      <c r="K13" s="3">
        <v>9300</v>
      </c>
      <c r="P13" s="2">
        <f t="shared" ref="P13:P16" si="0">SUMIF($J$12:$J$30,A13,$K$12:$K$30)</f>
        <v>29000</v>
      </c>
      <c r="Q13" s="5">
        <f t="shared" ref="Q13:Q16" si="1">B13+C13-P13</f>
        <v>11900</v>
      </c>
      <c r="R13" s="2">
        <f t="shared" ref="R13:R16" si="2">COUNTIF($J$12:$J$30,A13)</f>
        <v>6</v>
      </c>
    </row>
    <row r="14" spans="1:18" ht="15" customHeight="1" x14ac:dyDescent="0.2">
      <c r="A14" s="29">
        <v>10203</v>
      </c>
      <c r="B14" s="3">
        <v>13400</v>
      </c>
      <c r="C14" s="3">
        <v>30000</v>
      </c>
      <c r="D14" s="78"/>
      <c r="E14" s="78"/>
      <c r="F14" s="78"/>
      <c r="I14" s="99">
        <f ca="1">I13+13</f>
        <v>45321</v>
      </c>
      <c r="J14" s="29">
        <v>10202</v>
      </c>
      <c r="K14" s="3">
        <v>6700</v>
      </c>
      <c r="P14" s="2">
        <f t="shared" si="0"/>
        <v>29250</v>
      </c>
      <c r="Q14" s="5">
        <f t="shared" si="1"/>
        <v>14150</v>
      </c>
      <c r="R14" s="2">
        <f t="shared" si="2"/>
        <v>6</v>
      </c>
    </row>
    <row r="15" spans="1:18" ht="15" customHeight="1" x14ac:dyDescent="0.2">
      <c r="A15" s="29">
        <v>10204</v>
      </c>
      <c r="B15" s="3">
        <v>15400</v>
      </c>
      <c r="C15" s="3">
        <v>30000</v>
      </c>
      <c r="D15" s="78"/>
      <c r="E15" s="78"/>
      <c r="F15" s="78"/>
      <c r="I15" s="99">
        <f ca="1">I14+9</f>
        <v>45330</v>
      </c>
      <c r="J15" s="29">
        <v>10202</v>
      </c>
      <c r="K15" s="3">
        <v>2100</v>
      </c>
      <c r="P15" s="2">
        <f t="shared" si="0"/>
        <v>30450</v>
      </c>
      <c r="Q15" s="5">
        <f t="shared" si="1"/>
        <v>14950</v>
      </c>
      <c r="R15" s="2">
        <f t="shared" si="2"/>
        <v>4</v>
      </c>
    </row>
    <row r="16" spans="1:18" ht="15" customHeight="1" x14ac:dyDescent="0.2">
      <c r="A16" s="29">
        <v>10205</v>
      </c>
      <c r="B16" s="3">
        <v>9600</v>
      </c>
      <c r="C16" s="3">
        <v>30000</v>
      </c>
      <c r="D16" s="78"/>
      <c r="E16" s="78"/>
      <c r="F16" s="78"/>
      <c r="I16" s="99">
        <f ca="1">I15+15</f>
        <v>45345</v>
      </c>
      <c r="J16" s="29">
        <v>10204</v>
      </c>
      <c r="K16" s="3">
        <v>10000</v>
      </c>
      <c r="P16" s="2">
        <f t="shared" si="0"/>
        <v>27400</v>
      </c>
      <c r="Q16" s="5">
        <f t="shared" si="1"/>
        <v>12200</v>
      </c>
      <c r="R16" s="2">
        <f t="shared" si="2"/>
        <v>2</v>
      </c>
    </row>
    <row r="17" spans="1:18" ht="15" customHeight="1" x14ac:dyDescent="0.2">
      <c r="I17" s="99">
        <f ca="1">I16+6</f>
        <v>45351</v>
      </c>
      <c r="J17" s="29">
        <v>10205</v>
      </c>
      <c r="K17" s="3">
        <v>21500</v>
      </c>
    </row>
    <row r="18" spans="1:18" ht="15" customHeight="1" x14ac:dyDescent="0.2">
      <c r="A18" s="505" t="s">
        <v>492</v>
      </c>
      <c r="B18" s="415" t="s">
        <v>493</v>
      </c>
      <c r="C18" s="415"/>
      <c r="D18" s="415"/>
      <c r="E18" s="415"/>
      <c r="F18" s="503" t="str">
        <f ca="1">"Prozentuale Abweichung
 1. Halbjahr "&amp;YEAR(TODAY())-1
&amp;
 " vom 2. Halbjahr "&amp;YEAR(TODAY())-2</f>
        <v>Prozentuale Abweichung
 1. Halbjahr 2024 vom 2. Halbjahr 2023</v>
      </c>
      <c r="G18" s="503" t="s">
        <v>494</v>
      </c>
      <c r="I18" s="99">
        <f ca="1">I17+6</f>
        <v>45357</v>
      </c>
      <c r="J18" s="29">
        <v>10203</v>
      </c>
      <c r="K18" s="3">
        <v>6000</v>
      </c>
    </row>
    <row r="19" spans="1:18" ht="15" customHeight="1" x14ac:dyDescent="0.2">
      <c r="A19" s="505"/>
      <c r="B19" s="503" t="str">
        <f ca="1">"2. Halbjahr
"&amp;YEAR(TODAY())-3</f>
        <v>2. Halbjahr
2022</v>
      </c>
      <c r="C19" s="503" t="str">
        <f ca="1">"1. Halbjahr
"&amp;YEAR(TODAY())-2</f>
        <v>1. Halbjahr
2023</v>
      </c>
      <c r="D19" s="503" t="str">
        <f ca="1">"2. Halbjahr
"&amp;YEAR(TODAY())-2</f>
        <v>2. Halbjahr
2023</v>
      </c>
      <c r="E19" s="504" t="str">
        <f ca="1">"1. Halbjahr
"&amp;YEAR(TODAY())-1</f>
        <v>1. Halbjahr
2024</v>
      </c>
      <c r="F19" s="503"/>
      <c r="G19" s="503"/>
      <c r="I19" s="99">
        <f ca="1">I18+8</f>
        <v>45365</v>
      </c>
      <c r="J19" s="29">
        <v>10202</v>
      </c>
      <c r="K19" s="3">
        <v>8400</v>
      </c>
    </row>
    <row r="20" spans="1:18" ht="15" customHeight="1" x14ac:dyDescent="0.2">
      <c r="A20" s="505"/>
      <c r="B20" s="503"/>
      <c r="C20" s="503"/>
      <c r="D20" s="503"/>
      <c r="E20" s="504"/>
      <c r="F20" s="503"/>
      <c r="G20" s="503"/>
      <c r="I20" s="99">
        <f ca="1">I19+11</f>
        <v>45376</v>
      </c>
      <c r="J20" s="29">
        <v>10204</v>
      </c>
      <c r="K20" s="3">
        <v>8000</v>
      </c>
    </row>
    <row r="21" spans="1:18" ht="15" customHeight="1" x14ac:dyDescent="0.2">
      <c r="A21" s="29">
        <v>10201</v>
      </c>
      <c r="B21" s="3">
        <v>14300</v>
      </c>
      <c r="C21" s="3">
        <v>9900</v>
      </c>
      <c r="D21" s="3">
        <v>27800</v>
      </c>
      <c r="E21" s="78"/>
      <c r="F21" s="180"/>
      <c r="G21" s="76"/>
      <c r="I21" s="99">
        <f ca="1">I20+15</f>
        <v>45391</v>
      </c>
      <c r="J21" s="29">
        <v>10203</v>
      </c>
      <c r="K21" s="3">
        <v>9500</v>
      </c>
      <c r="P21" s="2">
        <f>VLOOKUP(A21,$A$12:$Q$16,17,0)</f>
        <v>37800</v>
      </c>
      <c r="Q21" s="2">
        <f>(P21-D21)/D21</f>
        <v>0.35971223021582732</v>
      </c>
      <c r="R21" s="2" t="str">
        <f>IF(AND(P21-D21&gt;5000,D21-C21&gt;5000),"ja","nein")</f>
        <v>ja</v>
      </c>
    </row>
    <row r="22" spans="1:18" ht="15" customHeight="1" x14ac:dyDescent="0.2">
      <c r="A22" s="29">
        <v>10202</v>
      </c>
      <c r="B22" s="3">
        <v>11220</v>
      </c>
      <c r="C22" s="3">
        <v>11100</v>
      </c>
      <c r="D22" s="3">
        <v>10900</v>
      </c>
      <c r="E22" s="78"/>
      <c r="F22" s="180"/>
      <c r="G22" s="76"/>
      <c r="I22" s="99">
        <f ca="1">I21+9</f>
        <v>45400</v>
      </c>
      <c r="J22" s="29">
        <v>10204</v>
      </c>
      <c r="K22" s="147">
        <v>5550</v>
      </c>
      <c r="P22" s="2">
        <f t="shared" ref="P22:P25" si="3">VLOOKUP(A22,$A$12:$Q$16,17,0)</f>
        <v>11900</v>
      </c>
      <c r="Q22" s="2">
        <f t="shared" ref="Q22:Q25" si="4">(P22-D22)/D22</f>
        <v>9.1743119266055051E-2</v>
      </c>
      <c r="R22" s="2" t="str">
        <f t="shared" ref="R22:R25" si="5">IF(AND(P22-D22&gt;5000,D22-C22&gt;5000),"ja","nein")</f>
        <v>nein</v>
      </c>
    </row>
    <row r="23" spans="1:18" ht="15" customHeight="1" x14ac:dyDescent="0.2">
      <c r="A23" s="29">
        <v>10203</v>
      </c>
      <c r="B23" s="3">
        <v>12890</v>
      </c>
      <c r="C23" s="3">
        <v>14230</v>
      </c>
      <c r="D23" s="3">
        <v>13400</v>
      </c>
      <c r="E23" s="78"/>
      <c r="F23" s="180"/>
      <c r="G23" s="76"/>
      <c r="I23" s="99">
        <f ca="1">I22+11</f>
        <v>45411</v>
      </c>
      <c r="J23" s="29">
        <v>10203</v>
      </c>
      <c r="K23" s="3">
        <v>1750</v>
      </c>
      <c r="P23" s="2">
        <f t="shared" si="3"/>
        <v>14150</v>
      </c>
      <c r="Q23" s="2">
        <f t="shared" si="4"/>
        <v>5.5970149253731345E-2</v>
      </c>
      <c r="R23" s="2" t="str">
        <f t="shared" si="5"/>
        <v>nein</v>
      </c>
    </row>
    <row r="24" spans="1:18" ht="15" customHeight="1" x14ac:dyDescent="0.2">
      <c r="A24" s="29">
        <v>10204</v>
      </c>
      <c r="B24" s="3">
        <v>11900</v>
      </c>
      <c r="C24" s="3">
        <v>12000</v>
      </c>
      <c r="D24" s="3">
        <v>15400</v>
      </c>
      <c r="E24" s="78"/>
      <c r="F24" s="180"/>
      <c r="G24" s="76"/>
      <c r="I24" s="99">
        <f ca="1">I23+7</f>
        <v>45418</v>
      </c>
      <c r="J24" s="29">
        <v>10203</v>
      </c>
      <c r="K24" s="3">
        <v>1800</v>
      </c>
      <c r="P24" s="2">
        <f t="shared" si="3"/>
        <v>14950</v>
      </c>
      <c r="Q24" s="2">
        <f t="shared" si="4"/>
        <v>-2.922077922077922E-2</v>
      </c>
      <c r="R24" s="2" t="str">
        <f t="shared" si="5"/>
        <v>nein</v>
      </c>
    </row>
    <row r="25" spans="1:18" ht="15" customHeight="1" x14ac:dyDescent="0.2">
      <c r="A25" s="29">
        <v>10205</v>
      </c>
      <c r="B25" s="3">
        <v>10200</v>
      </c>
      <c r="C25" s="3">
        <v>25700</v>
      </c>
      <c r="D25" s="3">
        <v>9600</v>
      </c>
      <c r="E25" s="78"/>
      <c r="F25" s="180"/>
      <c r="G25" s="76"/>
      <c r="I25" s="99">
        <f ca="1">I24+10</f>
        <v>45428</v>
      </c>
      <c r="J25" s="29">
        <v>10204</v>
      </c>
      <c r="K25" s="3">
        <v>6900</v>
      </c>
      <c r="P25" s="2">
        <f t="shared" si="3"/>
        <v>12200</v>
      </c>
      <c r="Q25" s="2">
        <f t="shared" si="4"/>
        <v>0.27083333333333331</v>
      </c>
      <c r="R25" s="2" t="str">
        <f t="shared" si="5"/>
        <v>nein</v>
      </c>
    </row>
    <row r="26" spans="1:18" ht="15" customHeight="1" x14ac:dyDescent="0.2">
      <c r="I26" s="99">
        <f ca="1">I25+14</f>
        <v>45442</v>
      </c>
      <c r="J26" s="29">
        <v>10202</v>
      </c>
      <c r="K26" s="147">
        <v>1500</v>
      </c>
    </row>
    <row r="27" spans="1:18" ht="15" customHeight="1" x14ac:dyDescent="0.2">
      <c r="I27" s="99">
        <f ca="1">I26+6</f>
        <v>45448</v>
      </c>
      <c r="J27" s="29">
        <v>10201</v>
      </c>
      <c r="K27" s="3">
        <v>20000</v>
      </c>
    </row>
    <row r="28" spans="1:18" ht="15" customHeight="1" x14ac:dyDescent="0.2">
      <c r="I28" s="99">
        <f ca="1">I27+7</f>
        <v>45455</v>
      </c>
      <c r="J28" s="29">
        <v>10202</v>
      </c>
      <c r="K28" s="3">
        <v>5600</v>
      </c>
    </row>
    <row r="29" spans="1:18" ht="15" customHeight="1" x14ac:dyDescent="0.2">
      <c r="I29" s="99">
        <f ca="1">I28+8</f>
        <v>45463</v>
      </c>
      <c r="J29" s="29">
        <v>10202</v>
      </c>
      <c r="K29" s="3">
        <v>4700</v>
      </c>
    </row>
    <row r="30" spans="1:18" ht="15" customHeight="1" x14ac:dyDescent="0.2">
      <c r="I30" s="99">
        <f ca="1">I29+8</f>
        <v>45471</v>
      </c>
      <c r="J30" s="29">
        <v>10203</v>
      </c>
      <c r="K30" s="3">
        <v>900</v>
      </c>
      <c r="M30" s="306" t="s">
        <v>900</v>
      </c>
      <c r="N30" s="220" t="s">
        <v>732</v>
      </c>
    </row>
    <row r="39" spans="3:10" ht="15" customHeight="1" x14ac:dyDescent="0.2">
      <c r="C39" s="5"/>
      <c r="J39" s="4"/>
    </row>
    <row r="46" spans="3:10" ht="15" customHeight="1" x14ac:dyDescent="0.2">
      <c r="J46" s="4"/>
    </row>
  </sheetData>
  <sheetProtection sheet="1" formatCells="0"/>
  <protectedRanges>
    <protectedRange sqref="E21:G25 D12:F16" name="Bereich1"/>
  </protectedRanges>
  <sortState xmlns:xlrd2="http://schemas.microsoft.com/office/spreadsheetml/2017/richdata2" ref="I12:K27">
    <sortCondition ref="I12:I27"/>
  </sortState>
  <mergeCells count="11">
    <mergeCell ref="F18:F20"/>
    <mergeCell ref="G18:G20"/>
    <mergeCell ref="A9:F10"/>
    <mergeCell ref="I9:K10"/>
    <mergeCell ref="A2:K7"/>
    <mergeCell ref="B18:E18"/>
    <mergeCell ref="B19:B20"/>
    <mergeCell ref="C19:C20"/>
    <mergeCell ref="D19:D20"/>
    <mergeCell ref="E19:E20"/>
    <mergeCell ref="A18:A20"/>
  </mergeCells>
  <conditionalFormatting sqref="D12:F16">
    <cfRule type="expression" dxfId="22" priority="3">
      <formula>AND(D12&lt;&gt;"",D12&lt;&gt;P12)</formula>
    </cfRule>
    <cfRule type="expression" dxfId="21" priority="4">
      <formula>AND(D12&lt;&gt;"",D12=P12)</formula>
    </cfRule>
  </conditionalFormatting>
  <conditionalFormatting sqref="E21:G25">
    <cfRule type="expression" dxfId="20" priority="1">
      <formula>AND(E21&lt;&gt;"",E21&lt;&gt;P21)</formula>
    </cfRule>
    <cfRule type="expression" dxfId="19" priority="2">
      <formula>AND(E21&lt;&gt;"",E21=P21)</formula>
    </cfRule>
  </conditionalFormatting>
  <hyperlinks>
    <hyperlink ref="N2" location="Übersicht!A1" display="Zur Übersicht" xr:uid="{00000000-0004-0000-1500-000000000000}"/>
    <hyperlink ref="N30" location="Übersicht!A1" display="Zur Übersicht" xr:uid="{00000000-0004-0000-1500-000001000000}"/>
  </hyperlinks>
  <pageMargins left="0.25" right="0.25" top="0.75" bottom="0.75" header="0.3" footer="0.3"/>
  <pageSetup paperSize="9" orientation="landscape"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4">
    <tabColor theme="7" tint="-0.499984740745262"/>
    <pageSetUpPr fitToPage="1"/>
  </sheetPr>
  <dimension ref="A1:U53"/>
  <sheetViews>
    <sheetView showGridLines="0" zoomScaleNormal="100" workbookViewId="0">
      <selection activeCell="I14" sqref="I14"/>
    </sheetView>
  </sheetViews>
  <sheetFormatPr baseColWidth="10" defaultColWidth="11.5703125" defaultRowHeight="15" customHeight="1" x14ac:dyDescent="0.2"/>
  <cols>
    <col min="1" max="1" width="20.7109375" style="181" customWidth="1"/>
    <col min="2" max="7" width="22.140625" style="181" customWidth="1"/>
    <col min="8" max="8" width="21.5703125" style="181" customWidth="1"/>
    <col min="9" max="9" width="23.140625" style="181" customWidth="1"/>
    <col min="10" max="12" width="11.5703125" style="181"/>
    <col min="13" max="14" width="12.85546875" style="181" bestFit="1" customWidth="1"/>
    <col min="15" max="21" width="11.5703125" style="181" hidden="1" customWidth="1"/>
    <col min="22" max="16384" width="11.5703125" style="181"/>
  </cols>
  <sheetData>
    <row r="1" spans="1:15" ht="15" customHeight="1" thickBot="1" x14ac:dyDescent="0.25"/>
    <row r="2" spans="1:15" ht="15" customHeight="1" x14ac:dyDescent="0.2">
      <c r="A2" s="257" t="s">
        <v>866</v>
      </c>
      <c r="B2" s="258"/>
      <c r="C2" s="258"/>
      <c r="D2" s="258"/>
      <c r="E2" s="258"/>
      <c r="F2" s="258"/>
      <c r="G2" s="259"/>
      <c r="H2" s="2"/>
      <c r="I2" s="2"/>
      <c r="J2" s="2"/>
      <c r="K2" s="2"/>
      <c r="L2" s="306" t="s">
        <v>900</v>
      </c>
      <c r="M2" s="220" t="s">
        <v>732</v>
      </c>
    </row>
    <row r="3" spans="1:15" ht="15" customHeight="1" x14ac:dyDescent="0.25">
      <c r="A3" s="247" t="s">
        <v>867</v>
      </c>
      <c r="B3" s="236"/>
      <c r="C3" s="236"/>
      <c r="D3" s="236"/>
      <c r="E3" s="236"/>
      <c r="F3" s="236"/>
      <c r="G3" s="248"/>
      <c r="H3" s="2"/>
      <c r="I3" s="2"/>
      <c r="J3" s="2"/>
      <c r="K3" s="2"/>
      <c r="L3" s="2"/>
      <c r="N3"/>
    </row>
    <row r="4" spans="1:15" ht="15" customHeight="1" x14ac:dyDescent="0.25">
      <c r="A4" s="247" t="s">
        <v>868</v>
      </c>
      <c r="B4" s="236"/>
      <c r="C4" s="236"/>
      <c r="D4" s="236"/>
      <c r="E4" s="236"/>
      <c r="F4" s="236"/>
      <c r="G4" s="248"/>
      <c r="H4" s="2"/>
      <c r="I4" s="2"/>
      <c r="J4" s="2"/>
      <c r="K4" s="2"/>
      <c r="L4" s="2"/>
      <c r="N4"/>
    </row>
    <row r="5" spans="1:15" ht="15" customHeight="1" x14ac:dyDescent="0.25">
      <c r="A5" s="247"/>
      <c r="B5" s="236"/>
      <c r="C5" s="236"/>
      <c r="D5" s="236"/>
      <c r="E5" s="236"/>
      <c r="F5" s="236"/>
      <c r="G5" s="248"/>
      <c r="H5" s="2"/>
      <c r="I5" s="2"/>
      <c r="J5" s="2"/>
      <c r="K5" s="2"/>
      <c r="L5" s="2"/>
      <c r="N5"/>
    </row>
    <row r="6" spans="1:15" ht="15" customHeight="1" thickBot="1" x14ac:dyDescent="0.25">
      <c r="A6" s="250" t="s">
        <v>869</v>
      </c>
      <c r="B6" s="251"/>
      <c r="C6" s="251"/>
      <c r="D6" s="251"/>
      <c r="E6" s="251"/>
      <c r="F6" s="251"/>
      <c r="G6" s="252"/>
      <c r="H6" s="2"/>
      <c r="I6" s="2"/>
      <c r="J6" s="2"/>
      <c r="K6" s="2"/>
      <c r="L6" s="2"/>
      <c r="N6" s="2"/>
    </row>
    <row r="7" spans="1:15" ht="15" customHeight="1" x14ac:dyDescent="0.2">
      <c r="A7" s="2"/>
      <c r="B7" s="2"/>
      <c r="C7" s="2"/>
      <c r="D7" s="2"/>
      <c r="E7" s="2"/>
      <c r="F7" s="2"/>
      <c r="G7" s="2"/>
      <c r="H7" s="2"/>
      <c r="I7" s="2"/>
      <c r="J7" s="2"/>
      <c r="K7" s="2"/>
      <c r="L7" s="2"/>
      <c r="N7" s="2"/>
    </row>
    <row r="8" spans="1:15" ht="15" customHeight="1" x14ac:dyDescent="0.2">
      <c r="A8" s="506" t="s">
        <v>865</v>
      </c>
      <c r="B8" s="507"/>
      <c r="C8" s="507"/>
      <c r="D8" s="507"/>
      <c r="E8" s="507"/>
      <c r="F8" s="507"/>
      <c r="G8" s="508"/>
      <c r="H8" s="2"/>
      <c r="I8" s="2"/>
      <c r="J8" s="2"/>
      <c r="K8" s="2"/>
      <c r="L8" s="2"/>
      <c r="N8" s="2"/>
    </row>
    <row r="9" spans="1:15" ht="15" customHeight="1" x14ac:dyDescent="0.2">
      <c r="A9" s="456"/>
      <c r="B9" s="457"/>
      <c r="C9" s="457"/>
      <c r="D9" s="457"/>
      <c r="E9" s="457"/>
      <c r="F9" s="457"/>
      <c r="G9" s="509"/>
      <c r="H9" s="2"/>
      <c r="I9" s="2"/>
      <c r="J9" s="2"/>
      <c r="K9" s="2"/>
      <c r="L9" s="2"/>
      <c r="N9" s="2"/>
    </row>
    <row r="10" spans="1:15" ht="15" customHeight="1" x14ac:dyDescent="0.2">
      <c r="A10" s="2"/>
      <c r="B10" s="2"/>
      <c r="C10" s="2"/>
      <c r="D10" s="2"/>
      <c r="E10" s="2"/>
      <c r="F10" s="2"/>
      <c r="G10" s="2"/>
      <c r="H10" s="2"/>
      <c r="I10" s="2"/>
      <c r="J10" s="2"/>
      <c r="K10" s="2"/>
      <c r="L10" s="2"/>
      <c r="N10" s="2"/>
    </row>
    <row r="11" spans="1:15" ht="15" customHeight="1" x14ac:dyDescent="0.2">
      <c r="A11" s="402" t="s">
        <v>858</v>
      </c>
      <c r="B11" s="402"/>
      <c r="C11" s="27">
        <v>2160</v>
      </c>
      <c r="D11" s="2"/>
      <c r="E11" s="2"/>
      <c r="F11" s="2"/>
      <c r="G11" s="2"/>
      <c r="H11" s="2"/>
      <c r="I11" s="2"/>
      <c r="J11" s="2"/>
      <c r="K11" s="2"/>
      <c r="L11" s="2"/>
      <c r="N11" s="2"/>
    </row>
    <row r="12" spans="1:15" ht="15" customHeight="1" x14ac:dyDescent="0.2">
      <c r="A12" s="402" t="s">
        <v>855</v>
      </c>
      <c r="B12" s="402"/>
      <c r="C12" s="289">
        <v>125</v>
      </c>
      <c r="D12" s="2"/>
      <c r="E12" s="2"/>
      <c r="F12" s="2"/>
      <c r="G12" s="2"/>
      <c r="H12" s="2"/>
      <c r="I12" s="2"/>
      <c r="J12" s="2"/>
      <c r="K12" s="2"/>
      <c r="L12" s="2"/>
      <c r="N12" s="2"/>
    </row>
    <row r="13" spans="1:15" ht="15" customHeight="1" x14ac:dyDescent="0.2">
      <c r="A13" s="402" t="s">
        <v>856</v>
      </c>
      <c r="B13" s="402"/>
      <c r="C13" s="289">
        <v>24</v>
      </c>
      <c r="D13" s="2"/>
      <c r="E13" s="2"/>
      <c r="F13" s="2"/>
      <c r="G13" s="2"/>
      <c r="H13" s="2"/>
      <c r="I13" s="2"/>
      <c r="J13" s="2"/>
      <c r="K13" s="2"/>
      <c r="L13" s="2"/>
      <c r="N13" s="2"/>
    </row>
    <row r="14" spans="1:15" ht="15" customHeight="1" x14ac:dyDescent="0.2">
      <c r="A14" s="402" t="s">
        <v>857</v>
      </c>
      <c r="B14" s="402"/>
      <c r="C14" s="288">
        <v>15</v>
      </c>
      <c r="D14" s="2"/>
      <c r="E14" s="2"/>
      <c r="F14" s="2"/>
      <c r="G14" s="2"/>
      <c r="H14" s="2"/>
      <c r="I14" s="2"/>
      <c r="J14" s="2"/>
      <c r="K14" s="2"/>
      <c r="L14" s="2"/>
      <c r="N14" s="2"/>
    </row>
    <row r="15" spans="1:15" ht="15" customHeight="1" x14ac:dyDescent="0.2">
      <c r="A15" s="402" t="s">
        <v>859</v>
      </c>
      <c r="B15" s="402"/>
      <c r="C15" s="27">
        <v>20</v>
      </c>
      <c r="D15" s="2"/>
      <c r="E15" s="2"/>
      <c r="F15" s="155" t="s">
        <v>865</v>
      </c>
      <c r="G15" s="78"/>
      <c r="H15" s="2"/>
      <c r="I15" s="2"/>
      <c r="J15" s="2"/>
      <c r="K15" s="2"/>
      <c r="L15" s="2"/>
      <c r="N15" s="2"/>
      <c r="O15" s="181">
        <f>INDEX($O$18:$O$30,MATCH(MIN($T$18:$T$30),$T$18:$T$30,0),1)</f>
        <v>72</v>
      </c>
    </row>
    <row r="16" spans="1:15" ht="15" customHeight="1" x14ac:dyDescent="0.2">
      <c r="A16" s="2"/>
      <c r="B16" s="2"/>
      <c r="C16" s="2"/>
      <c r="D16" s="2"/>
      <c r="E16" s="2"/>
      <c r="F16" s="2"/>
      <c r="G16" s="2"/>
      <c r="H16" s="2"/>
      <c r="I16" s="2"/>
      <c r="J16" s="2"/>
      <c r="K16" s="2"/>
      <c r="L16" s="2"/>
      <c r="N16" s="2"/>
    </row>
    <row r="17" spans="1:21" ht="45" customHeight="1" x14ac:dyDescent="0.2">
      <c r="A17" s="293" t="s">
        <v>853</v>
      </c>
      <c r="B17" s="291" t="s">
        <v>854</v>
      </c>
      <c r="C17" s="291" t="s">
        <v>860</v>
      </c>
      <c r="D17" s="291" t="s">
        <v>861</v>
      </c>
      <c r="E17" s="291" t="s">
        <v>862</v>
      </c>
      <c r="F17" s="291" t="s">
        <v>863</v>
      </c>
      <c r="G17" s="292" t="s">
        <v>864</v>
      </c>
      <c r="H17" s="2"/>
      <c r="I17" s="2"/>
      <c r="J17" s="2"/>
      <c r="K17" s="2"/>
      <c r="L17" s="2"/>
    </row>
    <row r="18" spans="1:21" ht="15" customHeight="1" x14ac:dyDescent="0.2">
      <c r="A18" s="290">
        <v>1</v>
      </c>
      <c r="B18" s="295"/>
      <c r="C18" s="240"/>
      <c r="D18" s="240"/>
      <c r="E18" s="295"/>
      <c r="F18" s="296"/>
      <c r="G18" s="296"/>
      <c r="H18" s="2"/>
      <c r="I18" s="2"/>
      <c r="J18" s="2"/>
      <c r="K18" s="2"/>
      <c r="L18" s="2"/>
      <c r="O18" s="181">
        <f>ROUNDUP($C$11/A18,0)</f>
        <v>2160</v>
      </c>
      <c r="P18" s="181">
        <f>$C$13</f>
        <v>24</v>
      </c>
      <c r="Q18" s="181">
        <f>A18*P18</f>
        <v>24</v>
      </c>
      <c r="R18" s="181">
        <f>ROUNDUP(O18/2+$C$15,0)</f>
        <v>1100</v>
      </c>
      <c r="S18" s="181">
        <f>R18*$C$12*$C$14/100</f>
        <v>20625</v>
      </c>
      <c r="T18" s="181">
        <f>Q18+S18</f>
        <v>20649</v>
      </c>
      <c r="U18" s="181" t="b">
        <f>AND($T18&lt;&gt;"",$T18=MIN($T$18:$T$30))</f>
        <v>0</v>
      </c>
    </row>
    <row r="19" spans="1:21" ht="15" customHeight="1" x14ac:dyDescent="0.2">
      <c r="A19" s="290">
        <v>5</v>
      </c>
      <c r="B19" s="295"/>
      <c r="C19" s="240"/>
      <c r="D19" s="240"/>
      <c r="E19" s="295"/>
      <c r="F19" s="296"/>
      <c r="G19" s="296"/>
      <c r="H19" s="2"/>
      <c r="I19" s="2"/>
      <c r="J19" s="2"/>
      <c r="K19" s="2"/>
      <c r="L19" s="2"/>
      <c r="O19" s="181">
        <f t="shared" ref="O19:O30" si="0">ROUNDUP($C$11/A19,0)</f>
        <v>432</v>
      </c>
      <c r="P19" s="181">
        <f t="shared" ref="P19:P30" si="1">$C$13</f>
        <v>24</v>
      </c>
      <c r="Q19" s="181">
        <f t="shared" ref="Q19:Q30" si="2">A19*P19</f>
        <v>120</v>
      </c>
      <c r="R19" s="181">
        <f t="shared" ref="R19:R30" si="3">ROUNDUP(O19/2+$C$15,0)</f>
        <v>236</v>
      </c>
      <c r="S19" s="181">
        <f t="shared" ref="S19:S30" si="4">R19*$C$12*$C$14/100</f>
        <v>4425</v>
      </c>
      <c r="T19" s="181">
        <f t="shared" ref="T19:T30" si="5">Q19+S19</f>
        <v>4545</v>
      </c>
      <c r="U19" s="181" t="b">
        <f t="shared" ref="U19:U30" si="6">AND($T19&lt;&gt;"",$T19=MIN($T$18:$T$30))</f>
        <v>0</v>
      </c>
    </row>
    <row r="20" spans="1:21" ht="15" customHeight="1" x14ac:dyDescent="0.2">
      <c r="A20" s="290">
        <f>A19+5</f>
        <v>10</v>
      </c>
      <c r="B20" s="295"/>
      <c r="C20" s="240"/>
      <c r="D20" s="240"/>
      <c r="E20" s="295"/>
      <c r="F20" s="296"/>
      <c r="G20" s="296"/>
      <c r="H20" s="2"/>
      <c r="I20" s="2"/>
      <c r="J20" s="2"/>
      <c r="K20" s="2"/>
      <c r="L20" s="2"/>
      <c r="O20" s="181">
        <f t="shared" si="0"/>
        <v>216</v>
      </c>
      <c r="P20" s="181">
        <f t="shared" si="1"/>
        <v>24</v>
      </c>
      <c r="Q20" s="181">
        <f t="shared" si="2"/>
        <v>240</v>
      </c>
      <c r="R20" s="181">
        <f t="shared" si="3"/>
        <v>128</v>
      </c>
      <c r="S20" s="181">
        <f t="shared" si="4"/>
        <v>2400</v>
      </c>
      <c r="T20" s="181">
        <f t="shared" si="5"/>
        <v>2640</v>
      </c>
      <c r="U20" s="181" t="b">
        <f t="shared" si="6"/>
        <v>0</v>
      </c>
    </row>
    <row r="21" spans="1:21" ht="15" customHeight="1" x14ac:dyDescent="0.2">
      <c r="A21" s="290">
        <f t="shared" ref="A21:A30" si="7">A20+5</f>
        <v>15</v>
      </c>
      <c r="B21" s="295"/>
      <c r="C21" s="240"/>
      <c r="D21" s="240"/>
      <c r="E21" s="295"/>
      <c r="F21" s="296"/>
      <c r="G21" s="296"/>
      <c r="H21" s="2"/>
      <c r="I21" s="2"/>
      <c r="J21" s="2"/>
      <c r="K21" s="2"/>
      <c r="L21" s="2"/>
      <c r="O21" s="181">
        <f t="shared" si="0"/>
        <v>144</v>
      </c>
      <c r="P21" s="181">
        <f t="shared" si="1"/>
        <v>24</v>
      </c>
      <c r="Q21" s="181">
        <f t="shared" si="2"/>
        <v>360</v>
      </c>
      <c r="R21" s="181">
        <f t="shared" si="3"/>
        <v>92</v>
      </c>
      <c r="S21" s="181">
        <f t="shared" si="4"/>
        <v>1725</v>
      </c>
      <c r="T21" s="181">
        <f t="shared" si="5"/>
        <v>2085</v>
      </c>
      <c r="U21" s="181" t="b">
        <f t="shared" si="6"/>
        <v>0</v>
      </c>
    </row>
    <row r="22" spans="1:21" ht="15" customHeight="1" x14ac:dyDescent="0.2">
      <c r="A22" s="290">
        <f t="shared" si="7"/>
        <v>20</v>
      </c>
      <c r="B22" s="295"/>
      <c r="C22" s="240"/>
      <c r="D22" s="240"/>
      <c r="E22" s="295"/>
      <c r="F22" s="296"/>
      <c r="G22" s="296"/>
      <c r="H22" s="2"/>
      <c r="I22" s="2"/>
      <c r="J22" s="2"/>
      <c r="K22" s="2"/>
      <c r="L22" s="2"/>
      <c r="O22" s="181">
        <f t="shared" si="0"/>
        <v>108</v>
      </c>
      <c r="P22" s="181">
        <f t="shared" si="1"/>
        <v>24</v>
      </c>
      <c r="Q22" s="181">
        <f t="shared" si="2"/>
        <v>480</v>
      </c>
      <c r="R22" s="181">
        <f t="shared" si="3"/>
        <v>74</v>
      </c>
      <c r="S22" s="181">
        <f t="shared" si="4"/>
        <v>1387.5</v>
      </c>
      <c r="T22" s="181">
        <f t="shared" si="5"/>
        <v>1867.5</v>
      </c>
      <c r="U22" s="181" t="b">
        <f t="shared" si="6"/>
        <v>0</v>
      </c>
    </row>
    <row r="23" spans="1:21" ht="15" customHeight="1" x14ac:dyDescent="0.2">
      <c r="A23" s="290">
        <f t="shared" si="7"/>
        <v>25</v>
      </c>
      <c r="B23" s="295"/>
      <c r="C23" s="240"/>
      <c r="D23" s="240"/>
      <c r="E23" s="295"/>
      <c r="F23" s="296"/>
      <c r="G23" s="296"/>
      <c r="H23" s="2"/>
      <c r="I23" s="2"/>
      <c r="J23" s="2"/>
      <c r="K23" s="2"/>
      <c r="L23" s="2"/>
      <c r="O23" s="181">
        <f t="shared" si="0"/>
        <v>87</v>
      </c>
      <c r="P23" s="181">
        <f t="shared" si="1"/>
        <v>24</v>
      </c>
      <c r="Q23" s="181">
        <f t="shared" si="2"/>
        <v>600</v>
      </c>
      <c r="R23" s="181">
        <f t="shared" si="3"/>
        <v>64</v>
      </c>
      <c r="S23" s="181">
        <f t="shared" si="4"/>
        <v>1200</v>
      </c>
      <c r="T23" s="181">
        <f t="shared" si="5"/>
        <v>1800</v>
      </c>
      <c r="U23" s="181" t="b">
        <f t="shared" si="6"/>
        <v>0</v>
      </c>
    </row>
    <row r="24" spans="1:21" ht="15" customHeight="1" x14ac:dyDescent="0.2">
      <c r="A24" s="74">
        <f t="shared" si="7"/>
        <v>30</v>
      </c>
      <c r="B24" s="295"/>
      <c r="C24" s="240"/>
      <c r="D24" s="240"/>
      <c r="E24" s="295"/>
      <c r="F24" s="296"/>
      <c r="G24" s="296"/>
      <c r="H24" s="2"/>
      <c r="I24" s="2"/>
      <c r="J24" s="2"/>
      <c r="K24" s="2"/>
      <c r="L24" s="2"/>
      <c r="O24" s="181">
        <f t="shared" si="0"/>
        <v>72</v>
      </c>
      <c r="P24" s="181">
        <f t="shared" si="1"/>
        <v>24</v>
      </c>
      <c r="Q24" s="181">
        <f t="shared" si="2"/>
        <v>720</v>
      </c>
      <c r="R24" s="181">
        <f t="shared" si="3"/>
        <v>56</v>
      </c>
      <c r="S24" s="181">
        <f t="shared" si="4"/>
        <v>1050</v>
      </c>
      <c r="T24" s="181">
        <f t="shared" si="5"/>
        <v>1770</v>
      </c>
      <c r="U24" s="181" t="b">
        <f t="shared" si="6"/>
        <v>1</v>
      </c>
    </row>
    <row r="25" spans="1:21" ht="15" customHeight="1" x14ac:dyDescent="0.2">
      <c r="A25" s="290">
        <f t="shared" si="7"/>
        <v>35</v>
      </c>
      <c r="B25" s="295"/>
      <c r="C25" s="240"/>
      <c r="D25" s="240"/>
      <c r="E25" s="295"/>
      <c r="F25" s="296"/>
      <c r="G25" s="296"/>
      <c r="H25" s="2"/>
      <c r="I25" s="2"/>
      <c r="J25" s="2"/>
      <c r="K25" s="2"/>
      <c r="L25" s="2"/>
      <c r="O25" s="181">
        <f t="shared" si="0"/>
        <v>62</v>
      </c>
      <c r="P25" s="181">
        <f t="shared" si="1"/>
        <v>24</v>
      </c>
      <c r="Q25" s="181">
        <f t="shared" si="2"/>
        <v>840</v>
      </c>
      <c r="R25" s="181">
        <f t="shared" si="3"/>
        <v>51</v>
      </c>
      <c r="S25" s="181">
        <f t="shared" si="4"/>
        <v>956.25</v>
      </c>
      <c r="T25" s="181">
        <f t="shared" si="5"/>
        <v>1796.25</v>
      </c>
      <c r="U25" s="181" t="b">
        <f t="shared" si="6"/>
        <v>0</v>
      </c>
    </row>
    <row r="26" spans="1:21" ht="15" customHeight="1" x14ac:dyDescent="0.2">
      <c r="A26" s="290">
        <f t="shared" si="7"/>
        <v>40</v>
      </c>
      <c r="B26" s="295"/>
      <c r="C26" s="240"/>
      <c r="D26" s="240"/>
      <c r="E26" s="295"/>
      <c r="F26" s="296"/>
      <c r="G26" s="296"/>
      <c r="H26" s="2"/>
      <c r="I26" s="2"/>
      <c r="J26" s="2"/>
      <c r="K26" s="2"/>
      <c r="L26" s="2"/>
      <c r="O26" s="181">
        <f t="shared" si="0"/>
        <v>54</v>
      </c>
      <c r="P26" s="181">
        <f t="shared" si="1"/>
        <v>24</v>
      </c>
      <c r="Q26" s="181">
        <f t="shared" si="2"/>
        <v>960</v>
      </c>
      <c r="R26" s="181">
        <f t="shared" si="3"/>
        <v>47</v>
      </c>
      <c r="S26" s="181">
        <f t="shared" si="4"/>
        <v>881.25</v>
      </c>
      <c r="T26" s="181">
        <f t="shared" si="5"/>
        <v>1841.25</v>
      </c>
      <c r="U26" s="181" t="b">
        <f t="shared" si="6"/>
        <v>0</v>
      </c>
    </row>
    <row r="27" spans="1:21" ht="15" customHeight="1" x14ac:dyDescent="0.2">
      <c r="A27" s="290">
        <f t="shared" si="7"/>
        <v>45</v>
      </c>
      <c r="B27" s="295"/>
      <c r="C27" s="240"/>
      <c r="D27" s="240"/>
      <c r="E27" s="295"/>
      <c r="F27" s="296"/>
      <c r="G27" s="296"/>
      <c r="H27" s="2"/>
      <c r="I27" s="2"/>
      <c r="J27" s="2"/>
      <c r="K27" s="2"/>
      <c r="L27" s="2"/>
      <c r="O27" s="181">
        <f t="shared" si="0"/>
        <v>48</v>
      </c>
      <c r="P27" s="181">
        <f t="shared" si="1"/>
        <v>24</v>
      </c>
      <c r="Q27" s="181">
        <f t="shared" si="2"/>
        <v>1080</v>
      </c>
      <c r="R27" s="181">
        <f t="shared" si="3"/>
        <v>44</v>
      </c>
      <c r="S27" s="181">
        <f t="shared" si="4"/>
        <v>825</v>
      </c>
      <c r="T27" s="181">
        <f t="shared" si="5"/>
        <v>1905</v>
      </c>
      <c r="U27" s="181" t="b">
        <f t="shared" si="6"/>
        <v>0</v>
      </c>
    </row>
    <row r="28" spans="1:21" ht="15" customHeight="1" x14ac:dyDescent="0.2">
      <c r="A28" s="290">
        <f t="shared" si="7"/>
        <v>50</v>
      </c>
      <c r="B28" s="295"/>
      <c r="C28" s="240"/>
      <c r="D28" s="240"/>
      <c r="E28" s="295"/>
      <c r="F28" s="296"/>
      <c r="G28" s="296"/>
      <c r="H28" s="2"/>
      <c r="I28" s="2"/>
      <c r="J28" s="2"/>
      <c r="K28" s="2"/>
      <c r="L28" s="2"/>
      <c r="O28" s="181">
        <f t="shared" si="0"/>
        <v>44</v>
      </c>
      <c r="P28" s="181">
        <f t="shared" si="1"/>
        <v>24</v>
      </c>
      <c r="Q28" s="181">
        <f t="shared" si="2"/>
        <v>1200</v>
      </c>
      <c r="R28" s="181">
        <f t="shared" si="3"/>
        <v>42</v>
      </c>
      <c r="S28" s="181">
        <f t="shared" si="4"/>
        <v>787.5</v>
      </c>
      <c r="T28" s="181">
        <f t="shared" si="5"/>
        <v>1987.5</v>
      </c>
      <c r="U28" s="181" t="b">
        <f t="shared" si="6"/>
        <v>0</v>
      </c>
    </row>
    <row r="29" spans="1:21" ht="15" customHeight="1" x14ac:dyDescent="0.2">
      <c r="A29" s="290">
        <f t="shared" si="7"/>
        <v>55</v>
      </c>
      <c r="B29" s="295"/>
      <c r="C29" s="240"/>
      <c r="D29" s="240"/>
      <c r="E29" s="295"/>
      <c r="F29" s="296"/>
      <c r="G29" s="296"/>
      <c r="H29" s="2"/>
      <c r="I29" s="2"/>
      <c r="J29" s="2"/>
      <c r="K29" s="2"/>
      <c r="L29" s="2"/>
      <c r="O29" s="181">
        <f t="shared" si="0"/>
        <v>40</v>
      </c>
      <c r="P29" s="181">
        <f t="shared" si="1"/>
        <v>24</v>
      </c>
      <c r="Q29" s="181">
        <f t="shared" si="2"/>
        <v>1320</v>
      </c>
      <c r="R29" s="181">
        <f t="shared" si="3"/>
        <v>40</v>
      </c>
      <c r="S29" s="181">
        <f t="shared" si="4"/>
        <v>750</v>
      </c>
      <c r="T29" s="181">
        <f t="shared" si="5"/>
        <v>2070</v>
      </c>
      <c r="U29" s="181" t="b">
        <f t="shared" si="6"/>
        <v>0</v>
      </c>
    </row>
    <row r="30" spans="1:21" ht="15" customHeight="1" x14ac:dyDescent="0.2">
      <c r="A30" s="290">
        <f t="shared" si="7"/>
        <v>60</v>
      </c>
      <c r="B30" s="295"/>
      <c r="C30" s="240"/>
      <c r="D30" s="240"/>
      <c r="E30" s="295"/>
      <c r="F30" s="296"/>
      <c r="G30" s="296"/>
      <c r="H30" s="2"/>
      <c r="I30" s="2"/>
      <c r="J30" s="2"/>
      <c r="K30" s="2"/>
      <c r="L30" s="2"/>
      <c r="O30" s="181">
        <f t="shared" si="0"/>
        <v>36</v>
      </c>
      <c r="P30" s="181">
        <f t="shared" si="1"/>
        <v>24</v>
      </c>
      <c r="Q30" s="181">
        <f t="shared" si="2"/>
        <v>1440</v>
      </c>
      <c r="R30" s="181">
        <f t="shared" si="3"/>
        <v>38</v>
      </c>
      <c r="S30" s="181">
        <f t="shared" si="4"/>
        <v>712.5</v>
      </c>
      <c r="T30" s="181">
        <f t="shared" si="5"/>
        <v>2152.5</v>
      </c>
      <c r="U30" s="181" t="b">
        <f t="shared" si="6"/>
        <v>0</v>
      </c>
    </row>
    <row r="31" spans="1:21" ht="15" customHeight="1" x14ac:dyDescent="0.25">
      <c r="A31"/>
      <c r="B31"/>
      <c r="C31"/>
      <c r="D31"/>
      <c r="E31"/>
      <c r="F31"/>
      <c r="G31"/>
      <c r="H31" s="2"/>
      <c r="I31" s="2"/>
      <c r="J31" s="2"/>
      <c r="K31" s="2"/>
      <c r="L31" s="2"/>
    </row>
    <row r="32" spans="1:21" ht="15" customHeight="1" x14ac:dyDescent="0.2">
      <c r="A32" s="298" t="s">
        <v>871</v>
      </c>
      <c r="B32" s="2"/>
      <c r="C32" s="2"/>
      <c r="D32" s="2"/>
      <c r="E32" s="2"/>
      <c r="F32" s="2"/>
      <c r="G32" s="2"/>
      <c r="H32" s="2"/>
      <c r="I32" s="2"/>
      <c r="J32" s="2"/>
      <c r="K32" s="2"/>
      <c r="L32" s="2"/>
    </row>
    <row r="33" spans="1:15" ht="15" customHeight="1" x14ac:dyDescent="0.2">
      <c r="A33" s="510"/>
      <c r="B33" s="511"/>
      <c r="C33" s="511"/>
      <c r="D33" s="511"/>
      <c r="E33" s="511"/>
      <c r="F33" s="511"/>
      <c r="G33" s="512"/>
      <c r="H33" s="2"/>
      <c r="I33" s="2"/>
      <c r="J33" s="2"/>
      <c r="K33" s="2"/>
      <c r="L33" s="306" t="s">
        <v>900</v>
      </c>
      <c r="M33" s="220" t="s">
        <v>732</v>
      </c>
      <c r="O33" s="297" t="s">
        <v>870</v>
      </c>
    </row>
    <row r="34" spans="1:15" ht="15" customHeight="1" x14ac:dyDescent="0.2">
      <c r="A34" s="2"/>
      <c r="B34" s="2"/>
      <c r="C34" s="2"/>
      <c r="D34" s="2"/>
      <c r="E34" s="2"/>
      <c r="F34" s="2"/>
      <c r="G34" s="2"/>
      <c r="H34" s="2"/>
      <c r="I34" s="2"/>
      <c r="J34" s="2"/>
      <c r="K34" s="2"/>
      <c r="L34" s="2"/>
    </row>
    <row r="35" spans="1:15" ht="15" customHeight="1" x14ac:dyDescent="0.2">
      <c r="A35" s="2"/>
      <c r="B35" s="2"/>
      <c r="C35" s="2"/>
      <c r="D35" s="2"/>
      <c r="E35" s="2"/>
      <c r="F35" s="2"/>
      <c r="G35" s="2"/>
      <c r="H35" s="2"/>
      <c r="I35" s="2"/>
      <c r="J35" s="2"/>
      <c r="K35" s="2"/>
      <c r="L35" s="2"/>
    </row>
    <row r="36" spans="1:15" ht="15" customHeight="1" x14ac:dyDescent="0.2">
      <c r="A36" s="2"/>
      <c r="B36" s="2"/>
      <c r="C36" s="2"/>
      <c r="D36" s="2"/>
      <c r="E36" s="2"/>
      <c r="F36" s="2"/>
      <c r="G36" s="2"/>
      <c r="H36" s="2"/>
      <c r="I36" s="2"/>
      <c r="J36" s="2"/>
      <c r="K36" s="2"/>
      <c r="L36" s="2"/>
    </row>
    <row r="37" spans="1:15" ht="15" customHeight="1" x14ac:dyDescent="0.2">
      <c r="A37" s="2"/>
      <c r="B37" s="2"/>
      <c r="C37" s="2"/>
      <c r="D37" s="2"/>
      <c r="E37" s="2"/>
      <c r="F37" s="2"/>
      <c r="G37" s="2"/>
      <c r="H37" s="2"/>
      <c r="I37" s="2"/>
      <c r="J37" s="2"/>
      <c r="K37" s="2"/>
      <c r="L37" s="2"/>
    </row>
    <row r="38" spans="1:15" ht="15" customHeight="1" x14ac:dyDescent="0.2">
      <c r="A38" s="2"/>
      <c r="B38" s="2"/>
      <c r="C38" s="2"/>
      <c r="D38" s="2"/>
      <c r="E38" s="2"/>
      <c r="F38" s="2"/>
      <c r="G38" s="2"/>
      <c r="H38" s="2"/>
      <c r="I38" s="2"/>
      <c r="J38" s="2"/>
      <c r="K38" s="2"/>
      <c r="L38" s="2"/>
    </row>
    <row r="39" spans="1:15" ht="15" customHeight="1" x14ac:dyDescent="0.2">
      <c r="A39" s="2"/>
      <c r="B39" s="2"/>
      <c r="C39" s="2"/>
      <c r="D39" s="2"/>
      <c r="E39" s="2"/>
      <c r="F39" s="2"/>
      <c r="G39" s="2"/>
      <c r="H39" s="2"/>
      <c r="I39" s="2"/>
      <c r="J39" s="2"/>
      <c r="K39" s="2"/>
      <c r="L39" s="2"/>
    </row>
    <row r="40" spans="1:15" ht="15" customHeight="1" x14ac:dyDescent="0.2">
      <c r="A40" s="2"/>
      <c r="B40" s="2"/>
      <c r="C40" s="2"/>
      <c r="D40" s="2"/>
      <c r="E40" s="2"/>
      <c r="F40" s="2"/>
      <c r="G40" s="2"/>
      <c r="H40" s="2"/>
      <c r="I40" s="2"/>
      <c r="J40" s="2"/>
      <c r="K40" s="2"/>
      <c r="L40" s="2"/>
    </row>
    <row r="41" spans="1:15" ht="15" customHeight="1" x14ac:dyDescent="0.2">
      <c r="A41" s="2"/>
      <c r="B41" s="2"/>
      <c r="C41" s="2"/>
      <c r="D41" s="2"/>
      <c r="E41" s="2"/>
      <c r="F41" s="2"/>
      <c r="G41" s="2"/>
      <c r="H41" s="2"/>
      <c r="I41" s="2"/>
      <c r="J41" s="2"/>
      <c r="K41" s="2"/>
      <c r="L41" s="2"/>
    </row>
    <row r="42" spans="1:15" ht="15" customHeight="1" x14ac:dyDescent="0.2">
      <c r="A42" s="2"/>
      <c r="B42" s="2"/>
      <c r="C42" s="2"/>
      <c r="D42" s="2"/>
      <c r="E42" s="2"/>
      <c r="F42" s="2"/>
      <c r="G42" s="2"/>
      <c r="H42" s="2"/>
      <c r="I42" s="2"/>
      <c r="J42" s="2"/>
      <c r="K42" s="2"/>
      <c r="L42" s="2"/>
    </row>
    <row r="43" spans="1:15" ht="15" customHeight="1" x14ac:dyDescent="0.2">
      <c r="A43" s="2"/>
      <c r="B43" s="2"/>
      <c r="C43" s="2"/>
      <c r="D43" s="2"/>
      <c r="E43" s="2"/>
      <c r="F43" s="2"/>
      <c r="G43" s="2"/>
      <c r="H43" s="2"/>
      <c r="I43" s="2"/>
      <c r="J43" s="2"/>
      <c r="K43" s="2"/>
      <c r="L43" s="2"/>
    </row>
    <row r="44" spans="1:15" ht="15" customHeight="1" x14ac:dyDescent="0.2">
      <c r="A44" s="2"/>
      <c r="B44" s="2"/>
      <c r="C44" s="2"/>
      <c r="D44" s="2"/>
      <c r="E44" s="2"/>
      <c r="F44" s="2"/>
      <c r="G44" s="2"/>
      <c r="H44" s="2"/>
      <c r="I44" s="2"/>
      <c r="J44" s="2"/>
      <c r="K44" s="2"/>
      <c r="L44" s="2"/>
    </row>
    <row r="45" spans="1:15" ht="15" customHeight="1" x14ac:dyDescent="0.2">
      <c r="A45" s="2"/>
      <c r="B45" s="2"/>
      <c r="C45" s="2"/>
      <c r="D45" s="2"/>
      <c r="E45" s="2"/>
      <c r="F45" s="2"/>
      <c r="G45" s="2"/>
      <c r="H45" s="2"/>
      <c r="I45" s="2"/>
      <c r="J45" s="2"/>
      <c r="K45" s="2"/>
      <c r="L45" s="2"/>
    </row>
    <row r="46" spans="1:15" ht="15" customHeight="1" x14ac:dyDescent="0.2">
      <c r="A46" s="2"/>
      <c r="B46" s="2"/>
      <c r="C46" s="2"/>
      <c r="D46" s="2"/>
      <c r="E46" s="2"/>
      <c r="F46" s="2"/>
      <c r="G46" s="2"/>
      <c r="H46" s="2"/>
      <c r="I46" s="2"/>
      <c r="J46" s="2"/>
      <c r="K46" s="2"/>
      <c r="L46" s="2"/>
    </row>
    <row r="47" spans="1:15" ht="15" customHeight="1" x14ac:dyDescent="0.2">
      <c r="A47" s="2"/>
      <c r="B47" s="2"/>
      <c r="C47" s="2"/>
      <c r="D47" s="2"/>
      <c r="E47" s="2"/>
      <c r="F47" s="2"/>
      <c r="G47" s="2"/>
      <c r="H47" s="2"/>
      <c r="I47" s="2"/>
      <c r="J47" s="2"/>
      <c r="K47" s="2"/>
      <c r="L47" s="2"/>
    </row>
    <row r="48" spans="1:15" ht="15" customHeight="1" x14ac:dyDescent="0.2">
      <c r="A48" s="2"/>
      <c r="B48" s="2"/>
      <c r="C48" s="2"/>
      <c r="D48" s="2"/>
      <c r="E48" s="2"/>
      <c r="F48" s="2"/>
      <c r="G48" s="2"/>
      <c r="H48" s="2"/>
      <c r="I48" s="2"/>
      <c r="J48" s="2"/>
      <c r="K48" s="2"/>
      <c r="L48" s="2"/>
    </row>
    <row r="49" spans="1:12" ht="15" customHeight="1" x14ac:dyDescent="0.2">
      <c r="A49" s="2"/>
      <c r="B49" s="2"/>
      <c r="C49" s="2"/>
      <c r="D49" s="2"/>
      <c r="E49" s="2"/>
      <c r="F49" s="2"/>
      <c r="G49" s="2"/>
      <c r="H49" s="2"/>
      <c r="I49" s="2"/>
      <c r="J49" s="2"/>
      <c r="K49" s="2"/>
      <c r="L49" s="2"/>
    </row>
    <row r="50" spans="1:12" ht="15" customHeight="1" x14ac:dyDescent="0.2">
      <c r="A50" s="2"/>
      <c r="B50" s="2"/>
      <c r="C50" s="2"/>
      <c r="D50" s="2"/>
      <c r="E50" s="2"/>
      <c r="F50" s="2"/>
      <c r="G50" s="2"/>
      <c r="H50" s="2"/>
      <c r="I50" s="2"/>
      <c r="J50" s="2"/>
      <c r="K50" s="2"/>
      <c r="L50" s="2"/>
    </row>
    <row r="51" spans="1:12" ht="15" customHeight="1" x14ac:dyDescent="0.2">
      <c r="A51" s="2"/>
      <c r="B51" s="2"/>
      <c r="C51" s="2"/>
      <c r="D51" s="2"/>
      <c r="E51" s="2"/>
      <c r="F51" s="2"/>
      <c r="G51" s="2"/>
      <c r="H51" s="2"/>
      <c r="I51" s="2"/>
      <c r="J51" s="2"/>
      <c r="K51" s="2"/>
      <c r="L51" s="2"/>
    </row>
    <row r="52" spans="1:12" ht="15" customHeight="1" x14ac:dyDescent="0.2">
      <c r="A52" s="2"/>
      <c r="B52" s="2"/>
      <c r="C52" s="2"/>
      <c r="D52" s="2"/>
      <c r="E52" s="2"/>
      <c r="F52" s="2"/>
      <c r="G52" s="2"/>
      <c r="H52" s="2"/>
      <c r="I52" s="2"/>
      <c r="J52" s="2"/>
      <c r="K52" s="2"/>
      <c r="L52" s="2"/>
    </row>
    <row r="53" spans="1:12" ht="15" customHeight="1" x14ac:dyDescent="0.2">
      <c r="A53" s="2"/>
      <c r="B53" s="2"/>
      <c r="C53" s="2"/>
      <c r="D53" s="2"/>
      <c r="E53" s="2"/>
      <c r="F53" s="2"/>
      <c r="G53" s="2"/>
      <c r="H53" s="2"/>
      <c r="I53" s="2"/>
      <c r="J53" s="2"/>
      <c r="K53" s="2"/>
      <c r="L53" s="2"/>
    </row>
  </sheetData>
  <sheetProtection sheet="1" objects="1" scenarios="1" formatCells="0"/>
  <protectedRanges>
    <protectedRange sqref="G15 B18:G30 A33" name="Bereich1"/>
  </protectedRanges>
  <mergeCells count="7">
    <mergeCell ref="A15:B15"/>
    <mergeCell ref="A8:G9"/>
    <mergeCell ref="A33:G33"/>
    <mergeCell ref="A11:B11"/>
    <mergeCell ref="A12:B12"/>
    <mergeCell ref="A13:B13"/>
    <mergeCell ref="A14:B14"/>
  </mergeCells>
  <conditionalFormatting sqref="B18:G30">
    <cfRule type="expression" dxfId="18" priority="6">
      <formula>AND(B18&lt;&gt;"",B18=O18)</formula>
    </cfRule>
    <cfRule type="expression" dxfId="17" priority="7">
      <formula>AND(B18&lt;&gt;"",B18&lt;&gt;O18)</formula>
    </cfRule>
  </conditionalFormatting>
  <conditionalFormatting sqref="A18:G30">
    <cfRule type="expression" dxfId="16" priority="5">
      <formula>AND($G18&lt;&gt;"",$G18=MIN($G$18:$G$30))</formula>
    </cfRule>
  </conditionalFormatting>
  <conditionalFormatting sqref="A33:G33">
    <cfRule type="expression" dxfId="15" priority="3">
      <formula>AND(A33&lt;&gt;"",A33&lt;&gt;O33)</formula>
    </cfRule>
    <cfRule type="expression" dxfId="14" priority="4">
      <formula>AND(A33&lt;&gt;"",A33=O33)</formula>
    </cfRule>
  </conditionalFormatting>
  <conditionalFormatting sqref="G15">
    <cfRule type="expression" dxfId="13" priority="1">
      <formula>AND(G15&lt;&gt;"",G15&lt;&gt;O15)</formula>
    </cfRule>
    <cfRule type="expression" dxfId="12" priority="2">
      <formula>AND(G15&lt;&gt;"",G15=O15)</formula>
    </cfRule>
  </conditionalFormatting>
  <hyperlinks>
    <hyperlink ref="M2" location="Übersicht!A1" display="Zur Übersicht" xr:uid="{00000000-0004-0000-1600-000000000000}"/>
    <hyperlink ref="M33" location="Übersicht!A1" display="Zur Übersicht" xr:uid="{00000000-0004-0000-1600-000001000000}"/>
  </hyperlinks>
  <printOptions horizontalCentered="1" headings="1"/>
  <pageMargins left="0.19685039370078741" right="0.19685039370078741" top="0.19685039370078741" bottom="0.39370078740157483" header="0.51181102362204722" footer="0.51181102362204722"/>
  <pageSetup paperSize="9" scale="67" orientation="landscape" r:id="rId1"/>
  <headerFooter alignWithMargins="0">
    <oddFooter>&amp;L&amp;F&amp;C&amp;A&amp;RGorontzy 12345</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abelle19">
    <tabColor theme="7" tint="-0.499984740745262"/>
    <pageSetUpPr fitToPage="1"/>
  </sheetPr>
  <dimension ref="A1:R37"/>
  <sheetViews>
    <sheetView showGridLines="0" zoomScaleNormal="100" workbookViewId="0">
      <selection activeCell="N2" sqref="N2"/>
    </sheetView>
  </sheetViews>
  <sheetFormatPr baseColWidth="10" defaultColWidth="11.5703125" defaultRowHeight="12.75" customHeight="1" x14ac:dyDescent="0.2"/>
  <cols>
    <col min="1" max="1" width="20.42578125" style="181" bestFit="1" customWidth="1"/>
    <col min="2" max="4" width="30.42578125" style="181" customWidth="1"/>
    <col min="5" max="5" width="6.140625" style="181" customWidth="1"/>
    <col min="6" max="6" width="4.42578125" style="181" customWidth="1"/>
    <col min="7" max="7" width="20.85546875" style="181" customWidth="1"/>
    <col min="8" max="8" width="21.5703125" style="181" customWidth="1"/>
    <col min="9" max="9" width="23.140625" style="181" customWidth="1"/>
    <col min="10" max="12" width="11.5703125" style="181"/>
    <col min="13" max="13" width="14" style="181" customWidth="1"/>
    <col min="14" max="14" width="12.85546875" style="181" bestFit="1" customWidth="1"/>
    <col min="15" max="15" width="11.5703125" style="181"/>
    <col min="16" max="18" width="0" style="181" hidden="1" customWidth="1"/>
    <col min="19" max="16384" width="11.5703125" style="181"/>
  </cols>
  <sheetData>
    <row r="1" spans="1:16" ht="15" customHeight="1" thickBot="1" x14ac:dyDescent="0.25"/>
    <row r="2" spans="1:16" ht="22.5" customHeight="1" x14ac:dyDescent="0.2">
      <c r="A2" s="513" t="s">
        <v>665</v>
      </c>
      <c r="B2" s="513"/>
      <c r="C2" s="513"/>
      <c r="D2" s="513"/>
      <c r="F2" s="285"/>
      <c r="G2" s="273"/>
      <c r="H2" s="273"/>
      <c r="I2" s="273"/>
      <c r="J2" s="273"/>
      <c r="K2" s="273"/>
      <c r="L2" s="274"/>
      <c r="M2" s="317" t="s">
        <v>900</v>
      </c>
      <c r="N2" s="220" t="s">
        <v>732</v>
      </c>
    </row>
    <row r="3" spans="1:16" ht="15" customHeight="1" x14ac:dyDescent="0.2">
      <c r="A3" s="515" t="s">
        <v>666</v>
      </c>
      <c r="B3" s="515"/>
      <c r="C3" s="516" t="s">
        <v>667</v>
      </c>
      <c r="D3" s="515" t="s">
        <v>668</v>
      </c>
      <c r="F3" s="279" t="s">
        <v>97</v>
      </c>
      <c r="G3" s="277" t="s">
        <v>710</v>
      </c>
      <c r="H3" s="277"/>
      <c r="I3" s="277"/>
      <c r="J3" s="277"/>
      <c r="K3" s="277"/>
      <c r="L3" s="278"/>
    </row>
    <row r="4" spans="1:16" ht="15" customHeight="1" x14ac:dyDescent="0.2">
      <c r="A4" s="315" t="s">
        <v>669</v>
      </c>
      <c r="B4" s="313" t="s">
        <v>670</v>
      </c>
      <c r="C4" s="516"/>
      <c r="D4" s="515"/>
      <c r="F4" s="279"/>
      <c r="G4" s="277" t="s">
        <v>728</v>
      </c>
      <c r="H4" s="277"/>
      <c r="I4" s="277"/>
      <c r="J4" s="277"/>
      <c r="K4" s="277"/>
      <c r="L4" s="278"/>
    </row>
    <row r="5" spans="1:16" ht="15" customHeight="1" x14ac:dyDescent="0.2">
      <c r="A5" s="182" t="s">
        <v>671</v>
      </c>
      <c r="B5" s="182" t="s">
        <v>672</v>
      </c>
      <c r="C5" s="190"/>
      <c r="D5" s="182" t="s">
        <v>673</v>
      </c>
      <c r="F5" s="279" t="s">
        <v>100</v>
      </c>
      <c r="G5" s="277" t="s">
        <v>712</v>
      </c>
      <c r="H5" s="277"/>
      <c r="I5" s="277"/>
      <c r="J5" s="277"/>
      <c r="K5" s="277"/>
      <c r="L5" s="278"/>
      <c r="P5" s="181">
        <f>COUNTIF('Statistik I-Hilfstabelle'!$D$2:$I$37,A5)</f>
        <v>13</v>
      </c>
    </row>
    <row r="6" spans="1:16" ht="15" customHeight="1" x14ac:dyDescent="0.2">
      <c r="A6" s="182" t="s">
        <v>674</v>
      </c>
      <c r="B6" s="182" t="s">
        <v>675</v>
      </c>
      <c r="C6" s="190"/>
      <c r="D6" s="182" t="s">
        <v>676</v>
      </c>
      <c r="F6" s="279"/>
      <c r="G6" s="277" t="s">
        <v>713</v>
      </c>
      <c r="H6" s="277"/>
      <c r="I6" s="277"/>
      <c r="J6" s="277"/>
      <c r="K6" s="277"/>
      <c r="L6" s="278"/>
      <c r="P6" s="181">
        <f>COUNTIF('Statistik I-Hilfstabelle'!$D$2:$I$37,A6)</f>
        <v>7</v>
      </c>
    </row>
    <row r="7" spans="1:16" ht="15" customHeight="1" x14ac:dyDescent="0.2">
      <c r="A7" s="182" t="s">
        <v>677</v>
      </c>
      <c r="B7" s="182" t="s">
        <v>678</v>
      </c>
      <c r="C7" s="190"/>
      <c r="D7" s="182" t="s">
        <v>679</v>
      </c>
      <c r="F7" s="279" t="s">
        <v>103</v>
      </c>
      <c r="G7" s="277" t="s">
        <v>711</v>
      </c>
      <c r="H7" s="277"/>
      <c r="I7" s="277"/>
      <c r="J7" s="277"/>
      <c r="K7" s="277"/>
      <c r="L7" s="278"/>
      <c r="P7" s="181">
        <f>COUNTIF('Statistik I-Hilfstabelle'!$D$2:$I$37,A7)</f>
        <v>10</v>
      </c>
    </row>
    <row r="8" spans="1:16" ht="15" customHeight="1" thickBot="1" x14ac:dyDescent="0.25">
      <c r="A8" s="182" t="s">
        <v>680</v>
      </c>
      <c r="B8" s="182" t="s">
        <v>681</v>
      </c>
      <c r="C8" s="190"/>
      <c r="D8" s="182" t="s">
        <v>679</v>
      </c>
      <c r="F8" s="286"/>
      <c r="G8" s="282"/>
      <c r="H8" s="282"/>
      <c r="I8" s="282"/>
      <c r="J8" s="282"/>
      <c r="K8" s="282"/>
      <c r="L8" s="283"/>
      <c r="P8" s="181">
        <f>COUNTIF('Statistik I-Hilfstabelle'!$D$2:$I$37,A8)</f>
        <v>9</v>
      </c>
    </row>
    <row r="9" spans="1:16" ht="15" customHeight="1" x14ac:dyDescent="0.2">
      <c r="A9" s="182" t="s">
        <v>682</v>
      </c>
      <c r="B9" s="182" t="s">
        <v>683</v>
      </c>
      <c r="C9" s="190"/>
      <c r="D9" s="182" t="s">
        <v>676</v>
      </c>
      <c r="P9" s="181">
        <f>COUNTIF('Statistik I-Hilfstabelle'!$D$2:$I$37,A9)</f>
        <v>7</v>
      </c>
    </row>
    <row r="10" spans="1:16" ht="15" customHeight="1" x14ac:dyDescent="0.2">
      <c r="A10" s="182" t="s">
        <v>684</v>
      </c>
      <c r="B10" s="182" t="s">
        <v>685</v>
      </c>
      <c r="C10" s="190"/>
      <c r="D10" s="182" t="s">
        <v>679</v>
      </c>
      <c r="F10" s="191"/>
      <c r="P10" s="181">
        <f>COUNTIF('Statistik I-Hilfstabelle'!$D$2:$I$37,A10)</f>
        <v>7</v>
      </c>
    </row>
    <row r="11" spans="1:16" ht="15" customHeight="1" x14ac:dyDescent="0.2">
      <c r="A11" s="182" t="s">
        <v>686</v>
      </c>
      <c r="B11" s="182" t="s">
        <v>687</v>
      </c>
      <c r="C11" s="190"/>
      <c r="D11" s="182" t="s">
        <v>688</v>
      </c>
      <c r="F11" s="191"/>
      <c r="P11" s="181">
        <f>COUNTIF('Statistik I-Hilfstabelle'!$D$2:$I$37,A11)</f>
        <v>26</v>
      </c>
    </row>
    <row r="12" spans="1:16" ht="15" customHeight="1" x14ac:dyDescent="0.2">
      <c r="A12" s="182" t="s">
        <v>689</v>
      </c>
      <c r="B12" s="182" t="s">
        <v>690</v>
      </c>
      <c r="C12" s="190"/>
      <c r="D12" s="182" t="s">
        <v>688</v>
      </c>
      <c r="F12" s="191"/>
      <c r="P12" s="181">
        <f>COUNTIF('Statistik I-Hilfstabelle'!$D$2:$I$37,A12)</f>
        <v>23</v>
      </c>
    </row>
    <row r="13" spans="1:16" ht="15" customHeight="1" x14ac:dyDescent="0.2">
      <c r="A13" s="182" t="s">
        <v>691</v>
      </c>
      <c r="B13" s="182" t="s">
        <v>692</v>
      </c>
      <c r="C13" s="190"/>
      <c r="D13" s="182" t="s">
        <v>673</v>
      </c>
      <c r="F13" s="191"/>
      <c r="P13" s="181">
        <f>COUNTIF('Statistik I-Hilfstabelle'!$D$2:$I$37,A13)</f>
        <v>3</v>
      </c>
    </row>
    <row r="14" spans="1:16" ht="15" customHeight="1" x14ac:dyDescent="0.2">
      <c r="A14" s="182" t="s">
        <v>693</v>
      </c>
      <c r="B14" s="182" t="s">
        <v>694</v>
      </c>
      <c r="C14" s="190"/>
      <c r="D14" s="182" t="s">
        <v>673</v>
      </c>
      <c r="F14" s="191"/>
      <c r="P14" s="181">
        <f>COUNTIF('Statistik I-Hilfstabelle'!$D$2:$I$37,A14)</f>
        <v>8</v>
      </c>
    </row>
    <row r="15" spans="1:16" ht="15" customHeight="1" x14ac:dyDescent="0.2">
      <c r="A15" s="182" t="s">
        <v>695</v>
      </c>
      <c r="B15" s="182" t="s">
        <v>696</v>
      </c>
      <c r="C15" s="190"/>
      <c r="D15" s="182" t="s">
        <v>679</v>
      </c>
      <c r="F15" s="191"/>
      <c r="P15" s="181">
        <f>COUNTIF('Statistik I-Hilfstabelle'!$D$2:$I$37,A15)</f>
        <v>7</v>
      </c>
    </row>
    <row r="16" spans="1:16" ht="15" customHeight="1" x14ac:dyDescent="0.2">
      <c r="A16" s="182" t="s">
        <v>15</v>
      </c>
      <c r="B16" s="195"/>
      <c r="C16" s="190"/>
      <c r="D16" s="195"/>
      <c r="F16" s="191"/>
      <c r="P16" s="181">
        <f>SUM(P5:P15)</f>
        <v>120</v>
      </c>
    </row>
    <row r="18" spans="1:18" ht="12.75" customHeight="1" thickBot="1" x14ac:dyDescent="0.25"/>
    <row r="19" spans="1:18" ht="22.5" customHeight="1" x14ac:dyDescent="0.2">
      <c r="A19" s="513" t="s">
        <v>697</v>
      </c>
      <c r="B19" s="513"/>
      <c r="C19" s="513"/>
      <c r="D19" s="513"/>
      <c r="F19" s="272" t="s">
        <v>108</v>
      </c>
      <c r="G19" s="273" t="s">
        <v>715</v>
      </c>
      <c r="H19" s="273"/>
      <c r="I19" s="273"/>
      <c r="J19" s="273"/>
      <c r="K19" s="273"/>
      <c r="L19" s="274"/>
    </row>
    <row r="20" spans="1:18" ht="38.25" x14ac:dyDescent="0.2">
      <c r="A20" s="316" t="s">
        <v>668</v>
      </c>
      <c r="B20" s="314" t="s">
        <v>667</v>
      </c>
      <c r="C20" s="314" t="s">
        <v>698</v>
      </c>
      <c r="D20" s="314" t="s">
        <v>699</v>
      </c>
      <c r="F20" s="275"/>
      <c r="G20" s="276" t="s">
        <v>714</v>
      </c>
      <c r="H20" s="277"/>
      <c r="I20" s="277"/>
      <c r="J20" s="277"/>
      <c r="K20" s="277"/>
      <c r="L20" s="278"/>
    </row>
    <row r="21" spans="1:18" ht="15" customHeight="1" x14ac:dyDescent="0.2">
      <c r="A21" s="182" t="s">
        <v>673</v>
      </c>
      <c r="B21" s="190"/>
      <c r="C21" s="192"/>
      <c r="D21" s="193"/>
      <c r="F21" s="279" t="s">
        <v>111</v>
      </c>
      <c r="G21" s="277" t="s">
        <v>712</v>
      </c>
      <c r="H21" s="277"/>
      <c r="I21" s="277"/>
      <c r="J21" s="277"/>
      <c r="K21" s="277"/>
      <c r="L21" s="278"/>
      <c r="P21" s="181">
        <f>SUMIF($D$5:$D$15,A21,$C$5:$C$15)</f>
        <v>0</v>
      </c>
      <c r="Q21" s="181" t="e">
        <f>B21/$B$25*100</f>
        <v>#DIV/0!</v>
      </c>
      <c r="R21" s="181">
        <f>IF(C21&gt;35,1,IF(C21&gt;20,2,3))</f>
        <v>3</v>
      </c>
    </row>
    <row r="22" spans="1:18" ht="15" customHeight="1" x14ac:dyDescent="0.2">
      <c r="A22" s="182" t="s">
        <v>688</v>
      </c>
      <c r="B22" s="190"/>
      <c r="C22" s="192"/>
      <c r="D22" s="193"/>
      <c r="F22" s="279"/>
      <c r="G22" s="277" t="s">
        <v>713</v>
      </c>
      <c r="H22" s="277"/>
      <c r="I22" s="277"/>
      <c r="J22" s="277"/>
      <c r="K22" s="277"/>
      <c r="L22" s="278"/>
      <c r="P22" s="181">
        <f>SUMIF($D$5:$D$15,A22,$C$5:$C$15)</f>
        <v>0</v>
      </c>
      <c r="Q22" s="181" t="e">
        <f t="shared" ref="Q22:Q24" si="0">B22/$B$25*100</f>
        <v>#DIV/0!</v>
      </c>
      <c r="R22" s="181">
        <f t="shared" ref="R22:R24" si="1">IF(C22&gt;35,1,IF(C22&gt;20,2,3))</f>
        <v>3</v>
      </c>
    </row>
    <row r="23" spans="1:18" ht="15" customHeight="1" x14ac:dyDescent="0.2">
      <c r="A23" s="182" t="s">
        <v>676</v>
      </c>
      <c r="B23" s="190"/>
      <c r="C23" s="192"/>
      <c r="D23" s="193"/>
      <c r="F23" s="279" t="s">
        <v>114</v>
      </c>
      <c r="G23" s="277" t="s">
        <v>716</v>
      </c>
      <c r="H23" s="277"/>
      <c r="I23" s="277"/>
      <c r="J23" s="277"/>
      <c r="K23" s="277"/>
      <c r="L23" s="278"/>
      <c r="P23" s="181">
        <f>SUMIF($D$5:$D$15,A23,$C$5:$C$15)</f>
        <v>0</v>
      </c>
      <c r="Q23" s="181" t="e">
        <f t="shared" si="0"/>
        <v>#DIV/0!</v>
      </c>
      <c r="R23" s="181">
        <f t="shared" si="1"/>
        <v>3</v>
      </c>
    </row>
    <row r="24" spans="1:18" ht="15" customHeight="1" x14ac:dyDescent="0.2">
      <c r="A24" s="182" t="s">
        <v>679</v>
      </c>
      <c r="B24" s="190"/>
      <c r="C24" s="192"/>
      <c r="D24" s="193"/>
      <c r="F24" s="279" t="s">
        <v>116</v>
      </c>
      <c r="G24" s="277" t="s">
        <v>717</v>
      </c>
      <c r="H24" s="277"/>
      <c r="I24" s="277"/>
      <c r="J24" s="277"/>
      <c r="K24" s="277"/>
      <c r="L24" s="278"/>
      <c r="P24" s="181">
        <f>SUMIF($D$5:$D$15,A24,$C$5:$C$15)</f>
        <v>0</v>
      </c>
      <c r="Q24" s="181" t="e">
        <f t="shared" si="0"/>
        <v>#DIV/0!</v>
      </c>
      <c r="R24" s="181">
        <f t="shared" si="1"/>
        <v>3</v>
      </c>
    </row>
    <row r="25" spans="1:18" ht="15" customHeight="1" x14ac:dyDescent="0.2">
      <c r="A25" s="182" t="s">
        <v>15</v>
      </c>
      <c r="B25" s="190"/>
      <c r="C25" s="192"/>
      <c r="D25" s="195"/>
      <c r="F25" s="279"/>
      <c r="G25" s="277" t="s">
        <v>718</v>
      </c>
      <c r="H25" s="277"/>
      <c r="I25" s="277"/>
      <c r="J25" s="277"/>
      <c r="K25" s="277"/>
      <c r="L25" s="278"/>
      <c r="P25" s="181">
        <f>SUM(P21:P24)</f>
        <v>0</v>
      </c>
      <c r="Q25" s="181" t="e">
        <f>SUM(Q21:Q24)</f>
        <v>#DIV/0!</v>
      </c>
    </row>
    <row r="26" spans="1:18" ht="12.75" customHeight="1" x14ac:dyDescent="0.2">
      <c r="F26" s="279"/>
      <c r="G26" s="280" t="s">
        <v>719</v>
      </c>
      <c r="H26" s="277"/>
      <c r="I26" s="277"/>
      <c r="J26" s="277"/>
      <c r="K26" s="277"/>
      <c r="L26" s="278"/>
    </row>
    <row r="27" spans="1:18" ht="12.75" customHeight="1" thickBot="1" x14ac:dyDescent="0.25">
      <c r="F27" s="281"/>
      <c r="G27" s="282"/>
      <c r="H27" s="282"/>
      <c r="I27" s="282"/>
      <c r="J27" s="282"/>
      <c r="K27" s="282"/>
      <c r="L27" s="283"/>
    </row>
    <row r="30" spans="1:18" ht="22.5" customHeight="1" thickBot="1" x14ac:dyDescent="0.3">
      <c r="F30" s="2"/>
      <c r="H30" s="2"/>
      <c r="I30"/>
    </row>
    <row r="31" spans="1:18" ht="22.5" customHeight="1" x14ac:dyDescent="0.25">
      <c r="A31" s="513" t="s">
        <v>709</v>
      </c>
      <c r="B31" s="514"/>
      <c r="C31" s="514"/>
      <c r="D31" s="514"/>
      <c r="F31" s="284" t="s">
        <v>726</v>
      </c>
      <c r="G31" s="258" t="s">
        <v>722</v>
      </c>
      <c r="H31" s="256"/>
      <c r="I31" s="256"/>
      <c r="J31" s="273"/>
      <c r="K31" s="273"/>
      <c r="L31" s="274"/>
    </row>
    <row r="32" spans="1:18" ht="27.75" customHeight="1" x14ac:dyDescent="0.2">
      <c r="A32" s="316" t="s">
        <v>670</v>
      </c>
      <c r="B32" s="314" t="s">
        <v>720</v>
      </c>
      <c r="C32" s="314" t="s">
        <v>700</v>
      </c>
      <c r="D32" s="314" t="s">
        <v>721</v>
      </c>
      <c r="F32" s="249"/>
      <c r="G32" s="280" t="s">
        <v>723</v>
      </c>
      <c r="H32" s="236"/>
      <c r="I32" s="236"/>
      <c r="J32" s="277"/>
      <c r="K32" s="277"/>
      <c r="L32" s="278"/>
    </row>
    <row r="33" spans="1:17" ht="15" customHeight="1" x14ac:dyDescent="0.2">
      <c r="A33" s="182" t="s">
        <v>687</v>
      </c>
      <c r="B33" s="190"/>
      <c r="C33" s="183">
        <v>24</v>
      </c>
      <c r="D33" s="192"/>
      <c r="F33" s="249" t="s">
        <v>727</v>
      </c>
      <c r="G33" s="236" t="s">
        <v>724</v>
      </c>
      <c r="H33" s="236"/>
      <c r="I33" s="236"/>
      <c r="J33" s="277"/>
      <c r="K33" s="277"/>
      <c r="L33" s="278"/>
      <c r="P33" s="181">
        <f>VLOOKUP(A33,$B$5:$C$15,2,0)</f>
        <v>0</v>
      </c>
      <c r="Q33" s="181">
        <f>(B33/C33-1)*100</f>
        <v>-100</v>
      </c>
    </row>
    <row r="34" spans="1:17" ht="15" customHeight="1" x14ac:dyDescent="0.2">
      <c r="A34" s="182" t="s">
        <v>690</v>
      </c>
      <c r="B34" s="190"/>
      <c r="C34" s="183">
        <v>14</v>
      </c>
      <c r="D34" s="192"/>
      <c r="F34" s="249"/>
      <c r="G34" s="236" t="s">
        <v>725</v>
      </c>
      <c r="H34" s="236"/>
      <c r="I34" s="236"/>
      <c r="J34" s="277"/>
      <c r="K34" s="277"/>
      <c r="L34" s="278"/>
      <c r="P34" s="181">
        <f>VLOOKUP(A34,$B$5:$C$15,2,0)</f>
        <v>0</v>
      </c>
      <c r="Q34" s="181">
        <f>(B34/C34-1)*100</f>
        <v>-100</v>
      </c>
    </row>
    <row r="35" spans="1:17" ht="15" customHeight="1" thickBot="1" x14ac:dyDescent="0.25">
      <c r="A35" s="182" t="s">
        <v>15</v>
      </c>
      <c r="B35" s="190"/>
      <c r="C35" s="183">
        <f>SUM(C33:C34)</f>
        <v>38</v>
      </c>
      <c r="D35" s="195"/>
      <c r="F35" s="281"/>
      <c r="G35" s="282"/>
      <c r="H35" s="251"/>
      <c r="I35" s="251"/>
      <c r="J35" s="282"/>
      <c r="K35" s="282"/>
      <c r="L35" s="283"/>
      <c r="M35" s="317" t="s">
        <v>900</v>
      </c>
      <c r="N35" s="220" t="s">
        <v>732</v>
      </c>
      <c r="P35" s="181">
        <f>SUM(P33:P34)</f>
        <v>0</v>
      </c>
    </row>
    <row r="36" spans="1:17" ht="12.75" customHeight="1" x14ac:dyDescent="0.2">
      <c r="F36" s="191"/>
    </row>
    <row r="37" spans="1:17" ht="12.75" customHeight="1" x14ac:dyDescent="0.2">
      <c r="F37" s="191"/>
    </row>
  </sheetData>
  <sheetProtection sheet="1" objects="1" scenarios="1" formatCells="0"/>
  <protectedRanges>
    <protectedRange sqref="D33:D34" name="Bereich5"/>
    <protectedRange sqref="B33:B35" name="Bereich4"/>
    <protectedRange sqref="D21:D24" name="Bereich3"/>
    <protectedRange sqref="B21:C25" name="Bereich2"/>
    <protectedRange sqref="C5:C16" name="Bereich1"/>
  </protectedRanges>
  <mergeCells count="6">
    <mergeCell ref="A31:D31"/>
    <mergeCell ref="A2:D2"/>
    <mergeCell ref="A3:B3"/>
    <mergeCell ref="C3:C4"/>
    <mergeCell ref="D3:D4"/>
    <mergeCell ref="A19:D19"/>
  </mergeCells>
  <conditionalFormatting sqref="C5:C16">
    <cfRule type="expression" dxfId="11" priority="11">
      <formula>AND(C5&lt;&gt;"",C5&lt;&gt;P5)</formula>
    </cfRule>
    <cfRule type="expression" dxfId="10" priority="12">
      <formula>AND(C5&lt;&gt;"",C5=P5)</formula>
    </cfRule>
  </conditionalFormatting>
  <conditionalFormatting sqref="B21:B25">
    <cfRule type="expression" dxfId="9" priority="9">
      <formula>AND(B21&lt;&gt;"",B21&lt;&gt;P21)</formula>
    </cfRule>
    <cfRule type="expression" dxfId="8" priority="10">
      <formula>AND(B21&lt;&gt;"",B21=P21)</formula>
    </cfRule>
  </conditionalFormatting>
  <conditionalFormatting sqref="C21:C25">
    <cfRule type="expression" dxfId="7" priority="7">
      <formula>AND(C21&lt;&gt;"",C21&lt;&gt;Q21)</formula>
    </cfRule>
    <cfRule type="expression" dxfId="6" priority="8">
      <formula>AND(C21&lt;&gt;"",C21=Q21)</formula>
    </cfRule>
  </conditionalFormatting>
  <conditionalFormatting sqref="D21:D24">
    <cfRule type="expression" dxfId="5" priority="5">
      <formula>AND(D21&lt;&gt;"",D21&lt;&gt;R21)</formula>
    </cfRule>
    <cfRule type="expression" dxfId="4" priority="6">
      <formula>AND(D21&lt;&gt;"",D21=R21)</formula>
    </cfRule>
  </conditionalFormatting>
  <conditionalFormatting sqref="B33:B35">
    <cfRule type="expression" dxfId="3" priority="3">
      <formula>AND(B33&lt;&gt;"",B33&lt;&gt;P33)</formula>
    </cfRule>
    <cfRule type="expression" dxfId="2" priority="4">
      <formula>AND(B33&lt;&gt;"",B33=P33)</formula>
    </cfRule>
  </conditionalFormatting>
  <conditionalFormatting sqref="D33:D34">
    <cfRule type="expression" dxfId="1" priority="1">
      <formula>AND(D33&lt;&gt;"",D33&lt;&gt;Q33)</formula>
    </cfRule>
    <cfRule type="expression" dxfId="0" priority="2">
      <formula>AND(D33&lt;&gt;"",D33=Q33)</formula>
    </cfRule>
  </conditionalFormatting>
  <dataValidations count="1">
    <dataValidation type="list" allowBlank="1" showInputMessage="1" showErrorMessage="1" sqref="D5:D15" xr:uid="{00000000-0002-0000-1700-000000000000}">
      <formula1>$A$21:$A$24</formula1>
    </dataValidation>
  </dataValidations>
  <hyperlinks>
    <hyperlink ref="N2" location="Übersicht!A1" display="Zur Übersicht" xr:uid="{00000000-0004-0000-1700-000000000000}"/>
    <hyperlink ref="N35" location="Übersicht!A1" display="Zur Übersicht" xr:uid="{00000000-0004-0000-1700-000001000000}"/>
  </hyperlinks>
  <printOptions horizontalCentered="1" headings="1"/>
  <pageMargins left="0.19685039370078741" right="0.19685039370078741" top="0.19685039370078741" bottom="0.39370078740157483" header="0.51181102362204722" footer="0.51181102362204722"/>
  <pageSetup paperSize="9" scale="67" orientation="landscape" r:id="rId1"/>
  <headerFooter alignWithMargins="0">
    <oddFooter>&amp;L&amp;F&amp;C&amp;A&amp;RGorontzy 12345</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abelle20">
    <tabColor theme="7" tint="-0.499984740745262"/>
    <pageSetUpPr fitToPage="1"/>
  </sheetPr>
  <dimension ref="A1:I2080"/>
  <sheetViews>
    <sheetView zoomScaleNormal="100" workbookViewId="0">
      <selection activeCell="P26" sqref="P26"/>
    </sheetView>
  </sheetViews>
  <sheetFormatPr baseColWidth="10" defaultColWidth="11.5703125" defaultRowHeight="12.75" x14ac:dyDescent="0.2"/>
  <cols>
    <col min="1" max="1" width="11" style="188" bestFit="1" customWidth="1"/>
    <col min="2" max="2" width="11.7109375" style="188" bestFit="1" customWidth="1"/>
    <col min="3" max="3" width="13.140625" style="189" customWidth="1"/>
    <col min="4" max="9" width="3.7109375" style="181" customWidth="1"/>
    <col min="10" max="10" width="14.85546875" style="181" customWidth="1"/>
    <col min="11" max="16384" width="11.5703125" style="181"/>
  </cols>
  <sheetData>
    <row r="1" spans="1:9" ht="21.75" customHeight="1" x14ac:dyDescent="0.2">
      <c r="A1" s="184" t="s">
        <v>54</v>
      </c>
      <c r="B1" s="184" t="s">
        <v>701</v>
      </c>
      <c r="C1" s="185" t="s">
        <v>702</v>
      </c>
      <c r="D1" s="517" t="s">
        <v>703</v>
      </c>
      <c r="E1" s="517"/>
      <c r="F1" s="517"/>
      <c r="G1" s="517"/>
      <c r="H1" s="517"/>
      <c r="I1" s="517"/>
    </row>
    <row r="2" spans="1:9" ht="12.75" customHeight="1" x14ac:dyDescent="0.2">
      <c r="A2" s="186">
        <v>43846</v>
      </c>
      <c r="B2" s="187">
        <f>A2</f>
        <v>43846</v>
      </c>
      <c r="C2" s="187" t="s">
        <v>704</v>
      </c>
      <c r="D2" s="287" t="s">
        <v>671</v>
      </c>
      <c r="E2" s="287" t="s">
        <v>689</v>
      </c>
      <c r="F2" s="287" t="s">
        <v>686</v>
      </c>
      <c r="G2" s="287"/>
      <c r="H2" s="287"/>
      <c r="I2" s="287"/>
    </row>
    <row r="3" spans="1:9" x14ac:dyDescent="0.2">
      <c r="A3" s="186">
        <v>43847</v>
      </c>
      <c r="B3" s="187">
        <f t="shared" ref="B3:B37" si="0">A3</f>
        <v>43847</v>
      </c>
      <c r="C3" s="187" t="s">
        <v>705</v>
      </c>
      <c r="D3" s="287" t="s">
        <v>677</v>
      </c>
      <c r="E3" s="287" t="s">
        <v>689</v>
      </c>
      <c r="F3" s="287" t="s">
        <v>693</v>
      </c>
      <c r="G3" s="287" t="s">
        <v>674</v>
      </c>
      <c r="H3" s="287"/>
      <c r="I3" s="287"/>
    </row>
    <row r="4" spans="1:9" x14ac:dyDescent="0.2">
      <c r="A4" s="186">
        <v>43850</v>
      </c>
      <c r="B4" s="187">
        <f t="shared" si="0"/>
        <v>43850</v>
      </c>
      <c r="C4" s="187" t="s">
        <v>706</v>
      </c>
      <c r="D4" s="287" t="s">
        <v>680</v>
      </c>
      <c r="E4" s="287" t="s">
        <v>686</v>
      </c>
      <c r="F4" s="287" t="s">
        <v>684</v>
      </c>
      <c r="G4" s="287" t="s">
        <v>689</v>
      </c>
      <c r="H4" s="287" t="s">
        <v>677</v>
      </c>
      <c r="I4" s="287"/>
    </row>
    <row r="5" spans="1:9" x14ac:dyDescent="0.2">
      <c r="A5" s="186">
        <v>43853</v>
      </c>
      <c r="B5" s="187">
        <f t="shared" si="0"/>
        <v>43853</v>
      </c>
      <c r="C5" s="187" t="s">
        <v>581</v>
      </c>
      <c r="D5" s="287" t="s">
        <v>686</v>
      </c>
      <c r="E5" s="287" t="s">
        <v>682</v>
      </c>
      <c r="F5" s="287" t="s">
        <v>680</v>
      </c>
      <c r="G5" s="287"/>
      <c r="H5" s="287"/>
      <c r="I5" s="287"/>
    </row>
    <row r="6" spans="1:9" x14ac:dyDescent="0.2">
      <c r="A6" s="186">
        <v>43854</v>
      </c>
      <c r="B6" s="187">
        <f t="shared" si="0"/>
        <v>43854</v>
      </c>
      <c r="C6" s="187" t="s">
        <v>707</v>
      </c>
      <c r="D6" s="287" t="s">
        <v>686</v>
      </c>
      <c r="E6" s="287" t="s">
        <v>689</v>
      </c>
      <c r="F6" s="287" t="s">
        <v>680</v>
      </c>
      <c r="G6" s="287"/>
      <c r="H6" s="287"/>
      <c r="I6" s="287"/>
    </row>
    <row r="7" spans="1:9" x14ac:dyDescent="0.2">
      <c r="A7" s="186">
        <v>43857</v>
      </c>
      <c r="B7" s="187">
        <f t="shared" si="0"/>
        <v>43857</v>
      </c>
      <c r="C7" s="187" t="s">
        <v>708</v>
      </c>
      <c r="D7" s="287" t="s">
        <v>671</v>
      </c>
      <c r="E7" s="287" t="s">
        <v>686</v>
      </c>
      <c r="F7" s="287" t="s">
        <v>682</v>
      </c>
      <c r="G7" s="287" t="s">
        <v>689</v>
      </c>
      <c r="H7" s="287"/>
      <c r="I7" s="287"/>
    </row>
    <row r="8" spans="1:9" x14ac:dyDescent="0.2">
      <c r="A8" s="186">
        <v>43858</v>
      </c>
      <c r="B8" s="187">
        <f t="shared" si="0"/>
        <v>43858</v>
      </c>
      <c r="C8" s="187" t="s">
        <v>708</v>
      </c>
      <c r="D8" s="287" t="s">
        <v>689</v>
      </c>
      <c r="E8" s="287" t="s">
        <v>677</v>
      </c>
      <c r="F8" s="287" t="s">
        <v>671</v>
      </c>
      <c r="G8" s="287"/>
      <c r="H8" s="287"/>
      <c r="I8" s="287"/>
    </row>
    <row r="9" spans="1:9" x14ac:dyDescent="0.2">
      <c r="A9" s="186">
        <v>43859</v>
      </c>
      <c r="B9" s="187">
        <f t="shared" si="0"/>
        <v>43859</v>
      </c>
      <c r="C9" s="187" t="s">
        <v>581</v>
      </c>
      <c r="D9" s="287" t="s">
        <v>686</v>
      </c>
      <c r="E9" s="287" t="s">
        <v>674</v>
      </c>
      <c r="F9" s="287" t="s">
        <v>686</v>
      </c>
      <c r="G9" s="287"/>
      <c r="H9" s="287"/>
      <c r="I9" s="287"/>
    </row>
    <row r="10" spans="1:9" x14ac:dyDescent="0.2">
      <c r="A10" s="186">
        <v>43860</v>
      </c>
      <c r="B10" s="187">
        <f t="shared" si="0"/>
        <v>43860</v>
      </c>
      <c r="C10" s="187" t="s">
        <v>707</v>
      </c>
      <c r="D10" s="287" t="s">
        <v>695</v>
      </c>
      <c r="E10" s="287" t="s">
        <v>689</v>
      </c>
      <c r="F10" s="287" t="s">
        <v>693</v>
      </c>
      <c r="G10" s="287"/>
      <c r="H10" s="287"/>
      <c r="I10" s="287"/>
    </row>
    <row r="11" spans="1:9" x14ac:dyDescent="0.2">
      <c r="A11" s="186">
        <v>43861</v>
      </c>
      <c r="B11" s="187">
        <f t="shared" si="0"/>
        <v>43861</v>
      </c>
      <c r="C11" s="187" t="s">
        <v>708</v>
      </c>
      <c r="D11" s="287" t="s">
        <v>686</v>
      </c>
      <c r="E11" s="287" t="s">
        <v>680</v>
      </c>
      <c r="F11" s="287"/>
      <c r="G11" s="287"/>
      <c r="H11" s="287"/>
      <c r="I11" s="287"/>
    </row>
    <row r="12" spans="1:9" x14ac:dyDescent="0.2">
      <c r="A12" s="186">
        <v>43864</v>
      </c>
      <c r="B12" s="187">
        <f t="shared" si="0"/>
        <v>43864</v>
      </c>
      <c r="C12" s="187" t="s">
        <v>581</v>
      </c>
      <c r="D12" s="287" t="s">
        <v>684</v>
      </c>
      <c r="E12" s="287" t="s">
        <v>686</v>
      </c>
      <c r="F12" s="287" t="s">
        <v>689</v>
      </c>
      <c r="G12" s="287"/>
      <c r="H12" s="287"/>
      <c r="I12" s="287"/>
    </row>
    <row r="13" spans="1:9" x14ac:dyDescent="0.2">
      <c r="A13" s="186">
        <v>43865</v>
      </c>
      <c r="B13" s="187">
        <f t="shared" si="0"/>
        <v>43865</v>
      </c>
      <c r="C13" s="187" t="s">
        <v>704</v>
      </c>
      <c r="D13" s="287" t="s">
        <v>686</v>
      </c>
      <c r="E13" s="287" t="s">
        <v>671</v>
      </c>
      <c r="F13" s="287" t="s">
        <v>686</v>
      </c>
      <c r="G13" s="287"/>
      <c r="H13" s="287"/>
      <c r="I13" s="287"/>
    </row>
    <row r="14" spans="1:9" x14ac:dyDescent="0.2">
      <c r="A14" s="186">
        <v>43866</v>
      </c>
      <c r="B14" s="187">
        <f t="shared" si="0"/>
        <v>43866</v>
      </c>
      <c r="C14" s="187" t="s">
        <v>705</v>
      </c>
      <c r="D14" s="287" t="s">
        <v>693</v>
      </c>
      <c r="E14" s="287" t="s">
        <v>674</v>
      </c>
      <c r="F14" s="287" t="s">
        <v>686</v>
      </c>
      <c r="G14" s="287"/>
      <c r="H14" s="287"/>
      <c r="I14" s="287"/>
    </row>
    <row r="15" spans="1:9" x14ac:dyDescent="0.2">
      <c r="A15" s="186">
        <v>43867</v>
      </c>
      <c r="B15" s="187">
        <f t="shared" si="0"/>
        <v>43867</v>
      </c>
      <c r="C15" s="187" t="s">
        <v>706</v>
      </c>
      <c r="D15" s="287" t="s">
        <v>684</v>
      </c>
      <c r="E15" s="287" t="s">
        <v>677</v>
      </c>
      <c r="F15" s="287" t="s">
        <v>689</v>
      </c>
      <c r="G15" s="287" t="s">
        <v>691</v>
      </c>
      <c r="H15" s="287"/>
      <c r="I15" s="287"/>
    </row>
    <row r="16" spans="1:9" x14ac:dyDescent="0.2">
      <c r="A16" s="186">
        <v>43868</v>
      </c>
      <c r="B16" s="187">
        <f t="shared" si="0"/>
        <v>43868</v>
      </c>
      <c r="C16" s="187" t="s">
        <v>581</v>
      </c>
      <c r="D16" s="287" t="s">
        <v>689</v>
      </c>
      <c r="E16" s="287" t="s">
        <v>691</v>
      </c>
      <c r="F16" s="287" t="s">
        <v>693</v>
      </c>
      <c r="G16" s="287"/>
      <c r="H16" s="287"/>
      <c r="I16" s="287"/>
    </row>
    <row r="17" spans="1:9" x14ac:dyDescent="0.2">
      <c r="A17" s="186">
        <v>43871</v>
      </c>
      <c r="B17" s="187">
        <f t="shared" si="0"/>
        <v>43871</v>
      </c>
      <c r="C17" s="187" t="s">
        <v>581</v>
      </c>
      <c r="D17" s="287" t="s">
        <v>695</v>
      </c>
      <c r="E17" s="287" t="s">
        <v>686</v>
      </c>
      <c r="F17" s="287" t="s">
        <v>682</v>
      </c>
      <c r="G17" s="287" t="s">
        <v>680</v>
      </c>
      <c r="H17" s="287"/>
      <c r="I17" s="287"/>
    </row>
    <row r="18" spans="1:9" x14ac:dyDescent="0.2">
      <c r="A18" s="186">
        <v>43872</v>
      </c>
      <c r="B18" s="187">
        <f t="shared" si="0"/>
        <v>43872</v>
      </c>
      <c r="C18" s="187" t="s">
        <v>707</v>
      </c>
      <c r="D18" s="287" t="s">
        <v>680</v>
      </c>
      <c r="E18" s="287" t="s">
        <v>677</v>
      </c>
      <c r="F18" s="287" t="s">
        <v>671</v>
      </c>
      <c r="G18" s="287"/>
      <c r="H18" s="287"/>
      <c r="I18" s="287"/>
    </row>
    <row r="19" spans="1:9" x14ac:dyDescent="0.2">
      <c r="A19" s="186">
        <v>43873</v>
      </c>
      <c r="B19" s="187">
        <f t="shared" si="0"/>
        <v>43873</v>
      </c>
      <c r="C19" s="187" t="s">
        <v>708</v>
      </c>
      <c r="D19" s="287" t="s">
        <v>682</v>
      </c>
      <c r="E19" s="287" t="s">
        <v>686</v>
      </c>
      <c r="F19" s="287" t="s">
        <v>686</v>
      </c>
      <c r="G19" s="287"/>
      <c r="H19" s="287"/>
      <c r="I19" s="287"/>
    </row>
    <row r="20" spans="1:9" x14ac:dyDescent="0.2">
      <c r="A20" s="186">
        <v>43874</v>
      </c>
      <c r="B20" s="187">
        <f t="shared" si="0"/>
        <v>43874</v>
      </c>
      <c r="C20" s="187" t="s">
        <v>706</v>
      </c>
      <c r="D20" s="287" t="s">
        <v>674</v>
      </c>
      <c r="E20" s="287" t="s">
        <v>677</v>
      </c>
      <c r="F20" s="287" t="s">
        <v>693</v>
      </c>
      <c r="G20" s="287" t="s">
        <v>686</v>
      </c>
      <c r="H20" s="287"/>
      <c r="I20" s="287"/>
    </row>
    <row r="21" spans="1:9" x14ac:dyDescent="0.2">
      <c r="A21" s="186">
        <v>43875</v>
      </c>
      <c r="B21" s="187">
        <f t="shared" si="0"/>
        <v>43875</v>
      </c>
      <c r="C21" s="187" t="s">
        <v>704</v>
      </c>
      <c r="D21" s="287" t="s">
        <v>684</v>
      </c>
      <c r="E21" s="287" t="s">
        <v>689</v>
      </c>
      <c r="F21" s="287" t="s">
        <v>682</v>
      </c>
      <c r="G21" s="287" t="s">
        <v>686</v>
      </c>
      <c r="H21" s="287" t="s">
        <v>689</v>
      </c>
      <c r="I21" s="287"/>
    </row>
    <row r="22" spans="1:9" x14ac:dyDescent="0.2">
      <c r="A22" s="186">
        <v>43878</v>
      </c>
      <c r="B22" s="187">
        <f t="shared" si="0"/>
        <v>43878</v>
      </c>
      <c r="C22" s="187" t="s">
        <v>706</v>
      </c>
      <c r="D22" s="287" t="s">
        <v>677</v>
      </c>
      <c r="E22" s="287" t="s">
        <v>689</v>
      </c>
      <c r="F22" s="287" t="s">
        <v>695</v>
      </c>
      <c r="G22" s="287"/>
      <c r="H22" s="287"/>
      <c r="I22" s="287"/>
    </row>
    <row r="23" spans="1:9" x14ac:dyDescent="0.2">
      <c r="A23" s="186">
        <v>43879</v>
      </c>
      <c r="B23" s="187">
        <f t="shared" si="0"/>
        <v>43879</v>
      </c>
      <c r="C23" s="187" t="s">
        <v>707</v>
      </c>
      <c r="D23" s="287" t="s">
        <v>671</v>
      </c>
      <c r="E23" s="287" t="s">
        <v>689</v>
      </c>
      <c r="F23" s="287" t="s">
        <v>686</v>
      </c>
      <c r="G23" s="287"/>
      <c r="H23" s="287"/>
      <c r="I23" s="287"/>
    </row>
    <row r="24" spans="1:9" x14ac:dyDescent="0.2">
      <c r="A24" s="186">
        <v>43880</v>
      </c>
      <c r="B24" s="187">
        <f t="shared" si="0"/>
        <v>43880</v>
      </c>
      <c r="C24" s="187" t="s">
        <v>581</v>
      </c>
      <c r="D24" s="287" t="s">
        <v>689</v>
      </c>
      <c r="E24" s="287" t="s">
        <v>695</v>
      </c>
      <c r="F24" s="287" t="s">
        <v>680</v>
      </c>
      <c r="G24" s="287" t="s">
        <v>677</v>
      </c>
      <c r="H24" s="287"/>
      <c r="I24" s="287"/>
    </row>
    <row r="25" spans="1:9" x14ac:dyDescent="0.2">
      <c r="A25" s="186">
        <v>43881</v>
      </c>
      <c r="B25" s="187">
        <f t="shared" si="0"/>
        <v>43881</v>
      </c>
      <c r="C25" s="187" t="s">
        <v>707</v>
      </c>
      <c r="D25" s="287" t="s">
        <v>677</v>
      </c>
      <c r="E25" s="287" t="s">
        <v>689</v>
      </c>
      <c r="F25" s="287"/>
      <c r="G25" s="287"/>
      <c r="H25" s="287"/>
      <c r="I25" s="287"/>
    </row>
    <row r="26" spans="1:9" x14ac:dyDescent="0.2">
      <c r="A26" s="186">
        <v>43882</v>
      </c>
      <c r="B26" s="187">
        <f t="shared" si="0"/>
        <v>43882</v>
      </c>
      <c r="C26" s="187" t="s">
        <v>708</v>
      </c>
      <c r="D26" s="287" t="s">
        <v>689</v>
      </c>
      <c r="E26" s="287" t="s">
        <v>686</v>
      </c>
      <c r="F26" s="287" t="s">
        <v>686</v>
      </c>
      <c r="G26" s="287" t="s">
        <v>684</v>
      </c>
      <c r="H26" s="287"/>
      <c r="I26" s="287"/>
    </row>
    <row r="27" spans="1:9" x14ac:dyDescent="0.2">
      <c r="A27" s="186">
        <v>43885</v>
      </c>
      <c r="B27" s="187">
        <f t="shared" si="0"/>
        <v>43885</v>
      </c>
      <c r="C27" s="187" t="s">
        <v>707</v>
      </c>
      <c r="D27" s="287" t="s">
        <v>674</v>
      </c>
      <c r="E27" s="287" t="s">
        <v>671</v>
      </c>
      <c r="F27" s="287" t="s">
        <v>680</v>
      </c>
      <c r="G27" s="287"/>
      <c r="H27" s="287"/>
      <c r="I27" s="287"/>
    </row>
    <row r="28" spans="1:9" x14ac:dyDescent="0.2">
      <c r="A28" s="186">
        <v>43886</v>
      </c>
      <c r="B28" s="187">
        <f t="shared" si="0"/>
        <v>43886</v>
      </c>
      <c r="C28" s="187" t="s">
        <v>704</v>
      </c>
      <c r="D28" s="287" t="s">
        <v>671</v>
      </c>
      <c r="E28" s="287" t="s">
        <v>686</v>
      </c>
      <c r="F28" s="287"/>
      <c r="G28" s="287"/>
      <c r="H28" s="287"/>
      <c r="I28" s="287"/>
    </row>
    <row r="29" spans="1:9" x14ac:dyDescent="0.2">
      <c r="A29" s="186">
        <v>43887</v>
      </c>
      <c r="B29" s="187">
        <f t="shared" si="0"/>
        <v>43887</v>
      </c>
      <c r="C29" s="187" t="s">
        <v>706</v>
      </c>
      <c r="D29" s="287" t="s">
        <v>693</v>
      </c>
      <c r="E29" s="287" t="s">
        <v>689</v>
      </c>
      <c r="F29" s="287" t="s">
        <v>695</v>
      </c>
      <c r="G29" s="287"/>
      <c r="H29" s="287"/>
      <c r="I29" s="287"/>
    </row>
    <row r="30" spans="1:9" x14ac:dyDescent="0.2">
      <c r="A30" s="186">
        <v>43888</v>
      </c>
      <c r="B30" s="187">
        <f t="shared" si="0"/>
        <v>43888</v>
      </c>
      <c r="C30" s="187" t="s">
        <v>707</v>
      </c>
      <c r="D30" s="287" t="s">
        <v>689</v>
      </c>
      <c r="E30" s="287" t="s">
        <v>691</v>
      </c>
      <c r="F30" s="287" t="s">
        <v>686</v>
      </c>
      <c r="G30" s="287"/>
      <c r="H30" s="287"/>
      <c r="I30" s="287"/>
    </row>
    <row r="31" spans="1:9" x14ac:dyDescent="0.2">
      <c r="A31" s="186">
        <v>43889</v>
      </c>
      <c r="B31" s="187">
        <f t="shared" si="0"/>
        <v>43889</v>
      </c>
      <c r="C31" s="187" t="s">
        <v>581</v>
      </c>
      <c r="D31" s="287" t="s">
        <v>671</v>
      </c>
      <c r="E31" s="287" t="s">
        <v>689</v>
      </c>
      <c r="F31" s="287" t="s">
        <v>686</v>
      </c>
      <c r="G31" s="287"/>
      <c r="H31" s="287"/>
      <c r="I31" s="287"/>
    </row>
    <row r="32" spans="1:9" x14ac:dyDescent="0.2">
      <c r="A32" s="186">
        <v>43892</v>
      </c>
      <c r="B32" s="187">
        <f t="shared" si="0"/>
        <v>43892</v>
      </c>
      <c r="C32" s="187" t="s">
        <v>707</v>
      </c>
      <c r="D32" s="287" t="s">
        <v>695</v>
      </c>
      <c r="E32" s="287" t="s">
        <v>689</v>
      </c>
      <c r="F32" s="287"/>
      <c r="G32" s="287"/>
      <c r="H32" s="287"/>
      <c r="I32" s="287"/>
    </row>
    <row r="33" spans="1:9" x14ac:dyDescent="0.2">
      <c r="A33" s="186">
        <v>43893</v>
      </c>
      <c r="B33" s="187">
        <f t="shared" si="0"/>
        <v>43893</v>
      </c>
      <c r="C33" s="187" t="s">
        <v>708</v>
      </c>
      <c r="D33" s="287" t="s">
        <v>693</v>
      </c>
      <c r="E33" s="287" t="s">
        <v>684</v>
      </c>
      <c r="F33" s="287" t="s">
        <v>689</v>
      </c>
      <c r="G33" s="287"/>
      <c r="H33" s="287"/>
      <c r="I33" s="287"/>
    </row>
    <row r="34" spans="1:9" x14ac:dyDescent="0.2">
      <c r="A34" s="186">
        <v>43894</v>
      </c>
      <c r="B34" s="187">
        <f t="shared" si="0"/>
        <v>43894</v>
      </c>
      <c r="C34" s="187" t="s">
        <v>704</v>
      </c>
      <c r="D34" s="287" t="s">
        <v>671</v>
      </c>
      <c r="E34" s="287" t="s">
        <v>680</v>
      </c>
      <c r="F34" s="287" t="s">
        <v>686</v>
      </c>
      <c r="G34" s="287" t="s">
        <v>674</v>
      </c>
      <c r="H34" s="287"/>
      <c r="I34" s="287"/>
    </row>
    <row r="35" spans="1:9" x14ac:dyDescent="0.2">
      <c r="A35" s="186">
        <v>43895</v>
      </c>
      <c r="B35" s="187">
        <f t="shared" si="0"/>
        <v>43895</v>
      </c>
      <c r="C35" s="187" t="s">
        <v>704</v>
      </c>
      <c r="D35" s="287" t="s">
        <v>693</v>
      </c>
      <c r="E35" s="287" t="s">
        <v>671</v>
      </c>
      <c r="F35" s="287" t="s">
        <v>686</v>
      </c>
      <c r="G35" s="287"/>
      <c r="H35" s="287"/>
      <c r="I35" s="287"/>
    </row>
    <row r="36" spans="1:9" x14ac:dyDescent="0.2">
      <c r="A36" s="186">
        <v>43896</v>
      </c>
      <c r="B36" s="187">
        <f t="shared" si="0"/>
        <v>43896</v>
      </c>
      <c r="C36" s="187" t="s">
        <v>706</v>
      </c>
      <c r="D36" s="287" t="s">
        <v>671</v>
      </c>
      <c r="E36" s="287" t="s">
        <v>674</v>
      </c>
      <c r="F36" s="287" t="s">
        <v>689</v>
      </c>
      <c r="G36" s="287" t="s">
        <v>677</v>
      </c>
      <c r="H36" s="287"/>
      <c r="I36" s="287"/>
    </row>
    <row r="37" spans="1:9" x14ac:dyDescent="0.2">
      <c r="A37" s="186">
        <v>43899</v>
      </c>
      <c r="B37" s="187">
        <f t="shared" si="0"/>
        <v>43899</v>
      </c>
      <c r="C37" s="187" t="s">
        <v>708</v>
      </c>
      <c r="D37" s="287" t="s">
        <v>671</v>
      </c>
      <c r="E37" s="287" t="s">
        <v>695</v>
      </c>
      <c r="F37" s="287" t="s">
        <v>682</v>
      </c>
      <c r="G37" s="287" t="s">
        <v>686</v>
      </c>
      <c r="H37" s="287" t="s">
        <v>682</v>
      </c>
      <c r="I37" s="287" t="s">
        <v>684</v>
      </c>
    </row>
    <row r="38" spans="1:9" x14ac:dyDescent="0.2">
      <c r="A38" s="181"/>
      <c r="B38" s="181"/>
      <c r="C38" s="181"/>
    </row>
    <row r="39" spans="1:9" x14ac:dyDescent="0.2">
      <c r="A39" s="181"/>
      <c r="B39" s="181"/>
      <c r="C39" s="181"/>
    </row>
    <row r="40" spans="1:9" x14ac:dyDescent="0.2">
      <c r="A40" s="181"/>
      <c r="B40" s="181"/>
      <c r="C40" s="181"/>
    </row>
    <row r="41" spans="1:9" x14ac:dyDescent="0.2">
      <c r="A41" s="181"/>
      <c r="B41" s="181"/>
      <c r="C41" s="181"/>
    </row>
    <row r="42" spans="1:9" x14ac:dyDescent="0.2">
      <c r="A42" s="181"/>
      <c r="B42" s="181"/>
      <c r="C42" s="181"/>
    </row>
    <row r="43" spans="1:9" x14ac:dyDescent="0.2">
      <c r="A43" s="181"/>
      <c r="B43" s="181"/>
      <c r="C43" s="181"/>
    </row>
    <row r="44" spans="1:9" x14ac:dyDescent="0.2">
      <c r="A44" s="181"/>
      <c r="B44" s="181"/>
      <c r="C44" s="181"/>
    </row>
    <row r="45" spans="1:9" x14ac:dyDescent="0.2">
      <c r="A45" s="181"/>
      <c r="B45" s="181"/>
      <c r="C45" s="181"/>
    </row>
    <row r="46" spans="1:9" x14ac:dyDescent="0.2">
      <c r="A46" s="181"/>
      <c r="B46" s="181"/>
      <c r="C46" s="181"/>
    </row>
    <row r="47" spans="1:9" x14ac:dyDescent="0.2">
      <c r="A47" s="181"/>
      <c r="B47" s="181"/>
      <c r="C47" s="181"/>
    </row>
    <row r="48" spans="1:9" x14ac:dyDescent="0.2">
      <c r="A48" s="181"/>
      <c r="B48" s="181"/>
      <c r="C48" s="181"/>
    </row>
    <row r="49" s="181" customFormat="1" x14ac:dyDescent="0.2"/>
    <row r="50" s="181" customFormat="1" x14ac:dyDescent="0.2"/>
    <row r="51" s="181" customFormat="1" x14ac:dyDescent="0.2"/>
    <row r="52" s="181" customFormat="1" x14ac:dyDescent="0.2"/>
    <row r="53" s="181" customFormat="1" x14ac:dyDescent="0.2"/>
    <row r="54" s="181" customFormat="1" x14ac:dyDescent="0.2"/>
    <row r="55" s="181" customFormat="1" x14ac:dyDescent="0.2"/>
    <row r="56" s="181" customFormat="1" x14ac:dyDescent="0.2"/>
    <row r="57" s="181" customFormat="1" x14ac:dyDescent="0.2"/>
    <row r="58" s="181" customFormat="1" x14ac:dyDescent="0.2"/>
    <row r="59" s="181" customFormat="1" x14ac:dyDescent="0.2"/>
    <row r="60" s="181" customFormat="1" x14ac:dyDescent="0.2"/>
    <row r="61" s="181" customFormat="1" x14ac:dyDescent="0.2"/>
    <row r="62" s="181" customFormat="1" x14ac:dyDescent="0.2"/>
    <row r="63" s="181" customFormat="1" x14ac:dyDescent="0.2"/>
    <row r="64" s="181" customFormat="1" x14ac:dyDescent="0.2"/>
    <row r="65" s="181" customFormat="1" x14ac:dyDescent="0.2"/>
    <row r="66" s="181" customFormat="1" x14ac:dyDescent="0.2"/>
    <row r="67" s="181" customFormat="1" x14ac:dyDescent="0.2"/>
    <row r="68" s="181" customFormat="1" x14ac:dyDescent="0.2"/>
    <row r="69" s="181" customFormat="1" x14ac:dyDescent="0.2"/>
    <row r="70" s="181" customFormat="1" x14ac:dyDescent="0.2"/>
    <row r="71" s="181" customFormat="1" x14ac:dyDescent="0.2"/>
    <row r="72" s="181" customFormat="1" x14ac:dyDescent="0.2"/>
    <row r="73" s="181" customFormat="1" x14ac:dyDescent="0.2"/>
    <row r="74" s="181" customFormat="1" x14ac:dyDescent="0.2"/>
    <row r="75" s="181" customFormat="1" x14ac:dyDescent="0.2"/>
    <row r="76" s="181" customFormat="1" x14ac:dyDescent="0.2"/>
    <row r="77" s="181" customFormat="1" x14ac:dyDescent="0.2"/>
    <row r="78" s="181" customFormat="1" x14ac:dyDescent="0.2"/>
    <row r="79" s="181" customFormat="1" x14ac:dyDescent="0.2"/>
    <row r="80" s="181" customFormat="1" x14ac:dyDescent="0.2"/>
    <row r="81" s="181" customFormat="1" x14ac:dyDescent="0.2"/>
    <row r="82" s="181" customFormat="1" x14ac:dyDescent="0.2"/>
    <row r="83" s="181" customFormat="1" x14ac:dyDescent="0.2"/>
    <row r="84" s="181" customFormat="1" x14ac:dyDescent="0.2"/>
    <row r="85" s="181" customFormat="1" x14ac:dyDescent="0.2"/>
    <row r="86" s="181" customFormat="1" x14ac:dyDescent="0.2"/>
    <row r="87" s="181" customFormat="1" x14ac:dyDescent="0.2"/>
    <row r="88" s="181" customFormat="1" x14ac:dyDescent="0.2"/>
    <row r="89" s="181" customFormat="1" x14ac:dyDescent="0.2"/>
    <row r="90" s="181" customFormat="1" x14ac:dyDescent="0.2"/>
    <row r="91" s="181" customFormat="1" x14ac:dyDescent="0.2"/>
    <row r="92" s="181" customFormat="1" x14ac:dyDescent="0.2"/>
    <row r="93" s="181" customFormat="1" x14ac:dyDescent="0.2"/>
    <row r="94" s="181" customFormat="1" x14ac:dyDescent="0.2"/>
    <row r="95" s="181" customFormat="1" x14ac:dyDescent="0.2"/>
    <row r="96" s="181" customFormat="1" x14ac:dyDescent="0.2"/>
    <row r="97" s="181" customFormat="1" x14ac:dyDescent="0.2"/>
    <row r="98" s="181" customFormat="1" x14ac:dyDescent="0.2"/>
    <row r="99" s="181" customFormat="1" x14ac:dyDescent="0.2"/>
    <row r="100" s="181" customFormat="1" x14ac:dyDescent="0.2"/>
    <row r="101" s="181" customFormat="1" x14ac:dyDescent="0.2"/>
    <row r="102" s="181" customFormat="1" x14ac:dyDescent="0.2"/>
    <row r="103" s="181" customFormat="1" x14ac:dyDescent="0.2"/>
    <row r="104" s="181" customFormat="1" x14ac:dyDescent="0.2"/>
    <row r="105" s="181" customFormat="1" x14ac:dyDescent="0.2"/>
    <row r="106" s="181" customFormat="1" x14ac:dyDescent="0.2"/>
    <row r="107" s="181" customFormat="1" x14ac:dyDescent="0.2"/>
    <row r="108" s="181" customFormat="1" x14ac:dyDescent="0.2"/>
    <row r="109" s="181" customFormat="1" x14ac:dyDescent="0.2"/>
    <row r="110" s="181" customFormat="1" x14ac:dyDescent="0.2"/>
    <row r="111" s="181" customFormat="1" x14ac:dyDescent="0.2"/>
    <row r="112" s="181" customFormat="1" x14ac:dyDescent="0.2"/>
    <row r="113" s="181" customFormat="1" x14ac:dyDescent="0.2"/>
    <row r="114" s="181" customFormat="1" x14ac:dyDescent="0.2"/>
    <row r="115" s="181" customFormat="1" x14ac:dyDescent="0.2"/>
    <row r="116" s="181" customFormat="1" x14ac:dyDescent="0.2"/>
    <row r="117" s="181" customFormat="1" x14ac:dyDescent="0.2"/>
    <row r="118" s="181" customFormat="1" x14ac:dyDescent="0.2"/>
    <row r="119" s="181" customFormat="1" x14ac:dyDescent="0.2"/>
    <row r="120" s="181" customFormat="1" x14ac:dyDescent="0.2"/>
    <row r="121" s="181" customFormat="1" x14ac:dyDescent="0.2"/>
    <row r="122" s="181" customFormat="1" x14ac:dyDescent="0.2"/>
    <row r="123" s="181" customFormat="1" x14ac:dyDescent="0.2"/>
    <row r="124" s="181" customFormat="1" x14ac:dyDescent="0.2"/>
    <row r="125" s="181" customFormat="1" x14ac:dyDescent="0.2"/>
    <row r="126" s="181" customFormat="1" x14ac:dyDescent="0.2"/>
    <row r="127" s="181" customFormat="1" x14ac:dyDescent="0.2"/>
    <row r="128" s="181" customFormat="1" x14ac:dyDescent="0.2"/>
    <row r="129" s="181" customFormat="1" x14ac:dyDescent="0.2"/>
    <row r="130" s="181" customFormat="1" x14ac:dyDescent="0.2"/>
    <row r="131" s="181" customFormat="1" x14ac:dyDescent="0.2"/>
    <row r="132" s="181" customFormat="1" x14ac:dyDescent="0.2"/>
    <row r="133" s="181" customFormat="1" x14ac:dyDescent="0.2"/>
    <row r="134" s="181" customFormat="1" x14ac:dyDescent="0.2"/>
    <row r="135" s="181" customFormat="1" x14ac:dyDescent="0.2"/>
    <row r="136" s="181" customFormat="1" x14ac:dyDescent="0.2"/>
    <row r="137" s="181" customFormat="1" x14ac:dyDescent="0.2"/>
    <row r="138" s="181" customFormat="1" x14ac:dyDescent="0.2"/>
    <row r="139" s="181" customFormat="1" x14ac:dyDescent="0.2"/>
    <row r="140" s="181" customFormat="1" x14ac:dyDescent="0.2"/>
    <row r="141" s="181" customFormat="1" x14ac:dyDescent="0.2"/>
    <row r="142" s="181" customFormat="1" x14ac:dyDescent="0.2"/>
    <row r="143" s="181" customFormat="1" x14ac:dyDescent="0.2"/>
    <row r="144" s="181" customFormat="1" x14ac:dyDescent="0.2"/>
    <row r="145" s="181" customFormat="1" x14ac:dyDescent="0.2"/>
    <row r="146" s="181" customFormat="1" x14ac:dyDescent="0.2"/>
    <row r="147" s="181" customFormat="1" x14ac:dyDescent="0.2"/>
    <row r="148" s="181" customFormat="1" x14ac:dyDescent="0.2"/>
    <row r="149" s="181" customFormat="1" x14ac:dyDescent="0.2"/>
    <row r="150" s="181" customFormat="1" x14ac:dyDescent="0.2"/>
    <row r="151" s="181" customFormat="1" x14ac:dyDescent="0.2"/>
    <row r="152" s="181" customFormat="1" x14ac:dyDescent="0.2"/>
    <row r="153" s="181" customFormat="1" x14ac:dyDescent="0.2"/>
    <row r="154" s="181" customFormat="1" x14ac:dyDescent="0.2"/>
    <row r="155" s="181" customFormat="1" x14ac:dyDescent="0.2"/>
    <row r="156" s="181" customFormat="1" x14ac:dyDescent="0.2"/>
    <row r="157" s="181" customFormat="1" x14ac:dyDescent="0.2"/>
    <row r="158" s="181" customFormat="1" x14ac:dyDescent="0.2"/>
    <row r="159" s="181" customFormat="1" x14ac:dyDescent="0.2"/>
    <row r="160" s="181" customFormat="1" x14ac:dyDescent="0.2"/>
    <row r="161" s="181" customFormat="1" x14ac:dyDescent="0.2"/>
    <row r="162" s="181" customFormat="1" x14ac:dyDescent="0.2"/>
    <row r="163" s="181" customFormat="1" x14ac:dyDescent="0.2"/>
    <row r="164" s="181" customFormat="1" x14ac:dyDescent="0.2"/>
    <row r="165" s="181" customFormat="1" x14ac:dyDescent="0.2"/>
    <row r="166" s="181" customFormat="1" x14ac:dyDescent="0.2"/>
    <row r="167" s="181" customFormat="1" x14ac:dyDescent="0.2"/>
    <row r="168" s="181" customFormat="1" x14ac:dyDescent="0.2"/>
    <row r="169" s="181" customFormat="1" x14ac:dyDescent="0.2"/>
    <row r="170" s="181" customFormat="1" x14ac:dyDescent="0.2"/>
    <row r="171" s="181" customFormat="1" x14ac:dyDescent="0.2"/>
    <row r="172" s="181" customFormat="1" x14ac:dyDescent="0.2"/>
    <row r="173" s="181" customFormat="1" x14ac:dyDescent="0.2"/>
    <row r="174" s="181" customFormat="1" x14ac:dyDescent="0.2"/>
    <row r="175" s="181" customFormat="1" x14ac:dyDescent="0.2"/>
    <row r="176" s="181" customFormat="1" x14ac:dyDescent="0.2"/>
    <row r="177" s="181" customFormat="1" x14ac:dyDescent="0.2"/>
    <row r="178" s="181" customFormat="1" x14ac:dyDescent="0.2"/>
    <row r="179" s="181" customFormat="1" x14ac:dyDescent="0.2"/>
    <row r="180" s="181" customFormat="1" x14ac:dyDescent="0.2"/>
    <row r="181" s="181" customFormat="1" x14ac:dyDescent="0.2"/>
    <row r="182" s="181" customFormat="1" x14ac:dyDescent="0.2"/>
    <row r="183" s="181" customFormat="1" x14ac:dyDescent="0.2"/>
    <row r="184" s="181" customFormat="1" x14ac:dyDescent="0.2"/>
    <row r="185" s="181" customFormat="1" x14ac:dyDescent="0.2"/>
    <row r="186" s="181" customFormat="1" x14ac:dyDescent="0.2"/>
    <row r="187" s="181" customFormat="1" x14ac:dyDescent="0.2"/>
    <row r="188" s="181" customFormat="1" x14ac:dyDescent="0.2"/>
    <row r="189" s="181" customFormat="1" x14ac:dyDescent="0.2"/>
    <row r="190" s="181" customFormat="1" x14ac:dyDescent="0.2"/>
    <row r="191" s="181" customFormat="1" x14ac:dyDescent="0.2"/>
    <row r="192" s="181" customFormat="1" x14ac:dyDescent="0.2"/>
    <row r="193" s="181" customFormat="1" x14ac:dyDescent="0.2"/>
    <row r="194" s="181" customFormat="1" x14ac:dyDescent="0.2"/>
    <row r="195" s="181" customFormat="1" x14ac:dyDescent="0.2"/>
    <row r="196" s="181" customFormat="1" x14ac:dyDescent="0.2"/>
    <row r="197" s="181" customFormat="1" x14ac:dyDescent="0.2"/>
    <row r="198" s="181" customFormat="1" x14ac:dyDescent="0.2"/>
    <row r="199" s="181" customFormat="1" x14ac:dyDescent="0.2"/>
    <row r="200" s="181" customFormat="1" x14ac:dyDescent="0.2"/>
    <row r="201" s="181" customFormat="1" x14ac:dyDescent="0.2"/>
    <row r="202" s="181" customFormat="1" x14ac:dyDescent="0.2"/>
    <row r="203" s="181" customFormat="1" x14ac:dyDescent="0.2"/>
    <row r="204" s="181" customFormat="1" x14ac:dyDescent="0.2"/>
    <row r="205" s="181" customFormat="1" x14ac:dyDescent="0.2"/>
    <row r="206" s="181" customFormat="1" x14ac:dyDescent="0.2"/>
    <row r="207" s="181" customFormat="1" x14ac:dyDescent="0.2"/>
    <row r="208" s="181" customFormat="1" x14ac:dyDescent="0.2"/>
    <row r="209" s="181" customFormat="1" x14ac:dyDescent="0.2"/>
    <row r="210" s="181" customFormat="1" x14ac:dyDescent="0.2"/>
    <row r="211" s="181" customFormat="1" x14ac:dyDescent="0.2"/>
    <row r="212" s="181" customFormat="1" x14ac:dyDescent="0.2"/>
    <row r="213" s="181" customFormat="1" x14ac:dyDescent="0.2"/>
    <row r="214" s="181" customFormat="1" x14ac:dyDescent="0.2"/>
    <row r="215" s="181" customFormat="1" x14ac:dyDescent="0.2"/>
    <row r="216" s="181" customFormat="1" x14ac:dyDescent="0.2"/>
    <row r="217" s="181" customFormat="1" x14ac:dyDescent="0.2"/>
    <row r="218" s="181" customFormat="1" x14ac:dyDescent="0.2"/>
    <row r="219" s="181" customFormat="1" x14ac:dyDescent="0.2"/>
    <row r="220" s="181" customFormat="1" x14ac:dyDescent="0.2"/>
    <row r="221" s="181" customFormat="1" x14ac:dyDescent="0.2"/>
    <row r="222" s="181" customFormat="1" x14ac:dyDescent="0.2"/>
    <row r="223" s="181" customFormat="1" x14ac:dyDescent="0.2"/>
    <row r="224" s="181" customFormat="1" x14ac:dyDescent="0.2"/>
    <row r="225" s="181" customFormat="1" x14ac:dyDescent="0.2"/>
    <row r="226" s="181" customFormat="1" x14ac:dyDescent="0.2"/>
    <row r="227" s="181" customFormat="1" x14ac:dyDescent="0.2"/>
    <row r="228" s="181" customFormat="1" x14ac:dyDescent="0.2"/>
    <row r="229" s="181" customFormat="1" x14ac:dyDescent="0.2"/>
    <row r="230" s="181" customFormat="1" x14ac:dyDescent="0.2"/>
    <row r="231" s="181" customFormat="1" x14ac:dyDescent="0.2"/>
    <row r="232" s="181" customFormat="1" x14ac:dyDescent="0.2"/>
    <row r="233" s="181" customFormat="1" x14ac:dyDescent="0.2"/>
    <row r="234" s="181" customFormat="1" x14ac:dyDescent="0.2"/>
    <row r="235" s="181" customFormat="1" x14ac:dyDescent="0.2"/>
    <row r="236" s="181" customFormat="1" x14ac:dyDescent="0.2"/>
    <row r="237" s="181" customFormat="1" x14ac:dyDescent="0.2"/>
    <row r="238" s="181" customFormat="1" x14ac:dyDescent="0.2"/>
    <row r="239" s="181" customFormat="1" x14ac:dyDescent="0.2"/>
    <row r="240" s="181" customFormat="1" x14ac:dyDescent="0.2"/>
    <row r="241" s="181" customFormat="1" x14ac:dyDescent="0.2"/>
    <row r="242" s="181" customFormat="1" x14ac:dyDescent="0.2"/>
    <row r="243" s="181" customFormat="1" x14ac:dyDescent="0.2"/>
    <row r="244" s="181" customFormat="1" x14ac:dyDescent="0.2"/>
    <row r="245" s="181" customFormat="1" x14ac:dyDescent="0.2"/>
    <row r="246" s="181" customFormat="1" x14ac:dyDescent="0.2"/>
    <row r="247" s="181" customFormat="1" x14ac:dyDescent="0.2"/>
    <row r="248" s="181" customFormat="1" x14ac:dyDescent="0.2"/>
    <row r="249" s="181" customFormat="1" x14ac:dyDescent="0.2"/>
    <row r="250" s="181" customFormat="1" x14ac:dyDescent="0.2"/>
    <row r="251" s="181" customFormat="1" x14ac:dyDescent="0.2"/>
    <row r="252" s="181" customFormat="1" x14ac:dyDescent="0.2"/>
    <row r="253" s="181" customFormat="1" x14ac:dyDescent="0.2"/>
    <row r="254" s="181" customFormat="1" x14ac:dyDescent="0.2"/>
    <row r="255" s="181" customFormat="1" x14ac:dyDescent="0.2"/>
    <row r="256" s="181" customFormat="1" x14ac:dyDescent="0.2"/>
    <row r="257" s="181" customFormat="1" x14ac:dyDescent="0.2"/>
    <row r="258" s="181" customFormat="1" x14ac:dyDescent="0.2"/>
    <row r="259" s="181" customFormat="1" x14ac:dyDescent="0.2"/>
    <row r="260" s="181" customFormat="1" x14ac:dyDescent="0.2"/>
    <row r="261" s="181" customFormat="1" x14ac:dyDescent="0.2"/>
    <row r="262" s="181" customFormat="1" x14ac:dyDescent="0.2"/>
    <row r="263" s="181" customFormat="1" x14ac:dyDescent="0.2"/>
    <row r="264" s="181" customFormat="1" x14ac:dyDescent="0.2"/>
    <row r="265" s="181" customFormat="1" x14ac:dyDescent="0.2"/>
    <row r="266" s="181" customFormat="1" x14ac:dyDescent="0.2"/>
    <row r="267" s="181" customFormat="1" x14ac:dyDescent="0.2"/>
    <row r="268" s="181" customFormat="1" x14ac:dyDescent="0.2"/>
    <row r="269" s="181" customFormat="1" x14ac:dyDescent="0.2"/>
    <row r="270" s="181" customFormat="1" x14ac:dyDescent="0.2"/>
    <row r="271" s="181" customFormat="1" x14ac:dyDescent="0.2"/>
    <row r="272" s="181" customFormat="1" x14ac:dyDescent="0.2"/>
    <row r="273" s="181" customFormat="1" x14ac:dyDescent="0.2"/>
    <row r="274" s="181" customFormat="1" x14ac:dyDescent="0.2"/>
    <row r="275" s="181" customFormat="1" x14ac:dyDescent="0.2"/>
    <row r="276" s="181" customFormat="1" x14ac:dyDescent="0.2"/>
    <row r="277" s="181" customFormat="1" x14ac:dyDescent="0.2"/>
    <row r="278" s="181" customFormat="1" x14ac:dyDescent="0.2"/>
    <row r="279" s="181" customFormat="1" x14ac:dyDescent="0.2"/>
    <row r="280" s="181" customFormat="1" x14ac:dyDescent="0.2"/>
    <row r="281" s="181" customFormat="1" x14ac:dyDescent="0.2"/>
    <row r="282" s="181" customFormat="1" x14ac:dyDescent="0.2"/>
    <row r="283" s="181" customFormat="1" x14ac:dyDescent="0.2"/>
    <row r="284" s="181" customFormat="1" x14ac:dyDescent="0.2"/>
    <row r="285" s="181" customFormat="1" x14ac:dyDescent="0.2"/>
    <row r="286" s="181" customFormat="1" x14ac:dyDescent="0.2"/>
    <row r="287" s="181" customFormat="1" x14ac:dyDescent="0.2"/>
    <row r="288" s="181" customFormat="1" x14ac:dyDescent="0.2"/>
    <row r="289" s="181" customFormat="1" x14ac:dyDescent="0.2"/>
    <row r="290" s="181" customFormat="1" x14ac:dyDescent="0.2"/>
    <row r="291" s="181" customFormat="1" x14ac:dyDescent="0.2"/>
    <row r="292" s="181" customFormat="1" x14ac:dyDescent="0.2"/>
    <row r="293" s="181" customFormat="1" x14ac:dyDescent="0.2"/>
    <row r="294" s="181" customFormat="1" x14ac:dyDescent="0.2"/>
    <row r="295" s="181" customFormat="1" x14ac:dyDescent="0.2"/>
    <row r="296" s="181" customFormat="1" x14ac:dyDescent="0.2"/>
    <row r="297" s="181" customFormat="1" x14ac:dyDescent="0.2"/>
    <row r="298" s="181" customFormat="1" x14ac:dyDescent="0.2"/>
    <row r="299" s="181" customFormat="1" x14ac:dyDescent="0.2"/>
    <row r="300" s="181" customFormat="1" x14ac:dyDescent="0.2"/>
    <row r="301" s="181" customFormat="1" x14ac:dyDescent="0.2"/>
    <row r="302" s="181" customFormat="1" x14ac:dyDescent="0.2"/>
    <row r="303" s="181" customFormat="1" x14ac:dyDescent="0.2"/>
    <row r="304" s="181" customFormat="1" x14ac:dyDescent="0.2"/>
    <row r="305" s="181" customFormat="1" x14ac:dyDescent="0.2"/>
    <row r="306" s="181" customFormat="1" x14ac:dyDescent="0.2"/>
    <row r="307" s="181" customFormat="1" x14ac:dyDescent="0.2"/>
    <row r="308" s="181" customFormat="1" x14ac:dyDescent="0.2"/>
    <row r="309" s="181" customFormat="1" x14ac:dyDescent="0.2"/>
    <row r="310" s="181" customFormat="1" x14ac:dyDescent="0.2"/>
    <row r="311" s="181" customFormat="1" x14ac:dyDescent="0.2"/>
    <row r="312" s="181" customFormat="1" x14ac:dyDescent="0.2"/>
    <row r="313" s="181" customFormat="1" x14ac:dyDescent="0.2"/>
    <row r="314" s="181" customFormat="1" x14ac:dyDescent="0.2"/>
    <row r="315" s="181" customFormat="1" x14ac:dyDescent="0.2"/>
    <row r="316" s="181" customFormat="1" x14ac:dyDescent="0.2"/>
    <row r="317" s="181" customFormat="1" x14ac:dyDescent="0.2"/>
    <row r="318" s="181" customFormat="1" x14ac:dyDescent="0.2"/>
    <row r="319" s="181" customFormat="1" x14ac:dyDescent="0.2"/>
    <row r="320" s="181" customFormat="1" x14ac:dyDescent="0.2"/>
    <row r="321" s="181" customFormat="1" x14ac:dyDescent="0.2"/>
    <row r="322" s="181" customFormat="1" x14ac:dyDescent="0.2"/>
    <row r="323" s="181" customFormat="1" x14ac:dyDescent="0.2"/>
    <row r="324" s="181" customFormat="1" x14ac:dyDescent="0.2"/>
    <row r="325" s="181" customFormat="1" x14ac:dyDescent="0.2"/>
    <row r="326" s="181" customFormat="1" x14ac:dyDescent="0.2"/>
    <row r="327" s="181" customFormat="1" x14ac:dyDescent="0.2"/>
    <row r="328" s="181" customFormat="1" x14ac:dyDescent="0.2"/>
    <row r="329" s="181" customFormat="1" x14ac:dyDescent="0.2"/>
    <row r="330" s="181" customFormat="1" x14ac:dyDescent="0.2"/>
    <row r="331" s="181" customFormat="1" x14ac:dyDescent="0.2"/>
    <row r="332" s="181" customFormat="1" x14ac:dyDescent="0.2"/>
    <row r="333" s="181" customFormat="1" x14ac:dyDescent="0.2"/>
    <row r="334" s="181" customFormat="1" x14ac:dyDescent="0.2"/>
    <row r="335" s="181" customFormat="1" x14ac:dyDescent="0.2"/>
    <row r="336" s="181" customFormat="1" x14ac:dyDescent="0.2"/>
    <row r="337" s="181" customFormat="1" x14ac:dyDescent="0.2"/>
    <row r="338" s="181" customFormat="1" x14ac:dyDescent="0.2"/>
    <row r="339" s="181" customFormat="1" x14ac:dyDescent="0.2"/>
    <row r="340" s="181" customFormat="1" x14ac:dyDescent="0.2"/>
    <row r="341" s="181" customFormat="1" x14ac:dyDescent="0.2"/>
    <row r="342" s="181" customFormat="1" x14ac:dyDescent="0.2"/>
    <row r="343" s="181" customFormat="1" x14ac:dyDescent="0.2"/>
    <row r="344" s="181" customFormat="1" x14ac:dyDescent="0.2"/>
    <row r="345" s="181" customFormat="1" x14ac:dyDescent="0.2"/>
    <row r="346" s="181" customFormat="1" x14ac:dyDescent="0.2"/>
    <row r="347" s="181" customFormat="1" x14ac:dyDescent="0.2"/>
    <row r="348" s="181" customFormat="1" x14ac:dyDescent="0.2"/>
    <row r="349" s="181" customFormat="1" x14ac:dyDescent="0.2"/>
    <row r="350" s="181" customFormat="1" x14ac:dyDescent="0.2"/>
    <row r="351" s="181" customFormat="1" x14ac:dyDescent="0.2"/>
    <row r="352" s="181" customFormat="1" x14ac:dyDescent="0.2"/>
    <row r="353" s="181" customFormat="1" x14ac:dyDescent="0.2"/>
    <row r="354" s="181" customFormat="1" x14ac:dyDescent="0.2"/>
    <row r="355" s="181" customFormat="1" x14ac:dyDescent="0.2"/>
    <row r="356" s="181" customFormat="1" x14ac:dyDescent="0.2"/>
    <row r="357" s="181" customFormat="1" x14ac:dyDescent="0.2"/>
    <row r="358" s="181" customFormat="1" x14ac:dyDescent="0.2"/>
    <row r="359" s="181" customFormat="1" x14ac:dyDescent="0.2"/>
    <row r="360" s="181" customFormat="1" x14ac:dyDescent="0.2"/>
    <row r="361" s="181" customFormat="1" x14ac:dyDescent="0.2"/>
    <row r="362" s="181" customFormat="1" x14ac:dyDescent="0.2"/>
    <row r="363" s="181" customFormat="1" x14ac:dyDescent="0.2"/>
    <row r="364" s="181" customFormat="1" x14ac:dyDescent="0.2"/>
    <row r="365" s="181" customFormat="1" x14ac:dyDescent="0.2"/>
    <row r="366" s="181" customFormat="1" x14ac:dyDescent="0.2"/>
    <row r="367" s="181" customFormat="1" x14ac:dyDescent="0.2"/>
    <row r="368" s="181" customFormat="1" x14ac:dyDescent="0.2"/>
    <row r="369" s="181" customFormat="1" x14ac:dyDescent="0.2"/>
    <row r="370" s="181" customFormat="1" x14ac:dyDescent="0.2"/>
    <row r="371" s="181" customFormat="1" x14ac:dyDescent="0.2"/>
    <row r="372" s="181" customFormat="1" x14ac:dyDescent="0.2"/>
    <row r="373" s="181" customFormat="1" x14ac:dyDescent="0.2"/>
    <row r="374" s="181" customFormat="1" x14ac:dyDescent="0.2"/>
    <row r="375" s="181" customFormat="1" x14ac:dyDescent="0.2"/>
    <row r="376" s="181" customFormat="1" x14ac:dyDescent="0.2"/>
    <row r="377" s="181" customFormat="1" x14ac:dyDescent="0.2"/>
    <row r="378" s="181" customFormat="1" x14ac:dyDescent="0.2"/>
    <row r="379" s="181" customFormat="1" x14ac:dyDescent="0.2"/>
    <row r="380" s="181" customFormat="1" x14ac:dyDescent="0.2"/>
    <row r="381" s="181" customFormat="1" x14ac:dyDescent="0.2"/>
    <row r="382" s="181" customFormat="1" x14ac:dyDescent="0.2"/>
    <row r="383" s="181" customFormat="1" x14ac:dyDescent="0.2"/>
    <row r="384" s="181" customFormat="1" x14ac:dyDescent="0.2"/>
    <row r="385" s="181" customFormat="1" x14ac:dyDescent="0.2"/>
    <row r="386" s="181" customFormat="1" x14ac:dyDescent="0.2"/>
    <row r="387" s="181" customFormat="1" x14ac:dyDescent="0.2"/>
    <row r="388" s="181" customFormat="1" x14ac:dyDescent="0.2"/>
    <row r="389" s="181" customFormat="1" x14ac:dyDescent="0.2"/>
    <row r="390" s="181" customFormat="1" x14ac:dyDescent="0.2"/>
    <row r="391" s="181" customFormat="1" x14ac:dyDescent="0.2"/>
    <row r="392" s="181" customFormat="1" x14ac:dyDescent="0.2"/>
    <row r="393" s="181" customFormat="1" x14ac:dyDescent="0.2"/>
    <row r="394" s="181" customFormat="1" x14ac:dyDescent="0.2"/>
    <row r="395" s="181" customFormat="1" x14ac:dyDescent="0.2"/>
    <row r="396" s="181" customFormat="1" x14ac:dyDescent="0.2"/>
    <row r="397" s="181" customFormat="1" x14ac:dyDescent="0.2"/>
    <row r="398" s="181" customFormat="1" x14ac:dyDescent="0.2"/>
    <row r="399" s="181" customFormat="1" x14ac:dyDescent="0.2"/>
    <row r="400" s="181" customFormat="1" x14ac:dyDescent="0.2"/>
    <row r="401" s="181" customFormat="1" x14ac:dyDescent="0.2"/>
    <row r="402" s="181" customFormat="1" x14ac:dyDescent="0.2"/>
    <row r="403" s="181" customFormat="1" x14ac:dyDescent="0.2"/>
    <row r="404" s="181" customFormat="1" x14ac:dyDescent="0.2"/>
    <row r="405" s="181" customFormat="1" x14ac:dyDescent="0.2"/>
    <row r="406" s="181" customFormat="1" x14ac:dyDescent="0.2"/>
    <row r="407" s="181" customFormat="1" x14ac:dyDescent="0.2"/>
    <row r="408" s="181" customFormat="1" x14ac:dyDescent="0.2"/>
    <row r="409" s="181" customFormat="1" x14ac:dyDescent="0.2"/>
    <row r="410" s="181" customFormat="1" x14ac:dyDescent="0.2"/>
    <row r="411" s="181" customFormat="1" x14ac:dyDescent="0.2"/>
    <row r="412" s="181" customFormat="1" x14ac:dyDescent="0.2"/>
    <row r="413" s="181" customFormat="1" x14ac:dyDescent="0.2"/>
    <row r="414" s="181" customFormat="1" x14ac:dyDescent="0.2"/>
    <row r="415" s="181" customFormat="1" x14ac:dyDescent="0.2"/>
    <row r="416" s="181" customFormat="1" x14ac:dyDescent="0.2"/>
    <row r="417" s="181" customFormat="1" x14ac:dyDescent="0.2"/>
    <row r="418" s="181" customFormat="1" x14ac:dyDescent="0.2"/>
    <row r="419" s="181" customFormat="1" x14ac:dyDescent="0.2"/>
    <row r="420" s="181" customFormat="1" x14ac:dyDescent="0.2"/>
    <row r="421" s="181" customFormat="1" x14ac:dyDescent="0.2"/>
    <row r="422" s="181" customFormat="1" x14ac:dyDescent="0.2"/>
    <row r="423" s="181" customFormat="1" x14ac:dyDescent="0.2"/>
    <row r="424" s="181" customFormat="1" x14ac:dyDescent="0.2"/>
    <row r="425" s="181" customFormat="1" x14ac:dyDescent="0.2"/>
    <row r="426" s="181" customFormat="1" x14ac:dyDescent="0.2"/>
    <row r="427" s="181" customFormat="1" x14ac:dyDescent="0.2"/>
    <row r="428" s="181" customFormat="1" x14ac:dyDescent="0.2"/>
    <row r="429" s="181" customFormat="1" x14ac:dyDescent="0.2"/>
    <row r="430" s="181" customFormat="1" x14ac:dyDescent="0.2"/>
    <row r="431" s="181" customFormat="1" x14ac:dyDescent="0.2"/>
    <row r="432" s="181" customFormat="1" x14ac:dyDescent="0.2"/>
    <row r="433" s="181" customFormat="1" x14ac:dyDescent="0.2"/>
    <row r="434" s="181" customFormat="1" x14ac:dyDescent="0.2"/>
    <row r="435" s="181" customFormat="1" x14ac:dyDescent="0.2"/>
    <row r="436" s="181" customFormat="1" x14ac:dyDescent="0.2"/>
    <row r="437" s="181" customFormat="1" x14ac:dyDescent="0.2"/>
    <row r="438" s="181" customFormat="1" x14ac:dyDescent="0.2"/>
    <row r="439" s="181" customFormat="1" x14ac:dyDescent="0.2"/>
    <row r="440" s="181" customFormat="1" x14ac:dyDescent="0.2"/>
    <row r="441" s="181" customFormat="1" x14ac:dyDescent="0.2"/>
    <row r="442" s="181" customFormat="1" x14ac:dyDescent="0.2"/>
    <row r="443" s="181" customFormat="1" x14ac:dyDescent="0.2"/>
    <row r="444" s="181" customFormat="1" x14ac:dyDescent="0.2"/>
    <row r="445" s="181" customFormat="1" x14ac:dyDescent="0.2"/>
    <row r="446" s="181" customFormat="1" x14ac:dyDescent="0.2"/>
    <row r="447" s="181" customFormat="1" x14ac:dyDescent="0.2"/>
    <row r="448" s="181" customFormat="1" x14ac:dyDescent="0.2"/>
    <row r="449" s="181" customFormat="1" x14ac:dyDescent="0.2"/>
    <row r="450" s="181" customFormat="1" x14ac:dyDescent="0.2"/>
    <row r="451" s="181" customFormat="1" x14ac:dyDescent="0.2"/>
    <row r="452" s="181" customFormat="1" x14ac:dyDescent="0.2"/>
    <row r="453" s="181" customFormat="1" x14ac:dyDescent="0.2"/>
    <row r="454" s="181" customFormat="1" x14ac:dyDescent="0.2"/>
    <row r="455" s="181" customFormat="1" x14ac:dyDescent="0.2"/>
    <row r="456" s="181" customFormat="1" x14ac:dyDescent="0.2"/>
    <row r="457" s="181" customFormat="1" x14ac:dyDescent="0.2"/>
    <row r="458" s="181" customFormat="1" x14ac:dyDescent="0.2"/>
    <row r="459" s="181" customFormat="1" x14ac:dyDescent="0.2"/>
    <row r="460" s="181" customFormat="1" x14ac:dyDescent="0.2"/>
    <row r="461" s="181" customFormat="1" x14ac:dyDescent="0.2"/>
    <row r="462" s="181" customFormat="1" x14ac:dyDescent="0.2"/>
    <row r="463" s="181" customFormat="1" x14ac:dyDescent="0.2"/>
    <row r="464" s="181" customFormat="1" x14ac:dyDescent="0.2"/>
    <row r="465" s="181" customFormat="1" x14ac:dyDescent="0.2"/>
    <row r="466" s="181" customFormat="1" x14ac:dyDescent="0.2"/>
    <row r="467" s="181" customFormat="1" x14ac:dyDescent="0.2"/>
    <row r="468" s="181" customFormat="1" x14ac:dyDescent="0.2"/>
    <row r="469" s="181" customFormat="1" x14ac:dyDescent="0.2"/>
    <row r="470" s="181" customFormat="1" x14ac:dyDescent="0.2"/>
    <row r="471" s="181" customFormat="1" x14ac:dyDescent="0.2"/>
    <row r="472" s="181" customFormat="1" x14ac:dyDescent="0.2"/>
    <row r="473" s="181" customFormat="1" x14ac:dyDescent="0.2"/>
    <row r="474" s="181" customFormat="1" x14ac:dyDescent="0.2"/>
    <row r="475" s="181" customFormat="1" x14ac:dyDescent="0.2"/>
    <row r="476" s="181" customFormat="1" x14ac:dyDescent="0.2"/>
    <row r="477" s="181" customFormat="1" x14ac:dyDescent="0.2"/>
    <row r="478" s="181" customFormat="1" x14ac:dyDescent="0.2"/>
    <row r="479" s="181" customFormat="1" x14ac:dyDescent="0.2"/>
    <row r="480" s="181" customFormat="1" x14ac:dyDescent="0.2"/>
    <row r="481" s="181" customFormat="1" x14ac:dyDescent="0.2"/>
    <row r="482" s="181" customFormat="1" x14ac:dyDescent="0.2"/>
    <row r="483" s="181" customFormat="1" x14ac:dyDescent="0.2"/>
    <row r="484" s="181" customFormat="1" x14ac:dyDescent="0.2"/>
    <row r="485" s="181" customFormat="1" x14ac:dyDescent="0.2"/>
    <row r="486" s="181" customFormat="1" x14ac:dyDescent="0.2"/>
    <row r="487" s="181" customFormat="1" x14ac:dyDescent="0.2"/>
    <row r="488" s="181" customFormat="1" x14ac:dyDescent="0.2"/>
    <row r="489" s="181" customFormat="1" x14ac:dyDescent="0.2"/>
    <row r="490" s="181" customFormat="1" x14ac:dyDescent="0.2"/>
    <row r="491" s="181" customFormat="1" x14ac:dyDescent="0.2"/>
    <row r="492" s="181" customFormat="1" x14ac:dyDescent="0.2"/>
    <row r="493" s="181" customFormat="1" x14ac:dyDescent="0.2"/>
    <row r="494" s="181" customFormat="1" x14ac:dyDescent="0.2"/>
    <row r="495" s="181" customFormat="1" x14ac:dyDescent="0.2"/>
    <row r="496" s="181" customFormat="1" x14ac:dyDescent="0.2"/>
    <row r="497" s="181" customFormat="1" x14ac:dyDescent="0.2"/>
    <row r="498" s="181" customFormat="1" x14ac:dyDescent="0.2"/>
    <row r="499" s="181" customFormat="1" x14ac:dyDescent="0.2"/>
    <row r="500" s="181" customFormat="1" x14ac:dyDescent="0.2"/>
    <row r="501" s="181" customFormat="1" x14ac:dyDescent="0.2"/>
    <row r="502" s="181" customFormat="1" x14ac:dyDescent="0.2"/>
    <row r="503" s="181" customFormat="1" x14ac:dyDescent="0.2"/>
    <row r="504" s="181" customFormat="1" x14ac:dyDescent="0.2"/>
    <row r="505" s="181" customFormat="1" x14ac:dyDescent="0.2"/>
    <row r="506" s="181" customFormat="1" x14ac:dyDescent="0.2"/>
    <row r="507" s="181" customFormat="1" x14ac:dyDescent="0.2"/>
    <row r="508" s="181" customFormat="1" x14ac:dyDescent="0.2"/>
    <row r="509" s="181" customFormat="1" x14ac:dyDescent="0.2"/>
    <row r="510" s="181" customFormat="1" x14ac:dyDescent="0.2"/>
    <row r="511" s="181" customFormat="1" x14ac:dyDescent="0.2"/>
    <row r="512" s="181" customFormat="1" x14ac:dyDescent="0.2"/>
    <row r="513" s="181" customFormat="1" x14ac:dyDescent="0.2"/>
    <row r="514" s="181" customFormat="1" x14ac:dyDescent="0.2"/>
    <row r="515" s="181" customFormat="1" x14ac:dyDescent="0.2"/>
    <row r="516" s="181" customFormat="1" x14ac:dyDescent="0.2"/>
    <row r="517" s="181" customFormat="1" x14ac:dyDescent="0.2"/>
    <row r="518" s="181" customFormat="1" x14ac:dyDescent="0.2"/>
    <row r="519" s="181" customFormat="1" x14ac:dyDescent="0.2"/>
    <row r="520" s="181" customFormat="1" x14ac:dyDescent="0.2"/>
    <row r="521" s="181" customFormat="1" x14ac:dyDescent="0.2"/>
    <row r="522" s="181" customFormat="1" x14ac:dyDescent="0.2"/>
    <row r="523" s="181" customFormat="1" x14ac:dyDescent="0.2"/>
    <row r="524" s="181" customFormat="1" x14ac:dyDescent="0.2"/>
    <row r="525" s="181" customFormat="1" x14ac:dyDescent="0.2"/>
    <row r="526" s="181" customFormat="1" x14ac:dyDescent="0.2"/>
    <row r="527" s="181" customFormat="1" x14ac:dyDescent="0.2"/>
    <row r="528" s="181" customFormat="1" x14ac:dyDescent="0.2"/>
    <row r="529" s="181" customFormat="1" x14ac:dyDescent="0.2"/>
    <row r="530" s="181" customFormat="1" x14ac:dyDescent="0.2"/>
    <row r="531" s="181" customFormat="1" x14ac:dyDescent="0.2"/>
    <row r="532" s="181" customFormat="1" x14ac:dyDescent="0.2"/>
    <row r="533" s="181" customFormat="1" x14ac:dyDescent="0.2"/>
    <row r="534" s="181" customFormat="1" x14ac:dyDescent="0.2"/>
    <row r="535" s="181" customFormat="1" x14ac:dyDescent="0.2"/>
    <row r="536" s="181" customFormat="1" x14ac:dyDescent="0.2"/>
    <row r="537" s="181" customFormat="1" x14ac:dyDescent="0.2"/>
    <row r="538" s="181" customFormat="1" x14ac:dyDescent="0.2"/>
    <row r="539" s="181" customFormat="1" x14ac:dyDescent="0.2"/>
    <row r="540" s="181" customFormat="1" x14ac:dyDescent="0.2"/>
    <row r="541" s="181" customFormat="1" x14ac:dyDescent="0.2"/>
    <row r="542" s="181" customFormat="1" x14ac:dyDescent="0.2"/>
    <row r="543" s="181" customFormat="1" x14ac:dyDescent="0.2"/>
    <row r="544" s="181" customFormat="1" x14ac:dyDescent="0.2"/>
    <row r="545" s="181" customFormat="1" x14ac:dyDescent="0.2"/>
    <row r="546" s="181" customFormat="1" x14ac:dyDescent="0.2"/>
    <row r="547" s="181" customFormat="1" x14ac:dyDescent="0.2"/>
    <row r="548" s="181" customFormat="1" x14ac:dyDescent="0.2"/>
    <row r="549" s="181" customFormat="1" x14ac:dyDescent="0.2"/>
    <row r="550" s="181" customFormat="1" x14ac:dyDescent="0.2"/>
    <row r="551" s="181" customFormat="1" x14ac:dyDescent="0.2"/>
    <row r="552" s="181" customFormat="1" x14ac:dyDescent="0.2"/>
    <row r="553" s="181" customFormat="1" x14ac:dyDescent="0.2"/>
    <row r="554" s="181" customFormat="1" x14ac:dyDescent="0.2"/>
    <row r="555" s="181" customFormat="1" x14ac:dyDescent="0.2"/>
    <row r="556" s="181" customFormat="1" x14ac:dyDescent="0.2"/>
    <row r="557" s="181" customFormat="1" x14ac:dyDescent="0.2"/>
    <row r="558" s="181" customFormat="1" x14ac:dyDescent="0.2"/>
    <row r="559" s="181" customFormat="1" x14ac:dyDescent="0.2"/>
    <row r="560" s="181" customFormat="1" x14ac:dyDescent="0.2"/>
    <row r="561" s="181" customFormat="1" x14ac:dyDescent="0.2"/>
    <row r="562" s="181" customFormat="1" x14ac:dyDescent="0.2"/>
    <row r="563" s="181" customFormat="1" x14ac:dyDescent="0.2"/>
    <row r="564" s="181" customFormat="1" x14ac:dyDescent="0.2"/>
    <row r="565" s="181" customFormat="1" x14ac:dyDescent="0.2"/>
    <row r="566" s="181" customFormat="1" x14ac:dyDescent="0.2"/>
    <row r="567" s="181" customFormat="1" x14ac:dyDescent="0.2"/>
    <row r="568" s="181" customFormat="1" x14ac:dyDescent="0.2"/>
    <row r="569" s="181" customFormat="1" x14ac:dyDescent="0.2"/>
    <row r="570" s="181" customFormat="1" x14ac:dyDescent="0.2"/>
    <row r="571" s="181" customFormat="1" x14ac:dyDescent="0.2"/>
    <row r="572" s="181" customFormat="1" x14ac:dyDescent="0.2"/>
    <row r="573" s="181" customFormat="1" x14ac:dyDescent="0.2"/>
    <row r="574" s="181" customFormat="1" x14ac:dyDescent="0.2"/>
    <row r="575" s="181" customFormat="1" x14ac:dyDescent="0.2"/>
    <row r="576" s="181" customFormat="1" x14ac:dyDescent="0.2"/>
    <row r="577" s="181" customFormat="1" x14ac:dyDescent="0.2"/>
    <row r="578" s="181" customFormat="1" x14ac:dyDescent="0.2"/>
    <row r="579" s="181" customFormat="1" x14ac:dyDescent="0.2"/>
    <row r="580" s="181" customFormat="1" x14ac:dyDescent="0.2"/>
    <row r="581" s="181" customFormat="1" x14ac:dyDescent="0.2"/>
    <row r="582" s="181" customFormat="1" x14ac:dyDescent="0.2"/>
    <row r="583" s="181" customFormat="1" x14ac:dyDescent="0.2"/>
    <row r="584" s="181" customFormat="1" x14ac:dyDescent="0.2"/>
    <row r="585" s="181" customFormat="1" x14ac:dyDescent="0.2"/>
    <row r="586" s="181" customFormat="1" x14ac:dyDescent="0.2"/>
    <row r="587" s="181" customFormat="1" x14ac:dyDescent="0.2"/>
    <row r="588" s="181" customFormat="1" x14ac:dyDescent="0.2"/>
    <row r="589" s="181" customFormat="1" x14ac:dyDescent="0.2"/>
    <row r="590" s="181" customFormat="1" x14ac:dyDescent="0.2"/>
    <row r="591" s="181" customFormat="1" x14ac:dyDescent="0.2"/>
    <row r="592" s="181" customFormat="1" x14ac:dyDescent="0.2"/>
    <row r="593" s="181" customFormat="1" x14ac:dyDescent="0.2"/>
    <row r="594" s="181" customFormat="1" x14ac:dyDescent="0.2"/>
    <row r="595" s="181" customFormat="1" x14ac:dyDescent="0.2"/>
    <row r="596" s="181" customFormat="1" x14ac:dyDescent="0.2"/>
    <row r="597" s="181" customFormat="1" x14ac:dyDescent="0.2"/>
    <row r="598" s="181" customFormat="1" x14ac:dyDescent="0.2"/>
    <row r="599" s="181" customFormat="1" x14ac:dyDescent="0.2"/>
    <row r="600" s="181" customFormat="1" x14ac:dyDescent="0.2"/>
    <row r="601" s="181" customFormat="1" x14ac:dyDescent="0.2"/>
    <row r="602" s="181" customFormat="1" x14ac:dyDescent="0.2"/>
    <row r="603" s="181" customFormat="1" x14ac:dyDescent="0.2"/>
    <row r="604" s="181" customFormat="1" x14ac:dyDescent="0.2"/>
    <row r="605" s="181" customFormat="1" x14ac:dyDescent="0.2"/>
    <row r="606" s="181" customFormat="1" x14ac:dyDescent="0.2"/>
    <row r="607" s="181" customFormat="1" x14ac:dyDescent="0.2"/>
    <row r="608" s="181" customFormat="1" x14ac:dyDescent="0.2"/>
    <row r="609" s="181" customFormat="1" x14ac:dyDescent="0.2"/>
    <row r="610" s="181" customFormat="1" x14ac:dyDescent="0.2"/>
    <row r="611" s="181" customFormat="1" x14ac:dyDescent="0.2"/>
    <row r="612" s="181" customFormat="1" x14ac:dyDescent="0.2"/>
    <row r="613" s="181" customFormat="1" x14ac:dyDescent="0.2"/>
    <row r="614" s="181" customFormat="1" x14ac:dyDescent="0.2"/>
    <row r="615" s="181" customFormat="1" x14ac:dyDescent="0.2"/>
    <row r="616" s="181" customFormat="1" x14ac:dyDescent="0.2"/>
    <row r="617" s="181" customFormat="1" x14ac:dyDescent="0.2"/>
    <row r="618" s="181" customFormat="1" x14ac:dyDescent="0.2"/>
    <row r="619" s="181" customFormat="1" x14ac:dyDescent="0.2"/>
    <row r="620" s="181" customFormat="1" x14ac:dyDescent="0.2"/>
    <row r="621" s="181" customFormat="1" x14ac:dyDescent="0.2"/>
    <row r="622" s="181" customFormat="1" x14ac:dyDescent="0.2"/>
    <row r="623" s="181" customFormat="1" x14ac:dyDescent="0.2"/>
    <row r="624" s="181" customFormat="1" x14ac:dyDescent="0.2"/>
    <row r="625" s="181" customFormat="1" x14ac:dyDescent="0.2"/>
    <row r="626" s="181" customFormat="1" x14ac:dyDescent="0.2"/>
    <row r="627" s="181" customFormat="1" x14ac:dyDescent="0.2"/>
    <row r="628" s="181" customFormat="1" x14ac:dyDescent="0.2"/>
    <row r="629" s="181" customFormat="1" x14ac:dyDescent="0.2"/>
    <row r="630" s="181" customFormat="1" x14ac:dyDescent="0.2"/>
    <row r="631" s="181" customFormat="1" x14ac:dyDescent="0.2"/>
    <row r="632" s="181" customFormat="1" x14ac:dyDescent="0.2"/>
    <row r="633" s="181" customFormat="1" x14ac:dyDescent="0.2"/>
    <row r="634" s="181" customFormat="1" x14ac:dyDescent="0.2"/>
    <row r="635" s="181" customFormat="1" x14ac:dyDescent="0.2"/>
    <row r="636" s="181" customFormat="1" x14ac:dyDescent="0.2"/>
    <row r="637" s="181" customFormat="1" x14ac:dyDescent="0.2"/>
    <row r="638" s="181" customFormat="1" x14ac:dyDescent="0.2"/>
    <row r="639" s="181" customFormat="1" x14ac:dyDescent="0.2"/>
    <row r="640" s="181" customFormat="1" x14ac:dyDescent="0.2"/>
    <row r="641" s="181" customFormat="1" x14ac:dyDescent="0.2"/>
    <row r="642" s="181" customFormat="1" x14ac:dyDescent="0.2"/>
    <row r="643" s="181" customFormat="1" x14ac:dyDescent="0.2"/>
    <row r="644" s="181" customFormat="1" x14ac:dyDescent="0.2"/>
    <row r="645" s="181" customFormat="1" x14ac:dyDescent="0.2"/>
    <row r="646" s="181" customFormat="1" x14ac:dyDescent="0.2"/>
    <row r="647" s="181" customFormat="1" x14ac:dyDescent="0.2"/>
    <row r="648" s="181" customFormat="1" x14ac:dyDescent="0.2"/>
    <row r="649" s="181" customFormat="1" x14ac:dyDescent="0.2"/>
    <row r="650" s="181" customFormat="1" x14ac:dyDescent="0.2"/>
    <row r="651" s="181" customFormat="1" x14ac:dyDescent="0.2"/>
    <row r="652" s="181" customFormat="1" x14ac:dyDescent="0.2"/>
    <row r="653" s="181" customFormat="1" x14ac:dyDescent="0.2"/>
    <row r="654" s="181" customFormat="1" x14ac:dyDescent="0.2"/>
    <row r="655" s="181" customFormat="1" x14ac:dyDescent="0.2"/>
    <row r="656" s="181" customFormat="1" x14ac:dyDescent="0.2"/>
    <row r="657" s="181" customFormat="1" x14ac:dyDescent="0.2"/>
    <row r="658" s="181" customFormat="1" x14ac:dyDescent="0.2"/>
    <row r="659" s="181" customFormat="1" x14ac:dyDescent="0.2"/>
    <row r="660" s="181" customFormat="1" x14ac:dyDescent="0.2"/>
    <row r="661" s="181" customFormat="1" x14ac:dyDescent="0.2"/>
    <row r="662" s="181" customFormat="1" x14ac:dyDescent="0.2"/>
    <row r="663" s="181" customFormat="1" x14ac:dyDescent="0.2"/>
    <row r="664" s="181" customFormat="1" x14ac:dyDescent="0.2"/>
    <row r="665" s="181" customFormat="1" x14ac:dyDescent="0.2"/>
    <row r="666" s="181" customFormat="1" x14ac:dyDescent="0.2"/>
    <row r="667" s="181" customFormat="1" x14ac:dyDescent="0.2"/>
    <row r="668" s="181" customFormat="1" x14ac:dyDescent="0.2"/>
    <row r="669" s="181" customFormat="1" x14ac:dyDescent="0.2"/>
    <row r="670" s="181" customFormat="1" x14ac:dyDescent="0.2"/>
    <row r="671" s="181" customFormat="1" x14ac:dyDescent="0.2"/>
    <row r="672" s="181" customFormat="1" x14ac:dyDescent="0.2"/>
    <row r="673" s="181" customFormat="1" x14ac:dyDescent="0.2"/>
    <row r="674" s="181" customFormat="1" x14ac:dyDescent="0.2"/>
    <row r="675" s="181" customFormat="1" x14ac:dyDescent="0.2"/>
    <row r="676" s="181" customFormat="1" x14ac:dyDescent="0.2"/>
    <row r="677" s="181" customFormat="1" x14ac:dyDescent="0.2"/>
    <row r="678" s="181" customFormat="1" x14ac:dyDescent="0.2"/>
    <row r="679" s="181" customFormat="1" x14ac:dyDescent="0.2"/>
    <row r="680" s="181" customFormat="1" x14ac:dyDescent="0.2"/>
    <row r="681" s="181" customFormat="1" x14ac:dyDescent="0.2"/>
    <row r="682" s="181" customFormat="1" x14ac:dyDescent="0.2"/>
    <row r="683" s="181" customFormat="1" x14ac:dyDescent="0.2"/>
    <row r="684" s="181" customFormat="1" x14ac:dyDescent="0.2"/>
    <row r="685" s="181" customFormat="1" x14ac:dyDescent="0.2"/>
    <row r="686" s="181" customFormat="1" x14ac:dyDescent="0.2"/>
    <row r="687" s="181" customFormat="1" x14ac:dyDescent="0.2"/>
    <row r="688" s="181" customFormat="1" x14ac:dyDescent="0.2"/>
    <row r="689" s="181" customFormat="1" x14ac:dyDescent="0.2"/>
    <row r="690" s="181" customFormat="1" x14ac:dyDescent="0.2"/>
    <row r="691" s="181" customFormat="1" x14ac:dyDescent="0.2"/>
    <row r="692" s="181" customFormat="1" x14ac:dyDescent="0.2"/>
    <row r="693" s="181" customFormat="1" x14ac:dyDescent="0.2"/>
    <row r="694" s="181" customFormat="1" x14ac:dyDescent="0.2"/>
    <row r="695" s="181" customFormat="1" x14ac:dyDescent="0.2"/>
    <row r="696" s="181" customFormat="1" x14ac:dyDescent="0.2"/>
    <row r="697" s="181" customFormat="1" x14ac:dyDescent="0.2"/>
    <row r="698" s="181" customFormat="1" x14ac:dyDescent="0.2"/>
    <row r="699" s="181" customFormat="1" x14ac:dyDescent="0.2"/>
    <row r="700" s="181" customFormat="1" x14ac:dyDescent="0.2"/>
    <row r="701" s="181" customFormat="1" x14ac:dyDescent="0.2"/>
    <row r="702" s="181" customFormat="1" x14ac:dyDescent="0.2"/>
    <row r="703" s="181" customFormat="1" x14ac:dyDescent="0.2"/>
    <row r="704" s="181" customFormat="1" x14ac:dyDescent="0.2"/>
    <row r="705" s="181" customFormat="1" x14ac:dyDescent="0.2"/>
    <row r="706" s="181" customFormat="1" x14ac:dyDescent="0.2"/>
    <row r="707" s="181" customFormat="1" x14ac:dyDescent="0.2"/>
    <row r="708" s="181" customFormat="1" x14ac:dyDescent="0.2"/>
    <row r="709" s="181" customFormat="1" x14ac:dyDescent="0.2"/>
    <row r="710" s="181" customFormat="1" x14ac:dyDescent="0.2"/>
    <row r="711" s="181" customFormat="1" x14ac:dyDescent="0.2"/>
    <row r="712" s="181" customFormat="1" x14ac:dyDescent="0.2"/>
    <row r="713" s="181" customFormat="1" x14ac:dyDescent="0.2"/>
    <row r="714" s="181" customFormat="1" x14ac:dyDescent="0.2"/>
    <row r="715" s="181" customFormat="1" x14ac:dyDescent="0.2"/>
    <row r="716" s="181" customFormat="1" x14ac:dyDescent="0.2"/>
    <row r="717" s="181" customFormat="1" x14ac:dyDescent="0.2"/>
    <row r="718" s="181" customFormat="1" x14ac:dyDescent="0.2"/>
    <row r="719" s="181" customFormat="1" x14ac:dyDescent="0.2"/>
    <row r="720" s="181" customFormat="1" x14ac:dyDescent="0.2"/>
    <row r="721" s="181" customFormat="1" x14ac:dyDescent="0.2"/>
    <row r="722" s="181" customFormat="1" x14ac:dyDescent="0.2"/>
    <row r="723" s="181" customFormat="1" x14ac:dyDescent="0.2"/>
    <row r="724" s="181" customFormat="1" x14ac:dyDescent="0.2"/>
    <row r="725" s="181" customFormat="1" x14ac:dyDescent="0.2"/>
    <row r="726" s="181" customFormat="1" x14ac:dyDescent="0.2"/>
    <row r="727" s="181" customFormat="1" x14ac:dyDescent="0.2"/>
    <row r="728" s="181" customFormat="1" x14ac:dyDescent="0.2"/>
    <row r="729" s="181" customFormat="1" x14ac:dyDescent="0.2"/>
    <row r="730" s="181" customFormat="1" x14ac:dyDescent="0.2"/>
    <row r="731" s="181" customFormat="1" x14ac:dyDescent="0.2"/>
    <row r="732" s="181" customFormat="1" x14ac:dyDescent="0.2"/>
    <row r="733" s="181" customFormat="1" x14ac:dyDescent="0.2"/>
    <row r="734" s="181" customFormat="1" x14ac:dyDescent="0.2"/>
    <row r="735" s="181" customFormat="1" x14ac:dyDescent="0.2"/>
    <row r="736" s="181" customFormat="1" x14ac:dyDescent="0.2"/>
    <row r="737" s="181" customFormat="1" x14ac:dyDescent="0.2"/>
    <row r="738" s="181" customFormat="1" x14ac:dyDescent="0.2"/>
    <row r="739" s="181" customFormat="1" x14ac:dyDescent="0.2"/>
    <row r="740" s="181" customFormat="1" x14ac:dyDescent="0.2"/>
    <row r="741" s="181" customFormat="1" x14ac:dyDescent="0.2"/>
    <row r="742" s="181" customFormat="1" x14ac:dyDescent="0.2"/>
    <row r="743" s="181" customFormat="1" x14ac:dyDescent="0.2"/>
    <row r="744" s="181" customFormat="1" x14ac:dyDescent="0.2"/>
    <row r="745" s="181" customFormat="1" x14ac:dyDescent="0.2"/>
    <row r="746" s="181" customFormat="1" x14ac:dyDescent="0.2"/>
    <row r="747" s="181" customFormat="1" x14ac:dyDescent="0.2"/>
    <row r="748" s="181" customFormat="1" x14ac:dyDescent="0.2"/>
    <row r="749" s="181" customFormat="1" x14ac:dyDescent="0.2"/>
    <row r="750" s="181" customFormat="1" x14ac:dyDescent="0.2"/>
    <row r="751" s="181" customFormat="1" x14ac:dyDescent="0.2"/>
    <row r="752" s="181" customFormat="1" x14ac:dyDescent="0.2"/>
    <row r="753" s="181" customFormat="1" x14ac:dyDescent="0.2"/>
    <row r="754" s="181" customFormat="1" x14ac:dyDescent="0.2"/>
    <row r="755" s="181" customFormat="1" x14ac:dyDescent="0.2"/>
    <row r="756" s="181" customFormat="1" x14ac:dyDescent="0.2"/>
    <row r="757" s="181" customFormat="1" x14ac:dyDescent="0.2"/>
    <row r="758" s="181" customFormat="1" x14ac:dyDescent="0.2"/>
    <row r="759" s="181" customFormat="1" x14ac:dyDescent="0.2"/>
    <row r="760" s="181" customFormat="1" x14ac:dyDescent="0.2"/>
    <row r="761" s="181" customFormat="1" x14ac:dyDescent="0.2"/>
    <row r="762" s="181" customFormat="1" x14ac:dyDescent="0.2"/>
    <row r="763" s="181" customFormat="1" x14ac:dyDescent="0.2"/>
    <row r="764" s="181" customFormat="1" x14ac:dyDescent="0.2"/>
    <row r="765" s="181" customFormat="1" x14ac:dyDescent="0.2"/>
    <row r="766" s="181" customFormat="1" x14ac:dyDescent="0.2"/>
    <row r="767" s="181" customFormat="1" x14ac:dyDescent="0.2"/>
    <row r="768" s="181" customFormat="1" x14ac:dyDescent="0.2"/>
    <row r="769" s="181" customFormat="1" x14ac:dyDescent="0.2"/>
    <row r="770" s="181" customFormat="1" x14ac:dyDescent="0.2"/>
    <row r="771" s="181" customFormat="1" x14ac:dyDescent="0.2"/>
    <row r="772" s="181" customFormat="1" x14ac:dyDescent="0.2"/>
    <row r="773" s="181" customFormat="1" x14ac:dyDescent="0.2"/>
    <row r="774" s="181" customFormat="1" x14ac:dyDescent="0.2"/>
    <row r="775" s="181" customFormat="1" x14ac:dyDescent="0.2"/>
    <row r="776" s="181" customFormat="1" x14ac:dyDescent="0.2"/>
    <row r="777" s="181" customFormat="1" x14ac:dyDescent="0.2"/>
    <row r="778" s="181" customFormat="1" x14ac:dyDescent="0.2"/>
    <row r="779" s="181" customFormat="1" x14ac:dyDescent="0.2"/>
    <row r="780" s="181" customFormat="1" x14ac:dyDescent="0.2"/>
    <row r="781" s="181" customFormat="1" x14ac:dyDescent="0.2"/>
    <row r="782" s="181" customFormat="1" x14ac:dyDescent="0.2"/>
    <row r="783" s="181" customFormat="1" x14ac:dyDescent="0.2"/>
    <row r="784" s="181" customFormat="1" x14ac:dyDescent="0.2"/>
    <row r="785" s="181" customFormat="1" x14ac:dyDescent="0.2"/>
    <row r="786" s="181" customFormat="1" x14ac:dyDescent="0.2"/>
    <row r="787" s="181" customFormat="1" x14ac:dyDescent="0.2"/>
    <row r="788" s="181" customFormat="1" x14ac:dyDescent="0.2"/>
    <row r="789" s="181" customFormat="1" x14ac:dyDescent="0.2"/>
    <row r="790" s="181" customFormat="1" x14ac:dyDescent="0.2"/>
    <row r="791" s="181" customFormat="1" x14ac:dyDescent="0.2"/>
    <row r="792" s="181" customFormat="1" x14ac:dyDescent="0.2"/>
    <row r="793" s="181" customFormat="1" x14ac:dyDescent="0.2"/>
    <row r="794" s="181" customFormat="1" x14ac:dyDescent="0.2"/>
    <row r="795" s="181" customFormat="1" x14ac:dyDescent="0.2"/>
    <row r="796" s="181" customFormat="1" x14ac:dyDescent="0.2"/>
    <row r="797" s="181" customFormat="1" x14ac:dyDescent="0.2"/>
    <row r="798" s="181" customFormat="1" x14ac:dyDescent="0.2"/>
    <row r="799" s="181" customFormat="1" x14ac:dyDescent="0.2"/>
    <row r="800" s="181" customFormat="1" x14ac:dyDescent="0.2"/>
    <row r="801" s="181" customFormat="1" x14ac:dyDescent="0.2"/>
    <row r="802" s="181" customFormat="1" x14ac:dyDescent="0.2"/>
    <row r="803" s="181" customFormat="1" x14ac:dyDescent="0.2"/>
    <row r="804" s="181" customFormat="1" x14ac:dyDescent="0.2"/>
    <row r="805" s="181" customFormat="1" x14ac:dyDescent="0.2"/>
    <row r="806" s="181" customFormat="1" x14ac:dyDescent="0.2"/>
    <row r="807" s="181" customFormat="1" x14ac:dyDescent="0.2"/>
    <row r="808" s="181" customFormat="1" x14ac:dyDescent="0.2"/>
    <row r="809" s="181" customFormat="1" x14ac:dyDescent="0.2"/>
    <row r="810" s="181" customFormat="1" x14ac:dyDescent="0.2"/>
    <row r="811" s="181" customFormat="1" x14ac:dyDescent="0.2"/>
    <row r="812" s="181" customFormat="1" x14ac:dyDescent="0.2"/>
    <row r="813" s="181" customFormat="1" x14ac:dyDescent="0.2"/>
    <row r="814" s="181" customFormat="1" x14ac:dyDescent="0.2"/>
    <row r="815" s="181" customFormat="1" x14ac:dyDescent="0.2"/>
    <row r="816" s="181" customFormat="1" x14ac:dyDescent="0.2"/>
    <row r="817" s="181" customFormat="1" x14ac:dyDescent="0.2"/>
    <row r="818" s="181" customFormat="1" x14ac:dyDescent="0.2"/>
    <row r="819" s="181" customFormat="1" x14ac:dyDescent="0.2"/>
    <row r="820" s="181" customFormat="1" x14ac:dyDescent="0.2"/>
    <row r="821" s="181" customFormat="1" x14ac:dyDescent="0.2"/>
    <row r="822" s="181" customFormat="1" x14ac:dyDescent="0.2"/>
    <row r="823" s="181" customFormat="1" x14ac:dyDescent="0.2"/>
    <row r="824" s="181" customFormat="1" x14ac:dyDescent="0.2"/>
    <row r="825" s="181" customFormat="1" x14ac:dyDescent="0.2"/>
    <row r="826" s="181" customFormat="1" x14ac:dyDescent="0.2"/>
    <row r="827" s="181" customFormat="1" x14ac:dyDescent="0.2"/>
    <row r="828" s="181" customFormat="1" x14ac:dyDescent="0.2"/>
    <row r="829" s="181" customFormat="1" x14ac:dyDescent="0.2"/>
    <row r="830" s="181" customFormat="1" x14ac:dyDescent="0.2"/>
    <row r="831" s="181" customFormat="1" x14ac:dyDescent="0.2"/>
    <row r="832" s="181" customFormat="1" x14ac:dyDescent="0.2"/>
    <row r="833" s="181" customFormat="1" x14ac:dyDescent="0.2"/>
    <row r="834" s="181" customFormat="1" x14ac:dyDescent="0.2"/>
    <row r="835" s="181" customFormat="1" x14ac:dyDescent="0.2"/>
    <row r="836" s="181" customFormat="1" x14ac:dyDescent="0.2"/>
    <row r="837" s="181" customFormat="1" x14ac:dyDescent="0.2"/>
    <row r="838" s="181" customFormat="1" x14ac:dyDescent="0.2"/>
    <row r="839" s="181" customFormat="1" x14ac:dyDescent="0.2"/>
    <row r="840" s="181" customFormat="1" x14ac:dyDescent="0.2"/>
    <row r="841" s="181" customFormat="1" x14ac:dyDescent="0.2"/>
    <row r="842" s="181" customFormat="1" x14ac:dyDescent="0.2"/>
    <row r="843" s="181" customFormat="1" x14ac:dyDescent="0.2"/>
    <row r="844" s="181" customFormat="1" x14ac:dyDescent="0.2"/>
    <row r="845" s="181" customFormat="1" x14ac:dyDescent="0.2"/>
    <row r="846" s="181" customFormat="1" x14ac:dyDescent="0.2"/>
    <row r="847" s="181" customFormat="1" x14ac:dyDescent="0.2"/>
    <row r="848" s="181" customFormat="1" x14ac:dyDescent="0.2"/>
    <row r="849" s="181" customFormat="1" x14ac:dyDescent="0.2"/>
    <row r="850" s="181" customFormat="1" x14ac:dyDescent="0.2"/>
    <row r="851" s="181" customFormat="1" x14ac:dyDescent="0.2"/>
    <row r="852" s="181" customFormat="1" x14ac:dyDescent="0.2"/>
    <row r="853" s="181" customFormat="1" x14ac:dyDescent="0.2"/>
    <row r="854" s="181" customFormat="1" x14ac:dyDescent="0.2"/>
    <row r="855" s="181" customFormat="1" x14ac:dyDescent="0.2"/>
    <row r="856" s="181" customFormat="1" x14ac:dyDescent="0.2"/>
    <row r="857" s="181" customFormat="1" x14ac:dyDescent="0.2"/>
    <row r="858" s="181" customFormat="1" x14ac:dyDescent="0.2"/>
    <row r="859" s="181" customFormat="1" x14ac:dyDescent="0.2"/>
    <row r="860" s="181" customFormat="1" x14ac:dyDescent="0.2"/>
    <row r="861" s="181" customFormat="1" x14ac:dyDescent="0.2"/>
    <row r="862" s="181" customFormat="1" x14ac:dyDescent="0.2"/>
    <row r="863" s="181" customFormat="1" x14ac:dyDescent="0.2"/>
    <row r="864" s="181" customFormat="1" x14ac:dyDescent="0.2"/>
    <row r="865" s="181" customFormat="1" x14ac:dyDescent="0.2"/>
    <row r="866" s="181" customFormat="1" x14ac:dyDescent="0.2"/>
    <row r="867" s="181" customFormat="1" x14ac:dyDescent="0.2"/>
    <row r="868" s="181" customFormat="1" x14ac:dyDescent="0.2"/>
    <row r="869" s="181" customFormat="1" x14ac:dyDescent="0.2"/>
    <row r="870" s="181" customFormat="1" x14ac:dyDescent="0.2"/>
    <row r="871" s="181" customFormat="1" x14ac:dyDescent="0.2"/>
    <row r="872" s="181" customFormat="1" x14ac:dyDescent="0.2"/>
    <row r="873" s="181" customFormat="1" x14ac:dyDescent="0.2"/>
    <row r="874" s="181" customFormat="1" x14ac:dyDescent="0.2"/>
    <row r="875" s="181" customFormat="1" x14ac:dyDescent="0.2"/>
    <row r="876" s="181" customFormat="1" x14ac:dyDescent="0.2"/>
    <row r="877" s="181" customFormat="1" x14ac:dyDescent="0.2"/>
    <row r="878" s="181" customFormat="1" x14ac:dyDescent="0.2"/>
    <row r="879" s="181" customFormat="1" x14ac:dyDescent="0.2"/>
    <row r="880" s="181" customFormat="1" x14ac:dyDescent="0.2"/>
    <row r="881" s="181" customFormat="1" x14ac:dyDescent="0.2"/>
    <row r="882" s="181" customFormat="1" x14ac:dyDescent="0.2"/>
    <row r="883" s="181" customFormat="1" x14ac:dyDescent="0.2"/>
    <row r="884" s="181" customFormat="1" x14ac:dyDescent="0.2"/>
    <row r="885" s="181" customFormat="1" x14ac:dyDescent="0.2"/>
    <row r="886" s="181" customFormat="1" x14ac:dyDescent="0.2"/>
    <row r="887" s="181" customFormat="1" x14ac:dyDescent="0.2"/>
    <row r="888" s="181" customFormat="1" x14ac:dyDescent="0.2"/>
    <row r="889" s="181" customFormat="1" x14ac:dyDescent="0.2"/>
    <row r="890" s="181" customFormat="1" x14ac:dyDescent="0.2"/>
    <row r="891" s="181" customFormat="1" x14ac:dyDescent="0.2"/>
    <row r="892" s="181" customFormat="1" x14ac:dyDescent="0.2"/>
    <row r="893" s="181" customFormat="1" x14ac:dyDescent="0.2"/>
    <row r="894" s="181" customFormat="1" x14ac:dyDescent="0.2"/>
    <row r="895" s="181" customFormat="1" x14ac:dyDescent="0.2"/>
    <row r="896" s="181" customFormat="1" x14ac:dyDescent="0.2"/>
    <row r="897" s="181" customFormat="1" x14ac:dyDescent="0.2"/>
    <row r="898" s="181" customFormat="1" x14ac:dyDescent="0.2"/>
    <row r="899" s="181" customFormat="1" x14ac:dyDescent="0.2"/>
    <row r="900" s="181" customFormat="1" x14ac:dyDescent="0.2"/>
    <row r="901" s="181" customFormat="1" x14ac:dyDescent="0.2"/>
    <row r="902" s="181" customFormat="1" x14ac:dyDescent="0.2"/>
    <row r="903" s="181" customFormat="1" x14ac:dyDescent="0.2"/>
    <row r="904" s="181" customFormat="1" x14ac:dyDescent="0.2"/>
    <row r="905" s="181" customFormat="1" x14ac:dyDescent="0.2"/>
    <row r="906" s="181" customFormat="1" x14ac:dyDescent="0.2"/>
    <row r="907" s="181" customFormat="1" x14ac:dyDescent="0.2"/>
    <row r="908" s="181" customFormat="1" x14ac:dyDescent="0.2"/>
    <row r="909" s="181" customFormat="1" x14ac:dyDescent="0.2"/>
    <row r="910" s="181" customFormat="1" x14ac:dyDescent="0.2"/>
    <row r="911" s="181" customFormat="1" x14ac:dyDescent="0.2"/>
    <row r="912" s="181" customFormat="1" x14ac:dyDescent="0.2"/>
    <row r="913" s="181" customFormat="1" x14ac:dyDescent="0.2"/>
    <row r="914" s="181" customFormat="1" x14ac:dyDescent="0.2"/>
    <row r="915" s="181" customFormat="1" x14ac:dyDescent="0.2"/>
    <row r="916" s="181" customFormat="1" x14ac:dyDescent="0.2"/>
    <row r="917" s="181" customFormat="1" x14ac:dyDescent="0.2"/>
    <row r="918" s="181" customFormat="1" x14ac:dyDescent="0.2"/>
    <row r="919" s="181" customFormat="1" x14ac:dyDescent="0.2"/>
    <row r="920" s="181" customFormat="1" x14ac:dyDescent="0.2"/>
    <row r="921" s="181" customFormat="1" x14ac:dyDescent="0.2"/>
    <row r="922" s="181" customFormat="1" x14ac:dyDescent="0.2"/>
    <row r="923" s="181" customFormat="1" x14ac:dyDescent="0.2"/>
    <row r="924" s="181" customFormat="1" x14ac:dyDescent="0.2"/>
    <row r="925" s="181" customFormat="1" x14ac:dyDescent="0.2"/>
    <row r="926" s="181" customFormat="1" x14ac:dyDescent="0.2"/>
    <row r="927" s="181" customFormat="1" x14ac:dyDescent="0.2"/>
    <row r="928" s="181" customFormat="1" x14ac:dyDescent="0.2"/>
    <row r="929" s="181" customFormat="1" x14ac:dyDescent="0.2"/>
    <row r="930" s="181" customFormat="1" x14ac:dyDescent="0.2"/>
    <row r="931" s="181" customFormat="1" x14ac:dyDescent="0.2"/>
    <row r="932" s="181" customFormat="1" x14ac:dyDescent="0.2"/>
    <row r="933" s="181" customFormat="1" x14ac:dyDescent="0.2"/>
    <row r="934" s="181" customFormat="1" x14ac:dyDescent="0.2"/>
    <row r="935" s="181" customFormat="1" x14ac:dyDescent="0.2"/>
    <row r="936" s="181" customFormat="1" x14ac:dyDescent="0.2"/>
    <row r="937" s="181" customFormat="1" x14ac:dyDescent="0.2"/>
    <row r="938" s="181" customFormat="1" x14ac:dyDescent="0.2"/>
    <row r="939" s="181" customFormat="1" x14ac:dyDescent="0.2"/>
    <row r="940" s="181" customFormat="1" x14ac:dyDescent="0.2"/>
    <row r="941" s="181" customFormat="1" x14ac:dyDescent="0.2"/>
    <row r="942" s="181" customFormat="1" x14ac:dyDescent="0.2"/>
    <row r="943" s="181" customFormat="1" x14ac:dyDescent="0.2"/>
    <row r="944" s="181" customFormat="1" x14ac:dyDescent="0.2"/>
    <row r="945" s="181" customFormat="1" x14ac:dyDescent="0.2"/>
    <row r="946" s="181" customFormat="1" x14ac:dyDescent="0.2"/>
    <row r="947" s="181" customFormat="1" x14ac:dyDescent="0.2"/>
    <row r="948" s="181" customFormat="1" x14ac:dyDescent="0.2"/>
    <row r="949" s="181" customFormat="1" x14ac:dyDescent="0.2"/>
    <row r="950" s="181" customFormat="1" x14ac:dyDescent="0.2"/>
    <row r="951" s="181" customFormat="1" x14ac:dyDescent="0.2"/>
    <row r="952" s="181" customFormat="1" x14ac:dyDescent="0.2"/>
    <row r="953" s="181" customFormat="1" x14ac:dyDescent="0.2"/>
    <row r="954" s="181" customFormat="1" x14ac:dyDescent="0.2"/>
    <row r="955" s="181" customFormat="1" x14ac:dyDescent="0.2"/>
    <row r="956" s="181" customFormat="1" x14ac:dyDescent="0.2"/>
    <row r="957" s="181" customFormat="1" x14ac:dyDescent="0.2"/>
    <row r="958" s="181" customFormat="1" x14ac:dyDescent="0.2"/>
    <row r="959" s="181" customFormat="1" x14ac:dyDescent="0.2"/>
    <row r="960" s="181" customFormat="1" x14ac:dyDescent="0.2"/>
    <row r="961" s="181" customFormat="1" x14ac:dyDescent="0.2"/>
    <row r="962" s="181" customFormat="1" x14ac:dyDescent="0.2"/>
    <row r="963" s="181" customFormat="1" x14ac:dyDescent="0.2"/>
    <row r="964" s="181" customFormat="1" x14ac:dyDescent="0.2"/>
    <row r="965" s="181" customFormat="1" x14ac:dyDescent="0.2"/>
    <row r="966" s="181" customFormat="1" x14ac:dyDescent="0.2"/>
    <row r="967" s="181" customFormat="1" x14ac:dyDescent="0.2"/>
    <row r="968" s="181" customFormat="1" x14ac:dyDescent="0.2"/>
    <row r="969" s="181" customFormat="1" x14ac:dyDescent="0.2"/>
    <row r="970" s="181" customFormat="1" x14ac:dyDescent="0.2"/>
    <row r="971" s="181" customFormat="1" x14ac:dyDescent="0.2"/>
    <row r="972" s="181" customFormat="1" x14ac:dyDescent="0.2"/>
    <row r="973" s="181" customFormat="1" x14ac:dyDescent="0.2"/>
    <row r="974" s="181" customFormat="1" x14ac:dyDescent="0.2"/>
    <row r="975" s="181" customFormat="1" x14ac:dyDescent="0.2"/>
    <row r="976" s="181" customFormat="1" x14ac:dyDescent="0.2"/>
    <row r="977" s="181" customFormat="1" x14ac:dyDescent="0.2"/>
    <row r="978" s="181" customFormat="1" x14ac:dyDescent="0.2"/>
    <row r="979" s="181" customFormat="1" x14ac:dyDescent="0.2"/>
    <row r="980" s="181" customFormat="1" x14ac:dyDescent="0.2"/>
    <row r="981" s="181" customFormat="1" x14ac:dyDescent="0.2"/>
    <row r="982" s="181" customFormat="1" x14ac:dyDescent="0.2"/>
    <row r="983" s="181" customFormat="1" x14ac:dyDescent="0.2"/>
    <row r="984" s="181" customFormat="1" x14ac:dyDescent="0.2"/>
    <row r="985" s="181" customFormat="1" x14ac:dyDescent="0.2"/>
    <row r="986" s="181" customFormat="1" x14ac:dyDescent="0.2"/>
    <row r="987" s="181" customFormat="1" x14ac:dyDescent="0.2"/>
    <row r="988" s="181" customFormat="1" x14ac:dyDescent="0.2"/>
    <row r="989" s="181" customFormat="1" x14ac:dyDescent="0.2"/>
    <row r="990" s="181" customFormat="1" x14ac:dyDescent="0.2"/>
    <row r="991" s="181" customFormat="1" x14ac:dyDescent="0.2"/>
    <row r="992" s="181" customFormat="1" x14ac:dyDescent="0.2"/>
    <row r="993" s="181" customFormat="1" x14ac:dyDescent="0.2"/>
    <row r="994" s="181" customFormat="1" x14ac:dyDescent="0.2"/>
    <row r="995" s="181" customFormat="1" x14ac:dyDescent="0.2"/>
    <row r="996" s="181" customFormat="1" x14ac:dyDescent="0.2"/>
    <row r="997" s="181" customFormat="1" x14ac:dyDescent="0.2"/>
    <row r="998" s="181" customFormat="1" x14ac:dyDescent="0.2"/>
    <row r="999" s="181" customFormat="1" x14ac:dyDescent="0.2"/>
    <row r="1000" s="181" customFormat="1" x14ac:dyDescent="0.2"/>
    <row r="1001" s="181" customFormat="1" x14ac:dyDescent="0.2"/>
    <row r="1002" s="181" customFormat="1" x14ac:dyDescent="0.2"/>
    <row r="1003" s="181" customFormat="1" x14ac:dyDescent="0.2"/>
    <row r="1004" s="181" customFormat="1" x14ac:dyDescent="0.2"/>
    <row r="1005" s="181" customFormat="1" x14ac:dyDescent="0.2"/>
    <row r="1006" s="181" customFormat="1" x14ac:dyDescent="0.2"/>
    <row r="1007" s="181" customFormat="1" x14ac:dyDescent="0.2"/>
    <row r="1008" s="181" customFormat="1" x14ac:dyDescent="0.2"/>
    <row r="1009" s="181" customFormat="1" x14ac:dyDescent="0.2"/>
    <row r="1010" s="181" customFormat="1" x14ac:dyDescent="0.2"/>
    <row r="1011" s="181" customFormat="1" x14ac:dyDescent="0.2"/>
    <row r="1012" s="181" customFormat="1" x14ac:dyDescent="0.2"/>
    <row r="1013" s="181" customFormat="1" x14ac:dyDescent="0.2"/>
    <row r="1014" s="181" customFormat="1" x14ac:dyDescent="0.2"/>
    <row r="1015" s="181" customFormat="1" x14ac:dyDescent="0.2"/>
    <row r="1016" s="181" customFormat="1" x14ac:dyDescent="0.2"/>
    <row r="1017" s="181" customFormat="1" x14ac:dyDescent="0.2"/>
    <row r="1018" s="181" customFormat="1" x14ac:dyDescent="0.2"/>
    <row r="1019" s="181" customFormat="1" x14ac:dyDescent="0.2"/>
    <row r="1020" s="181" customFormat="1" x14ac:dyDescent="0.2"/>
    <row r="1021" s="181" customFormat="1" x14ac:dyDescent="0.2"/>
    <row r="1022" s="181" customFormat="1" x14ac:dyDescent="0.2"/>
    <row r="1023" s="181" customFormat="1" x14ac:dyDescent="0.2"/>
    <row r="1024" s="181" customFormat="1" x14ac:dyDescent="0.2"/>
    <row r="1025" s="181" customFormat="1" x14ac:dyDescent="0.2"/>
    <row r="1026" s="181" customFormat="1" x14ac:dyDescent="0.2"/>
    <row r="1027" s="181" customFormat="1" x14ac:dyDescent="0.2"/>
    <row r="1028" s="181" customFormat="1" x14ac:dyDescent="0.2"/>
    <row r="1029" s="181" customFormat="1" x14ac:dyDescent="0.2"/>
    <row r="1030" s="181" customFormat="1" x14ac:dyDescent="0.2"/>
    <row r="1031" s="181" customFormat="1" x14ac:dyDescent="0.2"/>
    <row r="1032" s="181" customFormat="1" x14ac:dyDescent="0.2"/>
    <row r="1033" s="181" customFormat="1" x14ac:dyDescent="0.2"/>
    <row r="1034" s="181" customFormat="1" x14ac:dyDescent="0.2"/>
    <row r="1035" s="181" customFormat="1" x14ac:dyDescent="0.2"/>
    <row r="1036" s="181" customFormat="1" x14ac:dyDescent="0.2"/>
    <row r="1037" s="181" customFormat="1" x14ac:dyDescent="0.2"/>
    <row r="1038" s="181" customFormat="1" x14ac:dyDescent="0.2"/>
    <row r="1039" s="181" customFormat="1" x14ac:dyDescent="0.2"/>
    <row r="1040" s="181" customFormat="1" x14ac:dyDescent="0.2"/>
    <row r="1041" s="181" customFormat="1" x14ac:dyDescent="0.2"/>
    <row r="1042" s="181" customFormat="1" x14ac:dyDescent="0.2"/>
    <row r="1043" s="181" customFormat="1" x14ac:dyDescent="0.2"/>
    <row r="1044" s="181" customFormat="1" x14ac:dyDescent="0.2"/>
    <row r="1045" s="181" customFormat="1" x14ac:dyDescent="0.2"/>
    <row r="1046" s="181" customFormat="1" x14ac:dyDescent="0.2"/>
    <row r="1047" s="181" customFormat="1" x14ac:dyDescent="0.2"/>
    <row r="1048" s="181" customFormat="1" x14ac:dyDescent="0.2"/>
    <row r="1049" s="181" customFormat="1" x14ac:dyDescent="0.2"/>
    <row r="1050" s="181" customFormat="1" x14ac:dyDescent="0.2"/>
    <row r="1051" s="181" customFormat="1" x14ac:dyDescent="0.2"/>
    <row r="1052" s="181" customFormat="1" x14ac:dyDescent="0.2"/>
    <row r="1053" s="181" customFormat="1" x14ac:dyDescent="0.2"/>
    <row r="1054" s="181" customFormat="1" x14ac:dyDescent="0.2"/>
    <row r="1055" s="181" customFormat="1" x14ac:dyDescent="0.2"/>
    <row r="1056" s="181" customFormat="1" x14ac:dyDescent="0.2"/>
    <row r="1057" s="181" customFormat="1" x14ac:dyDescent="0.2"/>
    <row r="1058" s="181" customFormat="1" x14ac:dyDescent="0.2"/>
    <row r="1059" s="181" customFormat="1" x14ac:dyDescent="0.2"/>
    <row r="1060" s="181" customFormat="1" x14ac:dyDescent="0.2"/>
    <row r="1061" s="181" customFormat="1" x14ac:dyDescent="0.2"/>
    <row r="1062" s="181" customFormat="1" x14ac:dyDescent="0.2"/>
    <row r="1063" s="181" customFormat="1" x14ac:dyDescent="0.2"/>
    <row r="1064" s="181" customFormat="1" x14ac:dyDescent="0.2"/>
    <row r="1065" s="181" customFormat="1" x14ac:dyDescent="0.2"/>
    <row r="1066" s="181" customFormat="1" x14ac:dyDescent="0.2"/>
    <row r="1067" s="181" customFormat="1" x14ac:dyDescent="0.2"/>
    <row r="1068" s="181" customFormat="1" x14ac:dyDescent="0.2"/>
    <row r="1069" s="181" customFormat="1" x14ac:dyDescent="0.2"/>
    <row r="1070" s="181" customFormat="1" x14ac:dyDescent="0.2"/>
    <row r="1071" s="181" customFormat="1" x14ac:dyDescent="0.2"/>
    <row r="1072" s="181" customFormat="1" x14ac:dyDescent="0.2"/>
    <row r="1073" s="181" customFormat="1" x14ac:dyDescent="0.2"/>
    <row r="1074" s="181" customFormat="1" x14ac:dyDescent="0.2"/>
    <row r="1075" s="181" customFormat="1" x14ac:dyDescent="0.2"/>
    <row r="1076" s="181" customFormat="1" x14ac:dyDescent="0.2"/>
    <row r="1077" s="181" customFormat="1" x14ac:dyDescent="0.2"/>
    <row r="1078" s="181" customFormat="1" x14ac:dyDescent="0.2"/>
    <row r="1079" s="181" customFormat="1" x14ac:dyDescent="0.2"/>
    <row r="1080" s="181" customFormat="1" x14ac:dyDescent="0.2"/>
    <row r="1081" s="181" customFormat="1" x14ac:dyDescent="0.2"/>
    <row r="1082" s="181" customFormat="1" x14ac:dyDescent="0.2"/>
    <row r="1083" s="181" customFormat="1" x14ac:dyDescent="0.2"/>
    <row r="1084" s="181" customFormat="1" x14ac:dyDescent="0.2"/>
    <row r="1085" s="181" customFormat="1" x14ac:dyDescent="0.2"/>
    <row r="1086" s="181" customFormat="1" x14ac:dyDescent="0.2"/>
    <row r="1087" s="181" customFormat="1" x14ac:dyDescent="0.2"/>
    <row r="1088" s="181" customFormat="1" x14ac:dyDescent="0.2"/>
    <row r="1089" s="181" customFormat="1" x14ac:dyDescent="0.2"/>
    <row r="1090" s="181" customFormat="1" x14ac:dyDescent="0.2"/>
    <row r="1091" s="181" customFormat="1" x14ac:dyDescent="0.2"/>
    <row r="1092" s="181" customFormat="1" x14ac:dyDescent="0.2"/>
    <row r="1093" s="181" customFormat="1" x14ac:dyDescent="0.2"/>
    <row r="1094" s="181" customFormat="1" x14ac:dyDescent="0.2"/>
    <row r="1095" s="181" customFormat="1" x14ac:dyDescent="0.2"/>
    <row r="1096" s="181" customFormat="1" x14ac:dyDescent="0.2"/>
    <row r="1097" s="181" customFormat="1" x14ac:dyDescent="0.2"/>
    <row r="1098" s="181" customFormat="1" x14ac:dyDescent="0.2"/>
    <row r="1099" s="181" customFormat="1" x14ac:dyDescent="0.2"/>
    <row r="1100" s="181" customFormat="1" x14ac:dyDescent="0.2"/>
    <row r="1101" s="181" customFormat="1" x14ac:dyDescent="0.2"/>
    <row r="1102" s="181" customFormat="1" x14ac:dyDescent="0.2"/>
    <row r="1103" s="181" customFormat="1" x14ac:dyDescent="0.2"/>
    <row r="1104" s="181" customFormat="1" x14ac:dyDescent="0.2"/>
    <row r="1105" s="181" customFormat="1" x14ac:dyDescent="0.2"/>
    <row r="1106" s="181" customFormat="1" x14ac:dyDescent="0.2"/>
    <row r="1107" s="181" customFormat="1" x14ac:dyDescent="0.2"/>
    <row r="1108" s="181" customFormat="1" x14ac:dyDescent="0.2"/>
    <row r="1109" s="181" customFormat="1" x14ac:dyDescent="0.2"/>
    <row r="1110" s="181" customFormat="1" x14ac:dyDescent="0.2"/>
    <row r="1111" s="181" customFormat="1" x14ac:dyDescent="0.2"/>
    <row r="1112" s="181" customFormat="1" x14ac:dyDescent="0.2"/>
    <row r="1113" s="181" customFormat="1" x14ac:dyDescent="0.2"/>
    <row r="1114" s="181" customFormat="1" x14ac:dyDescent="0.2"/>
    <row r="1115" s="181" customFormat="1" x14ac:dyDescent="0.2"/>
    <row r="1116" s="181" customFormat="1" x14ac:dyDescent="0.2"/>
    <row r="1117" s="181" customFormat="1" x14ac:dyDescent="0.2"/>
    <row r="1118" s="181" customFormat="1" x14ac:dyDescent="0.2"/>
    <row r="1119" s="181" customFormat="1" x14ac:dyDescent="0.2"/>
    <row r="1120" s="181" customFormat="1" x14ac:dyDescent="0.2"/>
    <row r="1121" s="181" customFormat="1" x14ac:dyDescent="0.2"/>
    <row r="1122" s="181" customFormat="1" x14ac:dyDescent="0.2"/>
    <row r="1123" s="181" customFormat="1" x14ac:dyDescent="0.2"/>
    <row r="1124" s="181" customFormat="1" x14ac:dyDescent="0.2"/>
    <row r="1125" s="181" customFormat="1" x14ac:dyDescent="0.2"/>
    <row r="1126" s="181" customFormat="1" x14ac:dyDescent="0.2"/>
    <row r="1127" s="181" customFormat="1" x14ac:dyDescent="0.2"/>
    <row r="1128" s="181" customFormat="1" x14ac:dyDescent="0.2"/>
    <row r="1129" s="181" customFormat="1" x14ac:dyDescent="0.2"/>
    <row r="1130" s="181" customFormat="1" x14ac:dyDescent="0.2"/>
    <row r="1131" s="181" customFormat="1" x14ac:dyDescent="0.2"/>
    <row r="1132" s="181" customFormat="1" x14ac:dyDescent="0.2"/>
    <row r="1133" s="181" customFormat="1" x14ac:dyDescent="0.2"/>
    <row r="1134" s="181" customFormat="1" x14ac:dyDescent="0.2"/>
    <row r="1135" s="181" customFormat="1" x14ac:dyDescent="0.2"/>
    <row r="1136" s="181" customFormat="1" x14ac:dyDescent="0.2"/>
    <row r="1137" s="181" customFormat="1" x14ac:dyDescent="0.2"/>
    <row r="1138" s="181" customFormat="1" x14ac:dyDescent="0.2"/>
    <row r="1139" s="181" customFormat="1" x14ac:dyDescent="0.2"/>
    <row r="1140" s="181" customFormat="1" x14ac:dyDescent="0.2"/>
    <row r="1141" s="181" customFormat="1" x14ac:dyDescent="0.2"/>
    <row r="1142" s="181" customFormat="1" x14ac:dyDescent="0.2"/>
    <row r="1143" s="181" customFormat="1" x14ac:dyDescent="0.2"/>
    <row r="1144" s="181" customFormat="1" x14ac:dyDescent="0.2"/>
    <row r="1145" s="181" customFormat="1" x14ac:dyDescent="0.2"/>
    <row r="1146" s="181" customFormat="1" x14ac:dyDescent="0.2"/>
    <row r="1147" s="181" customFormat="1" x14ac:dyDescent="0.2"/>
    <row r="1148" s="181" customFormat="1" x14ac:dyDescent="0.2"/>
    <row r="1149" s="181" customFormat="1" x14ac:dyDescent="0.2"/>
    <row r="1150" s="181" customFormat="1" x14ac:dyDescent="0.2"/>
    <row r="1151" s="181" customFormat="1" x14ac:dyDescent="0.2"/>
    <row r="1152" s="181" customFormat="1" x14ac:dyDescent="0.2"/>
    <row r="1153" s="181" customFormat="1" x14ac:dyDescent="0.2"/>
    <row r="1154" s="181" customFormat="1" x14ac:dyDescent="0.2"/>
    <row r="1155" s="181" customFormat="1" x14ac:dyDescent="0.2"/>
    <row r="1156" s="181" customFormat="1" x14ac:dyDescent="0.2"/>
    <row r="1157" s="181" customFormat="1" x14ac:dyDescent="0.2"/>
    <row r="1158" s="181" customFormat="1" x14ac:dyDescent="0.2"/>
    <row r="1159" s="181" customFormat="1" x14ac:dyDescent="0.2"/>
    <row r="1160" s="181" customFormat="1" x14ac:dyDescent="0.2"/>
    <row r="1161" s="181" customFormat="1" x14ac:dyDescent="0.2"/>
    <row r="1162" s="181" customFormat="1" x14ac:dyDescent="0.2"/>
    <row r="1163" s="181" customFormat="1" x14ac:dyDescent="0.2"/>
    <row r="1164" s="181" customFormat="1" x14ac:dyDescent="0.2"/>
    <row r="1165" s="181" customFormat="1" x14ac:dyDescent="0.2"/>
    <row r="1166" s="181" customFormat="1" x14ac:dyDescent="0.2"/>
    <row r="1167" s="181" customFormat="1" x14ac:dyDescent="0.2"/>
    <row r="1168" s="181" customFormat="1" x14ac:dyDescent="0.2"/>
    <row r="1169" s="181" customFormat="1" x14ac:dyDescent="0.2"/>
    <row r="1170" s="181" customFormat="1" x14ac:dyDescent="0.2"/>
    <row r="1171" s="181" customFormat="1" x14ac:dyDescent="0.2"/>
    <row r="1172" s="181" customFormat="1" x14ac:dyDescent="0.2"/>
    <row r="1173" s="181" customFormat="1" x14ac:dyDescent="0.2"/>
    <row r="1174" s="181" customFormat="1" x14ac:dyDescent="0.2"/>
    <row r="1175" s="181" customFormat="1" x14ac:dyDescent="0.2"/>
    <row r="1176" s="181" customFormat="1" x14ac:dyDescent="0.2"/>
    <row r="1177" s="181" customFormat="1" x14ac:dyDescent="0.2"/>
    <row r="1178" s="181" customFormat="1" x14ac:dyDescent="0.2"/>
    <row r="1179" s="181" customFormat="1" x14ac:dyDescent="0.2"/>
    <row r="1180" s="181" customFormat="1" x14ac:dyDescent="0.2"/>
    <row r="1181" s="181" customFormat="1" x14ac:dyDescent="0.2"/>
    <row r="1182" s="181" customFormat="1" x14ac:dyDescent="0.2"/>
    <row r="1183" s="181" customFormat="1" x14ac:dyDescent="0.2"/>
    <row r="1184" s="181" customFormat="1" x14ac:dyDescent="0.2"/>
    <row r="1185" s="181" customFormat="1" x14ac:dyDescent="0.2"/>
    <row r="1186" s="181" customFormat="1" x14ac:dyDescent="0.2"/>
    <row r="1187" s="181" customFormat="1" x14ac:dyDescent="0.2"/>
    <row r="1188" s="181" customFormat="1" x14ac:dyDescent="0.2"/>
    <row r="1189" s="181" customFormat="1" x14ac:dyDescent="0.2"/>
    <row r="1190" s="181" customFormat="1" x14ac:dyDescent="0.2"/>
    <row r="1191" s="181" customFormat="1" x14ac:dyDescent="0.2"/>
    <row r="1192" s="181" customFormat="1" x14ac:dyDescent="0.2"/>
    <row r="1193" s="181" customFormat="1" x14ac:dyDescent="0.2"/>
    <row r="1194" s="181" customFormat="1" x14ac:dyDescent="0.2"/>
    <row r="1195" s="181" customFormat="1" x14ac:dyDescent="0.2"/>
    <row r="1196" s="181" customFormat="1" x14ac:dyDescent="0.2"/>
    <row r="1197" s="181" customFormat="1" x14ac:dyDescent="0.2"/>
    <row r="1198" s="181" customFormat="1" x14ac:dyDescent="0.2"/>
    <row r="1199" s="181" customFormat="1" x14ac:dyDescent="0.2"/>
    <row r="1200" s="181" customFormat="1" x14ac:dyDescent="0.2"/>
    <row r="1201" s="181" customFormat="1" x14ac:dyDescent="0.2"/>
    <row r="1202" s="181" customFormat="1" x14ac:dyDescent="0.2"/>
    <row r="1203" s="181" customFormat="1" x14ac:dyDescent="0.2"/>
    <row r="1204" s="181" customFormat="1" x14ac:dyDescent="0.2"/>
    <row r="1205" s="181" customFormat="1" x14ac:dyDescent="0.2"/>
    <row r="1206" s="181" customFormat="1" x14ac:dyDescent="0.2"/>
    <row r="1207" s="181" customFormat="1" x14ac:dyDescent="0.2"/>
    <row r="1208" s="181" customFormat="1" x14ac:dyDescent="0.2"/>
    <row r="1209" s="181" customFormat="1" x14ac:dyDescent="0.2"/>
    <row r="1210" s="181" customFormat="1" x14ac:dyDescent="0.2"/>
    <row r="1211" s="181" customFormat="1" x14ac:dyDescent="0.2"/>
    <row r="1212" s="181" customFormat="1" x14ac:dyDescent="0.2"/>
    <row r="1213" s="181" customFormat="1" x14ac:dyDescent="0.2"/>
    <row r="1214" s="181" customFormat="1" x14ac:dyDescent="0.2"/>
    <row r="1215" s="181" customFormat="1" x14ac:dyDescent="0.2"/>
    <row r="1216" s="181" customFormat="1" x14ac:dyDescent="0.2"/>
    <row r="1217" s="181" customFormat="1" x14ac:dyDescent="0.2"/>
    <row r="1218" s="181" customFormat="1" x14ac:dyDescent="0.2"/>
    <row r="1219" s="181" customFormat="1" x14ac:dyDescent="0.2"/>
    <row r="1220" s="181" customFormat="1" x14ac:dyDescent="0.2"/>
    <row r="1221" s="181" customFormat="1" x14ac:dyDescent="0.2"/>
    <row r="1222" s="181" customFormat="1" x14ac:dyDescent="0.2"/>
    <row r="1223" s="181" customFormat="1" x14ac:dyDescent="0.2"/>
    <row r="1224" s="181" customFormat="1" x14ac:dyDescent="0.2"/>
    <row r="1225" s="181" customFormat="1" x14ac:dyDescent="0.2"/>
    <row r="1226" s="181" customFormat="1" x14ac:dyDescent="0.2"/>
    <row r="1227" s="181" customFormat="1" x14ac:dyDescent="0.2"/>
    <row r="1228" s="181" customFormat="1" x14ac:dyDescent="0.2"/>
    <row r="1229" s="181" customFormat="1" x14ac:dyDescent="0.2"/>
    <row r="1230" s="181" customFormat="1" x14ac:dyDescent="0.2"/>
    <row r="1231" s="181" customFormat="1" x14ac:dyDescent="0.2"/>
    <row r="1232" s="181" customFormat="1" x14ac:dyDescent="0.2"/>
    <row r="1233" s="181" customFormat="1" x14ac:dyDescent="0.2"/>
    <row r="1234" s="181" customFormat="1" x14ac:dyDescent="0.2"/>
    <row r="1235" s="181" customFormat="1" x14ac:dyDescent="0.2"/>
    <row r="1236" s="181" customFormat="1" x14ac:dyDescent="0.2"/>
    <row r="1237" s="181" customFormat="1" x14ac:dyDescent="0.2"/>
    <row r="1238" s="181" customFormat="1" x14ac:dyDescent="0.2"/>
    <row r="1239" s="181" customFormat="1" x14ac:dyDescent="0.2"/>
    <row r="1240" s="181" customFormat="1" x14ac:dyDescent="0.2"/>
    <row r="1241" s="181" customFormat="1" x14ac:dyDescent="0.2"/>
    <row r="1242" s="181" customFormat="1" x14ac:dyDescent="0.2"/>
    <row r="1243" s="181" customFormat="1" x14ac:dyDescent="0.2"/>
    <row r="1244" s="181" customFormat="1" x14ac:dyDescent="0.2"/>
    <row r="1245" s="181" customFormat="1" x14ac:dyDescent="0.2"/>
    <row r="1246" s="181" customFormat="1" x14ac:dyDescent="0.2"/>
    <row r="1247" s="181" customFormat="1" x14ac:dyDescent="0.2"/>
    <row r="1248" s="181" customFormat="1" x14ac:dyDescent="0.2"/>
    <row r="1249" s="181" customFormat="1" x14ac:dyDescent="0.2"/>
    <row r="1250" s="181" customFormat="1" x14ac:dyDescent="0.2"/>
    <row r="1251" s="181" customFormat="1" x14ac:dyDescent="0.2"/>
    <row r="1252" s="181" customFormat="1" x14ac:dyDescent="0.2"/>
    <row r="1253" s="181" customFormat="1" x14ac:dyDescent="0.2"/>
    <row r="1254" s="181" customFormat="1" x14ac:dyDescent="0.2"/>
    <row r="1255" s="181" customFormat="1" x14ac:dyDescent="0.2"/>
    <row r="1256" s="181" customFormat="1" x14ac:dyDescent="0.2"/>
    <row r="1257" s="181" customFormat="1" x14ac:dyDescent="0.2"/>
    <row r="1258" s="181" customFormat="1" x14ac:dyDescent="0.2"/>
    <row r="1259" s="181" customFormat="1" x14ac:dyDescent="0.2"/>
    <row r="1260" s="181" customFormat="1" x14ac:dyDescent="0.2"/>
    <row r="1261" s="181" customFormat="1" x14ac:dyDescent="0.2"/>
    <row r="1262" s="181" customFormat="1" x14ac:dyDescent="0.2"/>
    <row r="1263" s="181" customFormat="1" x14ac:dyDescent="0.2"/>
    <row r="1264" s="181" customFormat="1" x14ac:dyDescent="0.2"/>
    <row r="1265" s="181" customFormat="1" x14ac:dyDescent="0.2"/>
    <row r="1266" s="181" customFormat="1" x14ac:dyDescent="0.2"/>
    <row r="1267" s="181" customFormat="1" x14ac:dyDescent="0.2"/>
    <row r="1268" s="181" customFormat="1" x14ac:dyDescent="0.2"/>
    <row r="1269" s="181" customFormat="1" x14ac:dyDescent="0.2"/>
    <row r="1270" s="181" customFormat="1" x14ac:dyDescent="0.2"/>
    <row r="1271" s="181" customFormat="1" x14ac:dyDescent="0.2"/>
    <row r="1272" s="181" customFormat="1" x14ac:dyDescent="0.2"/>
    <row r="1273" s="181" customFormat="1" x14ac:dyDescent="0.2"/>
    <row r="1274" s="181" customFormat="1" x14ac:dyDescent="0.2"/>
    <row r="1275" s="181" customFormat="1" x14ac:dyDescent="0.2"/>
    <row r="1276" s="181" customFormat="1" x14ac:dyDescent="0.2"/>
    <row r="1277" s="181" customFormat="1" x14ac:dyDescent="0.2"/>
    <row r="1278" s="181" customFormat="1" x14ac:dyDescent="0.2"/>
    <row r="1279" s="181" customFormat="1" x14ac:dyDescent="0.2"/>
    <row r="1280" s="181" customFormat="1" x14ac:dyDescent="0.2"/>
    <row r="1281" s="181" customFormat="1" x14ac:dyDescent="0.2"/>
    <row r="1282" s="181" customFormat="1" x14ac:dyDescent="0.2"/>
    <row r="1283" s="181" customFormat="1" x14ac:dyDescent="0.2"/>
    <row r="1284" s="181" customFormat="1" x14ac:dyDescent="0.2"/>
    <row r="1285" s="181" customFormat="1" x14ac:dyDescent="0.2"/>
    <row r="1286" s="181" customFormat="1" x14ac:dyDescent="0.2"/>
    <row r="1287" s="181" customFormat="1" x14ac:dyDescent="0.2"/>
    <row r="1288" s="181" customFormat="1" x14ac:dyDescent="0.2"/>
    <row r="1289" s="181" customFormat="1" x14ac:dyDescent="0.2"/>
    <row r="1290" s="181" customFormat="1" x14ac:dyDescent="0.2"/>
    <row r="1291" s="181" customFormat="1" x14ac:dyDescent="0.2"/>
    <row r="1292" s="181" customFormat="1" x14ac:dyDescent="0.2"/>
    <row r="1293" s="181" customFormat="1" x14ac:dyDescent="0.2"/>
    <row r="1294" s="181" customFormat="1" x14ac:dyDescent="0.2"/>
    <row r="1295" s="181" customFormat="1" x14ac:dyDescent="0.2"/>
    <row r="1296" s="181" customFormat="1" x14ac:dyDescent="0.2"/>
    <row r="1297" s="181" customFormat="1" x14ac:dyDescent="0.2"/>
    <row r="1298" s="181" customFormat="1" x14ac:dyDescent="0.2"/>
    <row r="1299" s="181" customFormat="1" x14ac:dyDescent="0.2"/>
    <row r="1300" s="181" customFormat="1" x14ac:dyDescent="0.2"/>
    <row r="1301" s="181" customFormat="1" x14ac:dyDescent="0.2"/>
    <row r="1302" s="181" customFormat="1" x14ac:dyDescent="0.2"/>
    <row r="1303" s="181" customFormat="1" x14ac:dyDescent="0.2"/>
    <row r="1304" s="181" customFormat="1" x14ac:dyDescent="0.2"/>
    <row r="1305" s="181" customFormat="1" x14ac:dyDescent="0.2"/>
    <row r="1306" s="181" customFormat="1" x14ac:dyDescent="0.2"/>
    <row r="1307" s="181" customFormat="1" x14ac:dyDescent="0.2"/>
    <row r="1308" s="181" customFormat="1" x14ac:dyDescent="0.2"/>
    <row r="1309" s="181" customFormat="1" x14ac:dyDescent="0.2"/>
    <row r="1310" s="181" customFormat="1" x14ac:dyDescent="0.2"/>
    <row r="1311" s="181" customFormat="1" x14ac:dyDescent="0.2"/>
    <row r="1312" s="181" customFormat="1" x14ac:dyDescent="0.2"/>
    <row r="1313" s="181" customFormat="1" x14ac:dyDescent="0.2"/>
    <row r="1314" s="181" customFormat="1" x14ac:dyDescent="0.2"/>
    <row r="1315" s="181" customFormat="1" x14ac:dyDescent="0.2"/>
    <row r="1316" s="181" customFormat="1" x14ac:dyDescent="0.2"/>
    <row r="1317" s="181" customFormat="1" x14ac:dyDescent="0.2"/>
    <row r="1318" s="181" customFormat="1" x14ac:dyDescent="0.2"/>
    <row r="1319" s="181" customFormat="1" x14ac:dyDescent="0.2"/>
    <row r="1320" s="181" customFormat="1" x14ac:dyDescent="0.2"/>
    <row r="1321" s="181" customFormat="1" x14ac:dyDescent="0.2"/>
    <row r="1322" s="181" customFormat="1" x14ac:dyDescent="0.2"/>
    <row r="1323" s="181" customFormat="1" x14ac:dyDescent="0.2"/>
    <row r="1324" s="181" customFormat="1" x14ac:dyDescent="0.2"/>
    <row r="1325" s="181" customFormat="1" x14ac:dyDescent="0.2"/>
    <row r="1326" s="181" customFormat="1" x14ac:dyDescent="0.2"/>
    <row r="1327" s="181" customFormat="1" x14ac:dyDescent="0.2"/>
    <row r="1328" s="181" customFormat="1" x14ac:dyDescent="0.2"/>
    <row r="1329" s="181" customFormat="1" x14ac:dyDescent="0.2"/>
    <row r="1330" s="181" customFormat="1" x14ac:dyDescent="0.2"/>
    <row r="1331" s="181" customFormat="1" x14ac:dyDescent="0.2"/>
    <row r="1332" s="181" customFormat="1" x14ac:dyDescent="0.2"/>
    <row r="1333" s="181" customFormat="1" x14ac:dyDescent="0.2"/>
    <row r="1334" s="181" customFormat="1" x14ac:dyDescent="0.2"/>
    <row r="1335" s="181" customFormat="1" x14ac:dyDescent="0.2"/>
    <row r="1336" s="181" customFormat="1" x14ac:dyDescent="0.2"/>
    <row r="1337" s="181" customFormat="1" x14ac:dyDescent="0.2"/>
    <row r="1338" s="181" customFormat="1" x14ac:dyDescent="0.2"/>
    <row r="1339" s="181" customFormat="1" x14ac:dyDescent="0.2"/>
    <row r="1340" s="181" customFormat="1" x14ac:dyDescent="0.2"/>
    <row r="1341" s="181" customFormat="1" x14ac:dyDescent="0.2"/>
    <row r="1342" s="181" customFormat="1" x14ac:dyDescent="0.2"/>
    <row r="1343" s="181" customFormat="1" x14ac:dyDescent="0.2"/>
    <row r="1344" s="181" customFormat="1" x14ac:dyDescent="0.2"/>
    <row r="1345" s="181" customFormat="1" x14ac:dyDescent="0.2"/>
    <row r="1346" s="181" customFormat="1" x14ac:dyDescent="0.2"/>
    <row r="1347" s="181" customFormat="1" x14ac:dyDescent="0.2"/>
    <row r="1348" s="181" customFormat="1" x14ac:dyDescent="0.2"/>
    <row r="1349" s="181" customFormat="1" x14ac:dyDescent="0.2"/>
    <row r="1350" s="181" customFormat="1" x14ac:dyDescent="0.2"/>
    <row r="1351" s="181" customFormat="1" x14ac:dyDescent="0.2"/>
    <row r="1352" s="181" customFormat="1" x14ac:dyDescent="0.2"/>
    <row r="1353" s="181" customFormat="1" x14ac:dyDescent="0.2"/>
    <row r="1354" s="181" customFormat="1" x14ac:dyDescent="0.2"/>
    <row r="1355" s="181" customFormat="1" x14ac:dyDescent="0.2"/>
    <row r="1356" s="181" customFormat="1" x14ac:dyDescent="0.2"/>
    <row r="1357" s="181" customFormat="1" x14ac:dyDescent="0.2"/>
    <row r="1358" s="181" customFormat="1" x14ac:dyDescent="0.2"/>
    <row r="1359" s="181" customFormat="1" x14ac:dyDescent="0.2"/>
    <row r="1360" s="181" customFormat="1" x14ac:dyDescent="0.2"/>
    <row r="1361" s="181" customFormat="1" x14ac:dyDescent="0.2"/>
    <row r="1362" s="181" customFormat="1" x14ac:dyDescent="0.2"/>
    <row r="1363" s="181" customFormat="1" x14ac:dyDescent="0.2"/>
    <row r="1364" s="181" customFormat="1" x14ac:dyDescent="0.2"/>
    <row r="1365" s="181" customFormat="1" x14ac:dyDescent="0.2"/>
    <row r="1366" s="181" customFormat="1" x14ac:dyDescent="0.2"/>
    <row r="1367" s="181" customFormat="1" x14ac:dyDescent="0.2"/>
    <row r="1368" s="181" customFormat="1" x14ac:dyDescent="0.2"/>
    <row r="1369" s="181" customFormat="1" x14ac:dyDescent="0.2"/>
    <row r="1370" s="181" customFormat="1" x14ac:dyDescent="0.2"/>
    <row r="1371" s="181" customFormat="1" x14ac:dyDescent="0.2"/>
    <row r="1372" s="181" customFormat="1" x14ac:dyDescent="0.2"/>
    <row r="1373" s="181" customFormat="1" x14ac:dyDescent="0.2"/>
    <row r="1374" s="181" customFormat="1" x14ac:dyDescent="0.2"/>
    <row r="1375" s="181" customFormat="1" x14ac:dyDescent="0.2"/>
    <row r="1376" s="181" customFormat="1" x14ac:dyDescent="0.2"/>
    <row r="1377" s="181" customFormat="1" x14ac:dyDescent="0.2"/>
    <row r="1378" s="181" customFormat="1" x14ac:dyDescent="0.2"/>
    <row r="1379" s="181" customFormat="1" x14ac:dyDescent="0.2"/>
    <row r="1380" s="181" customFormat="1" x14ac:dyDescent="0.2"/>
    <row r="1381" s="181" customFormat="1" x14ac:dyDescent="0.2"/>
    <row r="1382" s="181" customFormat="1" x14ac:dyDescent="0.2"/>
    <row r="1383" s="181" customFormat="1" x14ac:dyDescent="0.2"/>
    <row r="1384" s="181" customFormat="1" x14ac:dyDescent="0.2"/>
    <row r="1385" s="181" customFormat="1" x14ac:dyDescent="0.2"/>
    <row r="1386" s="181" customFormat="1" x14ac:dyDescent="0.2"/>
    <row r="1387" s="181" customFormat="1" x14ac:dyDescent="0.2"/>
    <row r="1388" s="181" customFormat="1" x14ac:dyDescent="0.2"/>
    <row r="1389" s="181" customFormat="1" x14ac:dyDescent="0.2"/>
    <row r="1390" s="181" customFormat="1" x14ac:dyDescent="0.2"/>
    <row r="1391" s="181" customFormat="1" x14ac:dyDescent="0.2"/>
    <row r="1392" s="181" customFormat="1" x14ac:dyDescent="0.2"/>
    <row r="1393" s="181" customFormat="1" x14ac:dyDescent="0.2"/>
    <row r="1394" s="181" customFormat="1" x14ac:dyDescent="0.2"/>
    <row r="1395" s="181" customFormat="1" x14ac:dyDescent="0.2"/>
    <row r="1396" s="181" customFormat="1" x14ac:dyDescent="0.2"/>
    <row r="1397" s="181" customFormat="1" x14ac:dyDescent="0.2"/>
    <row r="1398" s="181" customFormat="1" x14ac:dyDescent="0.2"/>
    <row r="1399" s="181" customFormat="1" x14ac:dyDescent="0.2"/>
    <row r="1400" s="181" customFormat="1" x14ac:dyDescent="0.2"/>
    <row r="1401" s="181" customFormat="1" x14ac:dyDescent="0.2"/>
    <row r="1402" s="181" customFormat="1" x14ac:dyDescent="0.2"/>
    <row r="1403" s="181" customFormat="1" x14ac:dyDescent="0.2"/>
    <row r="1404" s="181" customFormat="1" x14ac:dyDescent="0.2"/>
    <row r="1405" s="181" customFormat="1" x14ac:dyDescent="0.2"/>
    <row r="1406" s="181" customFormat="1" x14ac:dyDescent="0.2"/>
    <row r="1407" s="181" customFormat="1" x14ac:dyDescent="0.2"/>
    <row r="1408" s="181" customFormat="1" x14ac:dyDescent="0.2"/>
    <row r="1409" s="181" customFormat="1" x14ac:dyDescent="0.2"/>
    <row r="1410" s="181" customFormat="1" x14ac:dyDescent="0.2"/>
    <row r="1411" s="181" customFormat="1" x14ac:dyDescent="0.2"/>
    <row r="1412" s="181" customFormat="1" x14ac:dyDescent="0.2"/>
    <row r="1413" s="181" customFormat="1" x14ac:dyDescent="0.2"/>
    <row r="1414" s="181" customFormat="1" x14ac:dyDescent="0.2"/>
    <row r="1415" s="181" customFormat="1" x14ac:dyDescent="0.2"/>
    <row r="1416" s="181" customFormat="1" x14ac:dyDescent="0.2"/>
    <row r="1417" s="181" customFormat="1" x14ac:dyDescent="0.2"/>
    <row r="1418" s="181" customFormat="1" x14ac:dyDescent="0.2"/>
    <row r="1419" s="181" customFormat="1" x14ac:dyDescent="0.2"/>
    <row r="1420" s="181" customFormat="1" x14ac:dyDescent="0.2"/>
    <row r="1421" s="181" customFormat="1" x14ac:dyDescent="0.2"/>
    <row r="1422" s="181" customFormat="1" x14ac:dyDescent="0.2"/>
    <row r="1423" s="181" customFormat="1" x14ac:dyDescent="0.2"/>
    <row r="1424" s="181" customFormat="1" x14ac:dyDescent="0.2"/>
    <row r="1425" s="181" customFormat="1" x14ac:dyDescent="0.2"/>
    <row r="1426" s="181" customFormat="1" x14ac:dyDescent="0.2"/>
    <row r="1427" s="181" customFormat="1" x14ac:dyDescent="0.2"/>
    <row r="1428" s="181" customFormat="1" x14ac:dyDescent="0.2"/>
    <row r="1429" s="181" customFormat="1" x14ac:dyDescent="0.2"/>
    <row r="1430" s="181" customFormat="1" x14ac:dyDescent="0.2"/>
    <row r="1431" s="181" customFormat="1" x14ac:dyDescent="0.2"/>
    <row r="1432" s="181" customFormat="1" x14ac:dyDescent="0.2"/>
    <row r="1433" s="181" customFormat="1" x14ac:dyDescent="0.2"/>
    <row r="1434" s="181" customFormat="1" x14ac:dyDescent="0.2"/>
    <row r="1435" s="181" customFormat="1" x14ac:dyDescent="0.2"/>
    <row r="1436" s="181" customFormat="1" x14ac:dyDescent="0.2"/>
    <row r="1437" s="181" customFormat="1" x14ac:dyDescent="0.2"/>
    <row r="1438" s="181" customFormat="1" x14ac:dyDescent="0.2"/>
    <row r="1439" s="181" customFormat="1" x14ac:dyDescent="0.2"/>
    <row r="1440" s="181" customFormat="1" x14ac:dyDescent="0.2"/>
    <row r="1441" s="181" customFormat="1" x14ac:dyDescent="0.2"/>
    <row r="1442" s="181" customFormat="1" x14ac:dyDescent="0.2"/>
    <row r="1443" s="181" customFormat="1" x14ac:dyDescent="0.2"/>
    <row r="1444" s="181" customFormat="1" x14ac:dyDescent="0.2"/>
    <row r="1445" s="181" customFormat="1" x14ac:dyDescent="0.2"/>
    <row r="1446" s="181" customFormat="1" x14ac:dyDescent="0.2"/>
    <row r="1447" s="181" customFormat="1" x14ac:dyDescent="0.2"/>
    <row r="1448" s="181" customFormat="1" x14ac:dyDescent="0.2"/>
    <row r="1449" s="181" customFormat="1" x14ac:dyDescent="0.2"/>
    <row r="1450" s="181" customFormat="1" x14ac:dyDescent="0.2"/>
    <row r="1451" s="181" customFormat="1" x14ac:dyDescent="0.2"/>
    <row r="1452" s="181" customFormat="1" x14ac:dyDescent="0.2"/>
    <row r="1453" s="181" customFormat="1" x14ac:dyDescent="0.2"/>
    <row r="1454" s="181" customFormat="1" x14ac:dyDescent="0.2"/>
    <row r="1455" s="181" customFormat="1" x14ac:dyDescent="0.2"/>
    <row r="1456" s="181" customFormat="1" x14ac:dyDescent="0.2"/>
    <row r="1457" s="181" customFormat="1" x14ac:dyDescent="0.2"/>
    <row r="1458" s="181" customFormat="1" x14ac:dyDescent="0.2"/>
    <row r="1459" s="181" customFormat="1" x14ac:dyDescent="0.2"/>
    <row r="1460" s="181" customFormat="1" x14ac:dyDescent="0.2"/>
    <row r="1461" s="181" customFormat="1" x14ac:dyDescent="0.2"/>
    <row r="1462" s="181" customFormat="1" x14ac:dyDescent="0.2"/>
    <row r="1463" s="181" customFormat="1" x14ac:dyDescent="0.2"/>
    <row r="1464" s="181" customFormat="1" x14ac:dyDescent="0.2"/>
    <row r="1465" s="181" customFormat="1" x14ac:dyDescent="0.2"/>
    <row r="1466" s="181" customFormat="1" x14ac:dyDescent="0.2"/>
    <row r="1467" s="181" customFormat="1" x14ac:dyDescent="0.2"/>
    <row r="1468" s="181" customFormat="1" x14ac:dyDescent="0.2"/>
    <row r="1469" s="181" customFormat="1" x14ac:dyDescent="0.2"/>
    <row r="1470" s="181" customFormat="1" x14ac:dyDescent="0.2"/>
    <row r="1471" s="181" customFormat="1" x14ac:dyDescent="0.2"/>
    <row r="1472" s="181" customFormat="1" x14ac:dyDescent="0.2"/>
    <row r="1473" s="181" customFormat="1" x14ac:dyDescent="0.2"/>
    <row r="1474" s="181" customFormat="1" x14ac:dyDescent="0.2"/>
    <row r="1475" s="181" customFormat="1" x14ac:dyDescent="0.2"/>
    <row r="1476" s="181" customFormat="1" x14ac:dyDescent="0.2"/>
    <row r="1477" s="181" customFormat="1" x14ac:dyDescent="0.2"/>
    <row r="1478" s="181" customFormat="1" x14ac:dyDescent="0.2"/>
    <row r="1479" s="181" customFormat="1" x14ac:dyDescent="0.2"/>
    <row r="1480" s="181" customFormat="1" x14ac:dyDescent="0.2"/>
    <row r="1481" s="181" customFormat="1" x14ac:dyDescent="0.2"/>
    <row r="1482" s="181" customFormat="1" x14ac:dyDescent="0.2"/>
    <row r="1483" s="181" customFormat="1" x14ac:dyDescent="0.2"/>
    <row r="1484" s="181" customFormat="1" x14ac:dyDescent="0.2"/>
    <row r="1485" s="181" customFormat="1" x14ac:dyDescent="0.2"/>
    <row r="1486" s="181" customFormat="1" x14ac:dyDescent="0.2"/>
    <row r="1487" s="181" customFormat="1" x14ac:dyDescent="0.2"/>
    <row r="1488" s="181" customFormat="1" x14ac:dyDescent="0.2"/>
    <row r="1489" s="181" customFormat="1" x14ac:dyDescent="0.2"/>
    <row r="1490" s="181" customFormat="1" x14ac:dyDescent="0.2"/>
    <row r="1491" s="181" customFormat="1" x14ac:dyDescent="0.2"/>
    <row r="1492" s="181" customFormat="1" x14ac:dyDescent="0.2"/>
    <row r="1493" s="181" customFormat="1" x14ac:dyDescent="0.2"/>
    <row r="1494" s="181" customFormat="1" x14ac:dyDescent="0.2"/>
    <row r="1495" s="181" customFormat="1" x14ac:dyDescent="0.2"/>
    <row r="1496" s="181" customFormat="1" x14ac:dyDescent="0.2"/>
    <row r="1497" s="181" customFormat="1" x14ac:dyDescent="0.2"/>
    <row r="1498" s="181" customFormat="1" x14ac:dyDescent="0.2"/>
    <row r="1499" s="181" customFormat="1" x14ac:dyDescent="0.2"/>
    <row r="1500" s="181" customFormat="1" x14ac:dyDescent="0.2"/>
    <row r="1501" s="181" customFormat="1" x14ac:dyDescent="0.2"/>
    <row r="1502" s="181" customFormat="1" x14ac:dyDescent="0.2"/>
    <row r="1503" s="181" customFormat="1" x14ac:dyDescent="0.2"/>
    <row r="1504" s="181" customFormat="1" x14ac:dyDescent="0.2"/>
    <row r="1505" s="181" customFormat="1" x14ac:dyDescent="0.2"/>
    <row r="1506" s="181" customFormat="1" x14ac:dyDescent="0.2"/>
    <row r="1507" s="181" customFormat="1" x14ac:dyDescent="0.2"/>
    <row r="1508" s="181" customFormat="1" x14ac:dyDescent="0.2"/>
    <row r="1509" s="181" customFormat="1" x14ac:dyDescent="0.2"/>
    <row r="1510" s="181" customFormat="1" x14ac:dyDescent="0.2"/>
    <row r="1511" s="181" customFormat="1" x14ac:dyDescent="0.2"/>
    <row r="1512" s="181" customFormat="1" x14ac:dyDescent="0.2"/>
    <row r="1513" s="181" customFormat="1" x14ac:dyDescent="0.2"/>
    <row r="1514" s="181" customFormat="1" x14ac:dyDescent="0.2"/>
    <row r="1515" s="181" customFormat="1" x14ac:dyDescent="0.2"/>
    <row r="1516" s="181" customFormat="1" x14ac:dyDescent="0.2"/>
    <row r="1517" s="181" customFormat="1" x14ac:dyDescent="0.2"/>
    <row r="1518" s="181" customFormat="1" x14ac:dyDescent="0.2"/>
    <row r="1519" s="181" customFormat="1" x14ac:dyDescent="0.2"/>
    <row r="1520" s="181" customFormat="1" x14ac:dyDescent="0.2"/>
    <row r="1521" s="181" customFormat="1" x14ac:dyDescent="0.2"/>
    <row r="1522" s="181" customFormat="1" x14ac:dyDescent="0.2"/>
    <row r="1523" s="181" customFormat="1" x14ac:dyDescent="0.2"/>
    <row r="1524" s="181" customFormat="1" x14ac:dyDescent="0.2"/>
    <row r="1525" s="181" customFormat="1" x14ac:dyDescent="0.2"/>
    <row r="1526" s="181" customFormat="1" x14ac:dyDescent="0.2"/>
    <row r="1527" s="181" customFormat="1" x14ac:dyDescent="0.2"/>
    <row r="1528" s="181" customFormat="1" x14ac:dyDescent="0.2"/>
    <row r="1529" s="181" customFormat="1" x14ac:dyDescent="0.2"/>
    <row r="1530" s="181" customFormat="1" x14ac:dyDescent="0.2"/>
    <row r="1531" s="181" customFormat="1" x14ac:dyDescent="0.2"/>
    <row r="1532" s="181" customFormat="1" x14ac:dyDescent="0.2"/>
    <row r="1533" s="181" customFormat="1" x14ac:dyDescent="0.2"/>
    <row r="1534" s="181" customFormat="1" x14ac:dyDescent="0.2"/>
    <row r="1535" s="181" customFormat="1" x14ac:dyDescent="0.2"/>
    <row r="1536" s="181" customFormat="1" x14ac:dyDescent="0.2"/>
    <row r="1537" s="181" customFormat="1" x14ac:dyDescent="0.2"/>
    <row r="1538" s="181" customFormat="1" x14ac:dyDescent="0.2"/>
    <row r="1539" s="181" customFormat="1" x14ac:dyDescent="0.2"/>
    <row r="1540" s="181" customFormat="1" x14ac:dyDescent="0.2"/>
    <row r="1541" s="181" customFormat="1" x14ac:dyDescent="0.2"/>
    <row r="1542" s="181" customFormat="1" x14ac:dyDescent="0.2"/>
    <row r="1543" s="181" customFormat="1" x14ac:dyDescent="0.2"/>
    <row r="1544" s="181" customFormat="1" x14ac:dyDescent="0.2"/>
    <row r="1545" s="181" customFormat="1" x14ac:dyDescent="0.2"/>
    <row r="1546" s="181" customFormat="1" x14ac:dyDescent="0.2"/>
    <row r="1547" s="181" customFormat="1" x14ac:dyDescent="0.2"/>
    <row r="1548" s="181" customFormat="1" x14ac:dyDescent="0.2"/>
    <row r="1549" s="181" customFormat="1" x14ac:dyDescent="0.2"/>
    <row r="1550" s="181" customFormat="1" x14ac:dyDescent="0.2"/>
    <row r="1551" s="181" customFormat="1" x14ac:dyDescent="0.2"/>
    <row r="1552" s="181" customFormat="1" x14ac:dyDescent="0.2"/>
    <row r="1553" s="181" customFormat="1" x14ac:dyDescent="0.2"/>
    <row r="1554" s="181" customFormat="1" x14ac:dyDescent="0.2"/>
    <row r="1555" s="181" customFormat="1" x14ac:dyDescent="0.2"/>
    <row r="1556" s="181" customFormat="1" x14ac:dyDescent="0.2"/>
    <row r="1557" s="181" customFormat="1" x14ac:dyDescent="0.2"/>
    <row r="1558" s="181" customFormat="1" x14ac:dyDescent="0.2"/>
    <row r="1559" s="181" customFormat="1" x14ac:dyDescent="0.2"/>
    <row r="1560" s="181" customFormat="1" x14ac:dyDescent="0.2"/>
    <row r="1561" s="181" customFormat="1" x14ac:dyDescent="0.2"/>
    <row r="1562" s="181" customFormat="1" x14ac:dyDescent="0.2"/>
    <row r="1563" s="181" customFormat="1" x14ac:dyDescent="0.2"/>
    <row r="1564" s="181" customFormat="1" x14ac:dyDescent="0.2"/>
    <row r="1565" s="181" customFormat="1" x14ac:dyDescent="0.2"/>
    <row r="1566" s="181" customFormat="1" x14ac:dyDescent="0.2"/>
    <row r="1567" s="181" customFormat="1" x14ac:dyDescent="0.2"/>
    <row r="1568" s="181" customFormat="1" x14ac:dyDescent="0.2"/>
    <row r="1569" s="181" customFormat="1" x14ac:dyDescent="0.2"/>
    <row r="1570" s="181" customFormat="1" x14ac:dyDescent="0.2"/>
    <row r="1571" s="181" customFormat="1" x14ac:dyDescent="0.2"/>
    <row r="1572" s="181" customFormat="1" x14ac:dyDescent="0.2"/>
    <row r="1573" s="181" customFormat="1" x14ac:dyDescent="0.2"/>
    <row r="1574" s="181" customFormat="1" x14ac:dyDescent="0.2"/>
    <row r="1575" s="181" customFormat="1" x14ac:dyDescent="0.2"/>
    <row r="1576" s="181" customFormat="1" x14ac:dyDescent="0.2"/>
    <row r="1577" s="181" customFormat="1" x14ac:dyDescent="0.2"/>
    <row r="1578" s="181" customFormat="1" x14ac:dyDescent="0.2"/>
    <row r="1579" s="181" customFormat="1" x14ac:dyDescent="0.2"/>
    <row r="1580" s="181" customFormat="1" x14ac:dyDescent="0.2"/>
    <row r="1581" s="181" customFormat="1" x14ac:dyDescent="0.2"/>
    <row r="1582" s="181" customFormat="1" x14ac:dyDescent="0.2"/>
    <row r="1583" s="181" customFormat="1" x14ac:dyDescent="0.2"/>
    <row r="1584" s="181" customFormat="1" x14ac:dyDescent="0.2"/>
    <row r="1585" s="181" customFormat="1" x14ac:dyDescent="0.2"/>
    <row r="1586" s="181" customFormat="1" x14ac:dyDescent="0.2"/>
    <row r="1587" s="181" customFormat="1" x14ac:dyDescent="0.2"/>
    <row r="1588" s="181" customFormat="1" x14ac:dyDescent="0.2"/>
    <row r="1589" s="181" customFormat="1" x14ac:dyDescent="0.2"/>
    <row r="1590" s="181" customFormat="1" x14ac:dyDescent="0.2"/>
    <row r="1591" s="181" customFormat="1" x14ac:dyDescent="0.2"/>
    <row r="1592" s="181" customFormat="1" x14ac:dyDescent="0.2"/>
    <row r="1593" s="181" customFormat="1" x14ac:dyDescent="0.2"/>
    <row r="1594" s="181" customFormat="1" x14ac:dyDescent="0.2"/>
    <row r="1595" s="181" customFormat="1" x14ac:dyDescent="0.2"/>
    <row r="1596" s="181" customFormat="1" x14ac:dyDescent="0.2"/>
    <row r="1597" s="181" customFormat="1" x14ac:dyDescent="0.2"/>
    <row r="1598" s="181" customFormat="1" x14ac:dyDescent="0.2"/>
    <row r="1599" s="181" customFormat="1" x14ac:dyDescent="0.2"/>
    <row r="1600" s="181" customFormat="1" x14ac:dyDescent="0.2"/>
    <row r="1601" s="181" customFormat="1" x14ac:dyDescent="0.2"/>
    <row r="1602" s="181" customFormat="1" x14ac:dyDescent="0.2"/>
    <row r="1603" s="181" customFormat="1" x14ac:dyDescent="0.2"/>
    <row r="1604" s="181" customFormat="1" x14ac:dyDescent="0.2"/>
    <row r="1605" s="181" customFormat="1" x14ac:dyDescent="0.2"/>
    <row r="1606" s="181" customFormat="1" x14ac:dyDescent="0.2"/>
    <row r="1607" s="181" customFormat="1" x14ac:dyDescent="0.2"/>
    <row r="1608" s="181" customFormat="1" x14ac:dyDescent="0.2"/>
    <row r="1609" s="181" customFormat="1" x14ac:dyDescent="0.2"/>
    <row r="1610" s="181" customFormat="1" x14ac:dyDescent="0.2"/>
    <row r="1611" s="181" customFormat="1" x14ac:dyDescent="0.2"/>
    <row r="1612" s="181" customFormat="1" x14ac:dyDescent="0.2"/>
    <row r="1613" s="181" customFormat="1" x14ac:dyDescent="0.2"/>
    <row r="1614" s="181" customFormat="1" x14ac:dyDescent="0.2"/>
    <row r="1615" s="181" customFormat="1" x14ac:dyDescent="0.2"/>
    <row r="1616" s="181" customFormat="1" x14ac:dyDescent="0.2"/>
    <row r="1617" s="181" customFormat="1" x14ac:dyDescent="0.2"/>
    <row r="1618" s="181" customFormat="1" x14ac:dyDescent="0.2"/>
    <row r="1619" s="181" customFormat="1" x14ac:dyDescent="0.2"/>
    <row r="1620" s="181" customFormat="1" x14ac:dyDescent="0.2"/>
    <row r="1621" s="181" customFormat="1" x14ac:dyDescent="0.2"/>
    <row r="1622" s="181" customFormat="1" x14ac:dyDescent="0.2"/>
    <row r="1623" s="181" customFormat="1" x14ac:dyDescent="0.2"/>
    <row r="1624" s="181" customFormat="1" x14ac:dyDescent="0.2"/>
    <row r="1625" s="181" customFormat="1" x14ac:dyDescent="0.2"/>
    <row r="1626" s="181" customFormat="1" x14ac:dyDescent="0.2"/>
    <row r="1627" s="181" customFormat="1" x14ac:dyDescent="0.2"/>
    <row r="1628" s="181" customFormat="1" x14ac:dyDescent="0.2"/>
    <row r="1629" s="181" customFormat="1" x14ac:dyDescent="0.2"/>
    <row r="1630" s="181" customFormat="1" x14ac:dyDescent="0.2"/>
    <row r="1631" s="181" customFormat="1" x14ac:dyDescent="0.2"/>
    <row r="1632" s="181" customFormat="1" x14ac:dyDescent="0.2"/>
    <row r="1633" s="181" customFormat="1" x14ac:dyDescent="0.2"/>
    <row r="1634" s="181" customFormat="1" x14ac:dyDescent="0.2"/>
    <row r="1635" s="181" customFormat="1" x14ac:dyDescent="0.2"/>
    <row r="1636" s="181" customFormat="1" x14ac:dyDescent="0.2"/>
    <row r="1637" s="181" customFormat="1" x14ac:dyDescent="0.2"/>
    <row r="1638" s="181" customFormat="1" x14ac:dyDescent="0.2"/>
    <row r="1639" s="181" customFormat="1" x14ac:dyDescent="0.2"/>
    <row r="1640" s="181" customFormat="1" x14ac:dyDescent="0.2"/>
    <row r="1641" s="181" customFormat="1" x14ac:dyDescent="0.2"/>
    <row r="1642" s="181" customFormat="1" x14ac:dyDescent="0.2"/>
    <row r="1643" s="181" customFormat="1" x14ac:dyDescent="0.2"/>
    <row r="1644" s="181" customFormat="1" x14ac:dyDescent="0.2"/>
    <row r="1645" s="181" customFormat="1" x14ac:dyDescent="0.2"/>
    <row r="1646" s="181" customFormat="1" x14ac:dyDescent="0.2"/>
    <row r="1647" s="181" customFormat="1" x14ac:dyDescent="0.2"/>
    <row r="1648" s="181" customFormat="1" x14ac:dyDescent="0.2"/>
    <row r="1649" s="181" customFormat="1" x14ac:dyDescent="0.2"/>
    <row r="1650" s="181" customFormat="1" x14ac:dyDescent="0.2"/>
    <row r="1651" s="181" customFormat="1" x14ac:dyDescent="0.2"/>
    <row r="1652" s="181" customFormat="1" x14ac:dyDescent="0.2"/>
    <row r="1653" s="181" customFormat="1" x14ac:dyDescent="0.2"/>
    <row r="1654" s="181" customFormat="1" x14ac:dyDescent="0.2"/>
    <row r="1655" s="181" customFormat="1" x14ac:dyDescent="0.2"/>
    <row r="1656" s="181" customFormat="1" x14ac:dyDescent="0.2"/>
    <row r="1657" s="181" customFormat="1" x14ac:dyDescent="0.2"/>
    <row r="1658" s="181" customFormat="1" x14ac:dyDescent="0.2"/>
    <row r="1659" s="181" customFormat="1" x14ac:dyDescent="0.2"/>
    <row r="1660" s="181" customFormat="1" x14ac:dyDescent="0.2"/>
    <row r="1661" s="181" customFormat="1" x14ac:dyDescent="0.2"/>
    <row r="1662" s="181" customFormat="1" x14ac:dyDescent="0.2"/>
    <row r="1663" s="181" customFormat="1" x14ac:dyDescent="0.2"/>
    <row r="1664" s="181" customFormat="1" x14ac:dyDescent="0.2"/>
    <row r="1665" s="181" customFormat="1" x14ac:dyDescent="0.2"/>
    <row r="1666" s="181" customFormat="1" x14ac:dyDescent="0.2"/>
    <row r="1667" s="181" customFormat="1" x14ac:dyDescent="0.2"/>
    <row r="1668" s="181" customFormat="1" x14ac:dyDescent="0.2"/>
    <row r="1669" s="181" customFormat="1" x14ac:dyDescent="0.2"/>
    <row r="1670" s="181" customFormat="1" x14ac:dyDescent="0.2"/>
    <row r="1671" s="181" customFormat="1" x14ac:dyDescent="0.2"/>
    <row r="1672" s="181" customFormat="1" x14ac:dyDescent="0.2"/>
    <row r="1673" s="181" customFormat="1" x14ac:dyDescent="0.2"/>
    <row r="1674" s="181" customFormat="1" x14ac:dyDescent="0.2"/>
    <row r="1675" s="181" customFormat="1" x14ac:dyDescent="0.2"/>
    <row r="1676" s="181" customFormat="1" x14ac:dyDescent="0.2"/>
    <row r="1677" s="181" customFormat="1" x14ac:dyDescent="0.2"/>
    <row r="1678" s="181" customFormat="1" x14ac:dyDescent="0.2"/>
    <row r="1679" s="181" customFormat="1" x14ac:dyDescent="0.2"/>
    <row r="1680" s="181" customFormat="1" x14ac:dyDescent="0.2"/>
    <row r="1681" s="181" customFormat="1" x14ac:dyDescent="0.2"/>
    <row r="1682" s="181" customFormat="1" x14ac:dyDescent="0.2"/>
    <row r="1683" s="181" customFormat="1" x14ac:dyDescent="0.2"/>
    <row r="1684" s="181" customFormat="1" x14ac:dyDescent="0.2"/>
    <row r="1685" s="181" customFormat="1" x14ac:dyDescent="0.2"/>
    <row r="1686" s="181" customFormat="1" x14ac:dyDescent="0.2"/>
    <row r="1687" s="181" customFormat="1" x14ac:dyDescent="0.2"/>
    <row r="1688" s="181" customFormat="1" x14ac:dyDescent="0.2"/>
    <row r="1689" s="181" customFormat="1" x14ac:dyDescent="0.2"/>
    <row r="1690" s="181" customFormat="1" x14ac:dyDescent="0.2"/>
    <row r="1691" s="181" customFormat="1" x14ac:dyDescent="0.2"/>
    <row r="1692" s="181" customFormat="1" x14ac:dyDescent="0.2"/>
    <row r="1693" s="181" customFormat="1" x14ac:dyDescent="0.2"/>
    <row r="1694" s="181" customFormat="1" x14ac:dyDescent="0.2"/>
    <row r="1695" s="181" customFormat="1" x14ac:dyDescent="0.2"/>
    <row r="1696" s="181" customFormat="1" x14ac:dyDescent="0.2"/>
    <row r="1697" s="181" customFormat="1" x14ac:dyDescent="0.2"/>
    <row r="1698" s="181" customFormat="1" x14ac:dyDescent="0.2"/>
    <row r="1699" s="181" customFormat="1" x14ac:dyDescent="0.2"/>
    <row r="1700" s="181" customFormat="1" x14ac:dyDescent="0.2"/>
    <row r="1701" s="181" customFormat="1" x14ac:dyDescent="0.2"/>
    <row r="1702" s="181" customFormat="1" x14ac:dyDescent="0.2"/>
    <row r="1703" s="181" customFormat="1" x14ac:dyDescent="0.2"/>
    <row r="1704" s="181" customFormat="1" x14ac:dyDescent="0.2"/>
    <row r="1705" s="181" customFormat="1" x14ac:dyDescent="0.2"/>
    <row r="1706" s="181" customFormat="1" x14ac:dyDescent="0.2"/>
    <row r="1707" s="181" customFormat="1" x14ac:dyDescent="0.2"/>
    <row r="1708" s="181" customFormat="1" x14ac:dyDescent="0.2"/>
    <row r="1709" s="181" customFormat="1" x14ac:dyDescent="0.2"/>
    <row r="1710" s="181" customFormat="1" x14ac:dyDescent="0.2"/>
    <row r="1711" s="181" customFormat="1" x14ac:dyDescent="0.2"/>
    <row r="1712" s="181" customFormat="1" x14ac:dyDescent="0.2"/>
    <row r="1713" s="181" customFormat="1" x14ac:dyDescent="0.2"/>
    <row r="1714" s="181" customFormat="1" x14ac:dyDescent="0.2"/>
    <row r="1715" s="181" customFormat="1" x14ac:dyDescent="0.2"/>
    <row r="1716" s="181" customFormat="1" x14ac:dyDescent="0.2"/>
    <row r="1717" s="181" customFormat="1" x14ac:dyDescent="0.2"/>
    <row r="1718" s="181" customFormat="1" x14ac:dyDescent="0.2"/>
    <row r="1719" s="181" customFormat="1" x14ac:dyDescent="0.2"/>
    <row r="1720" s="181" customFormat="1" x14ac:dyDescent="0.2"/>
    <row r="1721" s="181" customFormat="1" x14ac:dyDescent="0.2"/>
    <row r="1722" s="181" customFormat="1" x14ac:dyDescent="0.2"/>
    <row r="1723" s="181" customFormat="1" x14ac:dyDescent="0.2"/>
    <row r="1724" s="181" customFormat="1" x14ac:dyDescent="0.2"/>
    <row r="1725" s="181" customFormat="1" x14ac:dyDescent="0.2"/>
    <row r="1726" s="181" customFormat="1" x14ac:dyDescent="0.2"/>
    <row r="1727" s="181" customFormat="1" x14ac:dyDescent="0.2"/>
    <row r="1728" s="181" customFormat="1" x14ac:dyDescent="0.2"/>
    <row r="1729" s="181" customFormat="1" x14ac:dyDescent="0.2"/>
    <row r="1730" s="181" customFormat="1" x14ac:dyDescent="0.2"/>
    <row r="1731" s="181" customFormat="1" x14ac:dyDescent="0.2"/>
    <row r="1732" s="181" customFormat="1" x14ac:dyDescent="0.2"/>
    <row r="1733" s="181" customFormat="1" x14ac:dyDescent="0.2"/>
    <row r="1734" s="181" customFormat="1" x14ac:dyDescent="0.2"/>
    <row r="1735" s="181" customFormat="1" x14ac:dyDescent="0.2"/>
    <row r="1736" s="181" customFormat="1" x14ac:dyDescent="0.2"/>
    <row r="1737" s="181" customFormat="1" x14ac:dyDescent="0.2"/>
    <row r="1738" s="181" customFormat="1" x14ac:dyDescent="0.2"/>
    <row r="1739" s="181" customFormat="1" x14ac:dyDescent="0.2"/>
    <row r="1740" s="181" customFormat="1" x14ac:dyDescent="0.2"/>
    <row r="1741" s="181" customFormat="1" x14ac:dyDescent="0.2"/>
    <row r="1742" s="181" customFormat="1" x14ac:dyDescent="0.2"/>
    <row r="1743" s="181" customFormat="1" x14ac:dyDescent="0.2"/>
    <row r="1744" s="181" customFormat="1" x14ac:dyDescent="0.2"/>
    <row r="1745" s="181" customFormat="1" x14ac:dyDescent="0.2"/>
    <row r="1746" s="181" customFormat="1" x14ac:dyDescent="0.2"/>
    <row r="1747" s="181" customFormat="1" x14ac:dyDescent="0.2"/>
    <row r="1748" s="181" customFormat="1" x14ac:dyDescent="0.2"/>
    <row r="1749" s="181" customFormat="1" x14ac:dyDescent="0.2"/>
    <row r="1750" s="181" customFormat="1" x14ac:dyDescent="0.2"/>
    <row r="1751" s="181" customFormat="1" x14ac:dyDescent="0.2"/>
    <row r="1752" s="181" customFormat="1" x14ac:dyDescent="0.2"/>
    <row r="1753" s="181" customFormat="1" x14ac:dyDescent="0.2"/>
    <row r="1754" s="181" customFormat="1" x14ac:dyDescent="0.2"/>
    <row r="1755" s="181" customFormat="1" x14ac:dyDescent="0.2"/>
    <row r="1756" s="181" customFormat="1" x14ac:dyDescent="0.2"/>
    <row r="1757" s="181" customFormat="1" x14ac:dyDescent="0.2"/>
    <row r="1758" s="181" customFormat="1" x14ac:dyDescent="0.2"/>
    <row r="1759" s="181" customFormat="1" x14ac:dyDescent="0.2"/>
    <row r="1760" s="181" customFormat="1" x14ac:dyDescent="0.2"/>
    <row r="1761" s="181" customFormat="1" x14ac:dyDescent="0.2"/>
    <row r="1762" s="181" customFormat="1" x14ac:dyDescent="0.2"/>
    <row r="1763" s="181" customFormat="1" x14ac:dyDescent="0.2"/>
    <row r="1764" s="181" customFormat="1" x14ac:dyDescent="0.2"/>
    <row r="1765" s="181" customFormat="1" x14ac:dyDescent="0.2"/>
    <row r="1766" s="181" customFormat="1" x14ac:dyDescent="0.2"/>
    <row r="1767" s="181" customFormat="1" x14ac:dyDescent="0.2"/>
    <row r="1768" s="181" customFormat="1" x14ac:dyDescent="0.2"/>
    <row r="1769" s="181" customFormat="1" x14ac:dyDescent="0.2"/>
    <row r="1770" s="181" customFormat="1" x14ac:dyDescent="0.2"/>
    <row r="1771" s="181" customFormat="1" x14ac:dyDescent="0.2"/>
    <row r="1772" s="181" customFormat="1" x14ac:dyDescent="0.2"/>
    <row r="1773" s="181" customFormat="1" x14ac:dyDescent="0.2"/>
    <row r="1774" s="181" customFormat="1" x14ac:dyDescent="0.2"/>
    <row r="1775" s="181" customFormat="1" x14ac:dyDescent="0.2"/>
    <row r="1776" s="181" customFormat="1" x14ac:dyDescent="0.2"/>
    <row r="1777" s="181" customFormat="1" x14ac:dyDescent="0.2"/>
    <row r="1778" s="181" customFormat="1" x14ac:dyDescent="0.2"/>
    <row r="1779" s="181" customFormat="1" x14ac:dyDescent="0.2"/>
    <row r="1780" s="181" customFormat="1" x14ac:dyDescent="0.2"/>
    <row r="1781" s="181" customFormat="1" x14ac:dyDescent="0.2"/>
    <row r="1782" s="181" customFormat="1" x14ac:dyDescent="0.2"/>
    <row r="1783" s="181" customFormat="1" x14ac:dyDescent="0.2"/>
    <row r="1784" s="181" customFormat="1" x14ac:dyDescent="0.2"/>
    <row r="1785" s="181" customFormat="1" x14ac:dyDescent="0.2"/>
    <row r="1786" s="181" customFormat="1" x14ac:dyDescent="0.2"/>
    <row r="1787" s="181" customFormat="1" x14ac:dyDescent="0.2"/>
    <row r="1788" s="181" customFormat="1" x14ac:dyDescent="0.2"/>
    <row r="1789" s="181" customFormat="1" x14ac:dyDescent="0.2"/>
    <row r="1790" s="181" customFormat="1" x14ac:dyDescent="0.2"/>
    <row r="1791" s="181" customFormat="1" x14ac:dyDescent="0.2"/>
    <row r="1792" s="181" customFormat="1" x14ac:dyDescent="0.2"/>
    <row r="1793" s="181" customFormat="1" x14ac:dyDescent="0.2"/>
    <row r="1794" s="181" customFormat="1" x14ac:dyDescent="0.2"/>
    <row r="1795" s="181" customFormat="1" x14ac:dyDescent="0.2"/>
    <row r="1796" s="181" customFormat="1" x14ac:dyDescent="0.2"/>
    <row r="1797" s="181" customFormat="1" x14ac:dyDescent="0.2"/>
    <row r="1798" s="181" customFormat="1" x14ac:dyDescent="0.2"/>
    <row r="1799" s="181" customFormat="1" x14ac:dyDescent="0.2"/>
    <row r="1800" s="181" customFormat="1" x14ac:dyDescent="0.2"/>
    <row r="1801" s="181" customFormat="1" x14ac:dyDescent="0.2"/>
    <row r="1802" s="181" customFormat="1" x14ac:dyDescent="0.2"/>
    <row r="1803" s="181" customFormat="1" x14ac:dyDescent="0.2"/>
    <row r="1804" s="181" customFormat="1" x14ac:dyDescent="0.2"/>
    <row r="1805" s="181" customFormat="1" x14ac:dyDescent="0.2"/>
    <row r="1806" s="181" customFormat="1" x14ac:dyDescent="0.2"/>
    <row r="1807" s="181" customFormat="1" x14ac:dyDescent="0.2"/>
    <row r="1808" s="181" customFormat="1" x14ac:dyDescent="0.2"/>
    <row r="1809" s="181" customFormat="1" x14ac:dyDescent="0.2"/>
    <row r="1810" s="181" customFormat="1" x14ac:dyDescent="0.2"/>
    <row r="1811" s="181" customFormat="1" x14ac:dyDescent="0.2"/>
    <row r="1812" s="181" customFormat="1" x14ac:dyDescent="0.2"/>
    <row r="1813" s="181" customFormat="1" x14ac:dyDescent="0.2"/>
    <row r="1814" s="181" customFormat="1" x14ac:dyDescent="0.2"/>
    <row r="1815" s="181" customFormat="1" x14ac:dyDescent="0.2"/>
    <row r="1816" s="181" customFormat="1" x14ac:dyDescent="0.2"/>
    <row r="1817" s="181" customFormat="1" x14ac:dyDescent="0.2"/>
    <row r="1818" s="181" customFormat="1" x14ac:dyDescent="0.2"/>
    <row r="1819" s="181" customFormat="1" x14ac:dyDescent="0.2"/>
    <row r="1820" s="181" customFormat="1" x14ac:dyDescent="0.2"/>
    <row r="1821" s="181" customFormat="1" x14ac:dyDescent="0.2"/>
    <row r="1822" s="181" customFormat="1" x14ac:dyDescent="0.2"/>
    <row r="1823" s="181" customFormat="1" x14ac:dyDescent="0.2"/>
    <row r="1824" s="181" customFormat="1" x14ac:dyDescent="0.2"/>
    <row r="1825" s="181" customFormat="1" x14ac:dyDescent="0.2"/>
    <row r="1826" s="181" customFormat="1" x14ac:dyDescent="0.2"/>
    <row r="1827" s="181" customFormat="1" x14ac:dyDescent="0.2"/>
    <row r="1828" s="181" customFormat="1" x14ac:dyDescent="0.2"/>
    <row r="1829" s="181" customFormat="1" x14ac:dyDescent="0.2"/>
    <row r="1830" s="181" customFormat="1" x14ac:dyDescent="0.2"/>
    <row r="1831" s="181" customFormat="1" x14ac:dyDescent="0.2"/>
    <row r="1832" s="181" customFormat="1" x14ac:dyDescent="0.2"/>
    <row r="1833" s="181" customFormat="1" x14ac:dyDescent="0.2"/>
    <row r="1834" s="181" customFormat="1" x14ac:dyDescent="0.2"/>
    <row r="1835" s="181" customFormat="1" x14ac:dyDescent="0.2"/>
    <row r="1836" s="181" customFormat="1" x14ac:dyDescent="0.2"/>
    <row r="1837" s="181" customFormat="1" x14ac:dyDescent="0.2"/>
    <row r="1838" s="181" customFormat="1" x14ac:dyDescent="0.2"/>
    <row r="1839" s="181" customFormat="1" x14ac:dyDescent="0.2"/>
    <row r="1840" s="181" customFormat="1" x14ac:dyDescent="0.2"/>
    <row r="1841" s="181" customFormat="1" x14ac:dyDescent="0.2"/>
    <row r="1842" s="181" customFormat="1" x14ac:dyDescent="0.2"/>
    <row r="1843" s="181" customFormat="1" x14ac:dyDescent="0.2"/>
    <row r="1844" s="181" customFormat="1" x14ac:dyDescent="0.2"/>
    <row r="1845" s="181" customFormat="1" x14ac:dyDescent="0.2"/>
    <row r="1846" s="181" customFormat="1" x14ac:dyDescent="0.2"/>
    <row r="1847" s="181" customFormat="1" x14ac:dyDescent="0.2"/>
    <row r="1848" s="181" customFormat="1" x14ac:dyDescent="0.2"/>
    <row r="1849" s="181" customFormat="1" x14ac:dyDescent="0.2"/>
    <row r="1850" s="181" customFormat="1" x14ac:dyDescent="0.2"/>
    <row r="1851" s="181" customFormat="1" x14ac:dyDescent="0.2"/>
    <row r="1852" s="181" customFormat="1" x14ac:dyDescent="0.2"/>
    <row r="1853" s="181" customFormat="1" x14ac:dyDescent="0.2"/>
    <row r="1854" s="181" customFormat="1" x14ac:dyDescent="0.2"/>
    <row r="1855" s="181" customFormat="1" x14ac:dyDescent="0.2"/>
    <row r="1856" s="181" customFormat="1" x14ac:dyDescent="0.2"/>
    <row r="1857" s="181" customFormat="1" x14ac:dyDescent="0.2"/>
    <row r="1858" s="181" customFormat="1" x14ac:dyDescent="0.2"/>
    <row r="1859" s="181" customFormat="1" x14ac:dyDescent="0.2"/>
    <row r="1860" s="181" customFormat="1" x14ac:dyDescent="0.2"/>
    <row r="1861" s="181" customFormat="1" x14ac:dyDescent="0.2"/>
    <row r="1862" s="181" customFormat="1" x14ac:dyDescent="0.2"/>
    <row r="1863" s="181" customFormat="1" x14ac:dyDescent="0.2"/>
    <row r="1864" s="181" customFormat="1" x14ac:dyDescent="0.2"/>
    <row r="1865" s="181" customFormat="1" x14ac:dyDescent="0.2"/>
    <row r="1866" s="181" customFormat="1" x14ac:dyDescent="0.2"/>
    <row r="1867" s="181" customFormat="1" x14ac:dyDescent="0.2"/>
    <row r="1868" s="181" customFormat="1" x14ac:dyDescent="0.2"/>
    <row r="1869" s="181" customFormat="1" x14ac:dyDescent="0.2"/>
    <row r="1870" s="181" customFormat="1" x14ac:dyDescent="0.2"/>
    <row r="1871" s="181" customFormat="1" x14ac:dyDescent="0.2"/>
    <row r="1872" s="181" customFormat="1" x14ac:dyDescent="0.2"/>
    <row r="1873" s="181" customFormat="1" x14ac:dyDescent="0.2"/>
    <row r="1874" s="181" customFormat="1" x14ac:dyDescent="0.2"/>
    <row r="1875" s="181" customFormat="1" x14ac:dyDescent="0.2"/>
    <row r="1876" s="181" customFormat="1" x14ac:dyDescent="0.2"/>
    <row r="1877" s="181" customFormat="1" x14ac:dyDescent="0.2"/>
    <row r="1878" s="181" customFormat="1" x14ac:dyDescent="0.2"/>
    <row r="1879" s="181" customFormat="1" x14ac:dyDescent="0.2"/>
    <row r="1880" s="181" customFormat="1" x14ac:dyDescent="0.2"/>
    <row r="1881" s="181" customFormat="1" x14ac:dyDescent="0.2"/>
    <row r="1882" s="181" customFormat="1" x14ac:dyDescent="0.2"/>
    <row r="1883" s="181" customFormat="1" x14ac:dyDescent="0.2"/>
    <row r="1884" s="181" customFormat="1" x14ac:dyDescent="0.2"/>
    <row r="1885" s="181" customFormat="1" x14ac:dyDescent="0.2"/>
    <row r="1886" s="181" customFormat="1" x14ac:dyDescent="0.2"/>
    <row r="1887" s="181" customFormat="1" x14ac:dyDescent="0.2"/>
    <row r="1888" s="181" customFormat="1" x14ac:dyDescent="0.2"/>
    <row r="1889" s="181" customFormat="1" x14ac:dyDescent="0.2"/>
    <row r="1890" s="181" customFormat="1" x14ac:dyDescent="0.2"/>
    <row r="1891" s="181" customFormat="1" x14ac:dyDescent="0.2"/>
    <row r="1892" s="181" customFormat="1" x14ac:dyDescent="0.2"/>
    <row r="1893" s="181" customFormat="1" x14ac:dyDescent="0.2"/>
    <row r="1894" s="181" customFormat="1" x14ac:dyDescent="0.2"/>
    <row r="1895" s="181" customFormat="1" x14ac:dyDescent="0.2"/>
    <row r="1896" s="181" customFormat="1" x14ac:dyDescent="0.2"/>
    <row r="1897" s="181" customFormat="1" x14ac:dyDescent="0.2"/>
    <row r="1898" s="181" customFormat="1" x14ac:dyDescent="0.2"/>
    <row r="1899" s="181" customFormat="1" x14ac:dyDescent="0.2"/>
    <row r="1900" s="181" customFormat="1" x14ac:dyDescent="0.2"/>
    <row r="1901" s="181" customFormat="1" x14ac:dyDescent="0.2"/>
    <row r="1902" s="181" customFormat="1" x14ac:dyDescent="0.2"/>
    <row r="1903" s="181" customFormat="1" x14ac:dyDescent="0.2"/>
    <row r="1904" s="181" customFormat="1" x14ac:dyDescent="0.2"/>
    <row r="1905" s="181" customFormat="1" x14ac:dyDescent="0.2"/>
    <row r="1906" s="181" customFormat="1" x14ac:dyDescent="0.2"/>
    <row r="1907" s="181" customFormat="1" x14ac:dyDescent="0.2"/>
    <row r="1908" s="181" customFormat="1" x14ac:dyDescent="0.2"/>
    <row r="1909" s="181" customFormat="1" x14ac:dyDescent="0.2"/>
    <row r="1910" s="181" customFormat="1" x14ac:dyDescent="0.2"/>
    <row r="1911" s="181" customFormat="1" x14ac:dyDescent="0.2"/>
    <row r="1912" s="181" customFormat="1" x14ac:dyDescent="0.2"/>
    <row r="1913" s="181" customFormat="1" x14ac:dyDescent="0.2"/>
    <row r="1914" s="181" customFormat="1" x14ac:dyDescent="0.2"/>
    <row r="1915" s="181" customFormat="1" x14ac:dyDescent="0.2"/>
    <row r="1916" s="181" customFormat="1" x14ac:dyDescent="0.2"/>
    <row r="1917" s="181" customFormat="1" x14ac:dyDescent="0.2"/>
    <row r="1918" s="181" customFormat="1" x14ac:dyDescent="0.2"/>
    <row r="1919" s="181" customFormat="1" x14ac:dyDescent="0.2"/>
    <row r="1920" s="181" customFormat="1" x14ac:dyDescent="0.2"/>
    <row r="1921" s="181" customFormat="1" x14ac:dyDescent="0.2"/>
    <row r="1922" s="181" customFormat="1" x14ac:dyDescent="0.2"/>
    <row r="1923" s="181" customFormat="1" x14ac:dyDescent="0.2"/>
    <row r="1924" s="181" customFormat="1" x14ac:dyDescent="0.2"/>
    <row r="1925" s="181" customFormat="1" x14ac:dyDescent="0.2"/>
    <row r="1926" s="181" customFormat="1" x14ac:dyDescent="0.2"/>
    <row r="1927" s="181" customFormat="1" x14ac:dyDescent="0.2"/>
    <row r="1928" s="181" customFormat="1" x14ac:dyDescent="0.2"/>
    <row r="1929" s="181" customFormat="1" x14ac:dyDescent="0.2"/>
    <row r="1930" s="181" customFormat="1" x14ac:dyDescent="0.2"/>
    <row r="1931" s="181" customFormat="1" x14ac:dyDescent="0.2"/>
    <row r="1932" s="181" customFormat="1" x14ac:dyDescent="0.2"/>
    <row r="1933" s="181" customFormat="1" x14ac:dyDescent="0.2"/>
    <row r="1934" s="181" customFormat="1" x14ac:dyDescent="0.2"/>
    <row r="1935" s="181" customFormat="1" x14ac:dyDescent="0.2"/>
    <row r="1936" s="181" customFormat="1" x14ac:dyDescent="0.2"/>
    <row r="1937" s="181" customFormat="1" x14ac:dyDescent="0.2"/>
    <row r="1938" s="181" customFormat="1" x14ac:dyDescent="0.2"/>
    <row r="1939" s="181" customFormat="1" x14ac:dyDescent="0.2"/>
    <row r="1940" s="181" customFormat="1" x14ac:dyDescent="0.2"/>
    <row r="1941" s="181" customFormat="1" x14ac:dyDescent="0.2"/>
    <row r="1942" s="181" customFormat="1" x14ac:dyDescent="0.2"/>
    <row r="1943" s="181" customFormat="1" x14ac:dyDescent="0.2"/>
    <row r="1944" s="181" customFormat="1" x14ac:dyDescent="0.2"/>
    <row r="1945" s="181" customFormat="1" x14ac:dyDescent="0.2"/>
    <row r="1946" s="181" customFormat="1" x14ac:dyDescent="0.2"/>
    <row r="1947" s="181" customFormat="1" x14ac:dyDescent="0.2"/>
    <row r="1948" s="181" customFormat="1" x14ac:dyDescent="0.2"/>
    <row r="1949" s="181" customFormat="1" x14ac:dyDescent="0.2"/>
    <row r="1950" s="181" customFormat="1" x14ac:dyDescent="0.2"/>
    <row r="1951" s="181" customFormat="1" x14ac:dyDescent="0.2"/>
    <row r="1952" s="181" customFormat="1" x14ac:dyDescent="0.2"/>
    <row r="1953" s="181" customFormat="1" x14ac:dyDescent="0.2"/>
    <row r="1954" s="181" customFormat="1" x14ac:dyDescent="0.2"/>
    <row r="1955" s="181" customFormat="1" x14ac:dyDescent="0.2"/>
    <row r="1956" s="181" customFormat="1" x14ac:dyDescent="0.2"/>
    <row r="1957" s="181" customFormat="1" x14ac:dyDescent="0.2"/>
    <row r="1958" s="181" customFormat="1" x14ac:dyDescent="0.2"/>
    <row r="1959" s="181" customFormat="1" x14ac:dyDescent="0.2"/>
    <row r="1960" s="181" customFormat="1" x14ac:dyDescent="0.2"/>
    <row r="1961" s="181" customFormat="1" x14ac:dyDescent="0.2"/>
    <row r="1962" s="181" customFormat="1" x14ac:dyDescent="0.2"/>
    <row r="1963" s="181" customFormat="1" x14ac:dyDescent="0.2"/>
    <row r="1964" s="181" customFormat="1" x14ac:dyDescent="0.2"/>
    <row r="1965" s="181" customFormat="1" x14ac:dyDescent="0.2"/>
    <row r="1966" s="181" customFormat="1" x14ac:dyDescent="0.2"/>
    <row r="1967" s="181" customFormat="1" x14ac:dyDescent="0.2"/>
    <row r="1968" s="181" customFormat="1" x14ac:dyDescent="0.2"/>
    <row r="1969" s="181" customFormat="1" x14ac:dyDescent="0.2"/>
    <row r="1970" s="181" customFormat="1" x14ac:dyDescent="0.2"/>
    <row r="1971" s="181" customFormat="1" x14ac:dyDescent="0.2"/>
    <row r="1972" s="181" customFormat="1" x14ac:dyDescent="0.2"/>
    <row r="1973" s="181" customFormat="1" x14ac:dyDescent="0.2"/>
    <row r="1974" s="181" customFormat="1" x14ac:dyDescent="0.2"/>
    <row r="1975" s="181" customFormat="1" x14ac:dyDescent="0.2"/>
    <row r="1976" s="181" customFormat="1" x14ac:dyDescent="0.2"/>
    <row r="1977" s="181" customFormat="1" x14ac:dyDescent="0.2"/>
    <row r="1978" s="181" customFormat="1" x14ac:dyDescent="0.2"/>
    <row r="1979" s="181" customFormat="1" x14ac:dyDescent="0.2"/>
    <row r="1980" s="181" customFormat="1" x14ac:dyDescent="0.2"/>
    <row r="1981" s="181" customFormat="1" x14ac:dyDescent="0.2"/>
    <row r="1982" s="181" customFormat="1" x14ac:dyDescent="0.2"/>
    <row r="1983" s="181" customFormat="1" x14ac:dyDescent="0.2"/>
    <row r="1984" s="181" customFormat="1" x14ac:dyDescent="0.2"/>
    <row r="1985" s="181" customFormat="1" x14ac:dyDescent="0.2"/>
    <row r="1986" s="181" customFormat="1" x14ac:dyDescent="0.2"/>
    <row r="1987" s="181" customFormat="1" x14ac:dyDescent="0.2"/>
    <row r="1988" s="181" customFormat="1" x14ac:dyDescent="0.2"/>
    <row r="1989" s="181" customFormat="1" x14ac:dyDescent="0.2"/>
    <row r="1990" s="181" customFormat="1" x14ac:dyDescent="0.2"/>
    <row r="1991" s="181" customFormat="1" x14ac:dyDescent="0.2"/>
    <row r="1992" s="181" customFormat="1" x14ac:dyDescent="0.2"/>
    <row r="1993" s="181" customFormat="1" x14ac:dyDescent="0.2"/>
    <row r="1994" s="181" customFormat="1" x14ac:dyDescent="0.2"/>
    <row r="1995" s="181" customFormat="1" x14ac:dyDescent="0.2"/>
    <row r="1996" s="181" customFormat="1" x14ac:dyDescent="0.2"/>
    <row r="1997" s="181" customFormat="1" x14ac:dyDescent="0.2"/>
    <row r="1998" s="181" customFormat="1" x14ac:dyDescent="0.2"/>
    <row r="1999" s="181" customFormat="1" x14ac:dyDescent="0.2"/>
    <row r="2000" s="181" customFormat="1" x14ac:dyDescent="0.2"/>
    <row r="2001" s="181" customFormat="1" x14ac:dyDescent="0.2"/>
    <row r="2002" s="181" customFormat="1" x14ac:dyDescent="0.2"/>
    <row r="2003" s="181" customFormat="1" x14ac:dyDescent="0.2"/>
    <row r="2004" s="181" customFormat="1" x14ac:dyDescent="0.2"/>
    <row r="2005" s="181" customFormat="1" x14ac:dyDescent="0.2"/>
    <row r="2006" s="181" customFormat="1" x14ac:dyDescent="0.2"/>
    <row r="2007" s="181" customFormat="1" x14ac:dyDescent="0.2"/>
    <row r="2008" s="181" customFormat="1" x14ac:dyDescent="0.2"/>
    <row r="2009" s="181" customFormat="1" x14ac:dyDescent="0.2"/>
    <row r="2010" s="181" customFormat="1" x14ac:dyDescent="0.2"/>
    <row r="2011" s="181" customFormat="1" x14ac:dyDescent="0.2"/>
    <row r="2012" s="181" customFormat="1" x14ac:dyDescent="0.2"/>
    <row r="2013" s="181" customFormat="1" x14ac:dyDescent="0.2"/>
    <row r="2014" s="181" customFormat="1" x14ac:dyDescent="0.2"/>
    <row r="2015" s="181" customFormat="1" x14ac:dyDescent="0.2"/>
    <row r="2016" s="181" customFormat="1" x14ac:dyDescent="0.2"/>
    <row r="2017" s="181" customFormat="1" x14ac:dyDescent="0.2"/>
    <row r="2018" s="181" customFormat="1" x14ac:dyDescent="0.2"/>
    <row r="2019" s="181" customFormat="1" x14ac:dyDescent="0.2"/>
    <row r="2020" s="181" customFormat="1" x14ac:dyDescent="0.2"/>
    <row r="2021" s="181" customFormat="1" x14ac:dyDescent="0.2"/>
    <row r="2022" s="181" customFormat="1" x14ac:dyDescent="0.2"/>
    <row r="2023" s="181" customFormat="1" x14ac:dyDescent="0.2"/>
    <row r="2024" s="181" customFormat="1" x14ac:dyDescent="0.2"/>
    <row r="2025" s="181" customFormat="1" x14ac:dyDescent="0.2"/>
    <row r="2026" s="181" customFormat="1" x14ac:dyDescent="0.2"/>
    <row r="2027" s="181" customFormat="1" x14ac:dyDescent="0.2"/>
    <row r="2028" s="181" customFormat="1" x14ac:dyDescent="0.2"/>
    <row r="2029" s="181" customFormat="1" x14ac:dyDescent="0.2"/>
    <row r="2030" s="181" customFormat="1" x14ac:dyDescent="0.2"/>
    <row r="2031" s="181" customFormat="1" x14ac:dyDescent="0.2"/>
    <row r="2032" s="181" customFormat="1" x14ac:dyDescent="0.2"/>
    <row r="2033" s="181" customFormat="1" x14ac:dyDescent="0.2"/>
    <row r="2034" s="181" customFormat="1" x14ac:dyDescent="0.2"/>
    <row r="2035" s="181" customFormat="1" x14ac:dyDescent="0.2"/>
    <row r="2036" s="181" customFormat="1" x14ac:dyDescent="0.2"/>
    <row r="2037" s="181" customFormat="1" x14ac:dyDescent="0.2"/>
    <row r="2038" s="181" customFormat="1" x14ac:dyDescent="0.2"/>
    <row r="2039" s="181" customFormat="1" x14ac:dyDescent="0.2"/>
    <row r="2040" s="181" customFormat="1" x14ac:dyDescent="0.2"/>
    <row r="2041" s="181" customFormat="1" x14ac:dyDescent="0.2"/>
    <row r="2042" s="181" customFormat="1" x14ac:dyDescent="0.2"/>
    <row r="2043" s="181" customFormat="1" x14ac:dyDescent="0.2"/>
    <row r="2044" s="181" customFormat="1" x14ac:dyDescent="0.2"/>
    <row r="2045" s="181" customFormat="1" x14ac:dyDescent="0.2"/>
    <row r="2046" s="181" customFormat="1" x14ac:dyDescent="0.2"/>
    <row r="2047" s="181" customFormat="1" x14ac:dyDescent="0.2"/>
    <row r="2048" s="181" customFormat="1" x14ac:dyDescent="0.2"/>
    <row r="2049" s="181" customFormat="1" x14ac:dyDescent="0.2"/>
    <row r="2050" s="181" customFormat="1" x14ac:dyDescent="0.2"/>
    <row r="2051" s="181" customFormat="1" x14ac:dyDescent="0.2"/>
    <row r="2052" s="181" customFormat="1" x14ac:dyDescent="0.2"/>
    <row r="2053" s="181" customFormat="1" x14ac:dyDescent="0.2"/>
    <row r="2054" s="181" customFormat="1" x14ac:dyDescent="0.2"/>
    <row r="2055" s="181" customFormat="1" x14ac:dyDescent="0.2"/>
    <row r="2056" s="181" customFormat="1" x14ac:dyDescent="0.2"/>
    <row r="2057" s="181" customFormat="1" x14ac:dyDescent="0.2"/>
    <row r="2058" s="181" customFormat="1" x14ac:dyDescent="0.2"/>
    <row r="2059" s="181" customFormat="1" x14ac:dyDescent="0.2"/>
    <row r="2060" s="181" customFormat="1" x14ac:dyDescent="0.2"/>
    <row r="2061" s="181" customFormat="1" x14ac:dyDescent="0.2"/>
    <row r="2062" s="181" customFormat="1" x14ac:dyDescent="0.2"/>
    <row r="2063" s="181" customFormat="1" x14ac:dyDescent="0.2"/>
    <row r="2064" s="181" customFormat="1" x14ac:dyDescent="0.2"/>
    <row r="2065" s="181" customFormat="1" x14ac:dyDescent="0.2"/>
    <row r="2066" s="181" customFormat="1" x14ac:dyDescent="0.2"/>
    <row r="2067" s="181" customFormat="1" x14ac:dyDescent="0.2"/>
    <row r="2068" s="181" customFormat="1" x14ac:dyDescent="0.2"/>
    <row r="2069" s="181" customFormat="1" x14ac:dyDescent="0.2"/>
    <row r="2070" s="181" customFormat="1" x14ac:dyDescent="0.2"/>
    <row r="2071" s="181" customFormat="1" x14ac:dyDescent="0.2"/>
    <row r="2072" s="181" customFormat="1" x14ac:dyDescent="0.2"/>
    <row r="2073" s="181" customFormat="1" x14ac:dyDescent="0.2"/>
    <row r="2074" s="181" customFormat="1" x14ac:dyDescent="0.2"/>
    <row r="2075" s="181" customFormat="1" x14ac:dyDescent="0.2"/>
    <row r="2076" s="181" customFormat="1" x14ac:dyDescent="0.2"/>
    <row r="2077" s="181" customFormat="1" x14ac:dyDescent="0.2"/>
    <row r="2078" s="181" customFormat="1" x14ac:dyDescent="0.2"/>
    <row r="2079" s="181" customFormat="1" x14ac:dyDescent="0.2"/>
    <row r="2080" s="181" customFormat="1" x14ac:dyDescent="0.2"/>
  </sheetData>
  <sheetProtection sheet="1" objects="1" scenarios="1" formatCells="0"/>
  <mergeCells count="1">
    <mergeCell ref="D1:I1"/>
  </mergeCells>
  <printOptions horizontalCentered="1" headings="1"/>
  <pageMargins left="0.62992125984251968" right="0.43307086614173229" top="0.98425196850393704" bottom="0.98425196850393704" header="0.51181102362204722" footer="0.51181102362204722"/>
  <pageSetup paperSize="9" scale="92" orientation="landscape" r:id="rId1"/>
  <headerFooter alignWithMargins="0">
    <oddFooter>&amp;L&amp;F&amp;C&amp;A</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99eb0ef-ed33-49d4-8cd6-fb96068255b4" xsi:nil="true"/>
    <lcf76f155ced4ddcb4097134ff3c332f xmlns="32a70985-efea-4808-b5b0-0c163959f596">
      <Terms xmlns="http://schemas.microsoft.com/office/infopath/2007/PartnerControls"/>
    </lcf76f155ced4ddcb4097134ff3c332f>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kument" ma:contentTypeID="0x01010038117611B428574D8D0D82CB70932C6A" ma:contentTypeVersion="8" ma:contentTypeDescription="Ein neues Dokument erstellen." ma:contentTypeScope="" ma:versionID="7f1f0db6c47faf4b84d28fafc7975a9b">
  <xsd:schema xmlns:xsd="http://www.w3.org/2001/XMLSchema" xmlns:xs="http://www.w3.org/2001/XMLSchema" xmlns:p="http://schemas.microsoft.com/office/2006/metadata/properties" xmlns:ns2="32a70985-efea-4808-b5b0-0c163959f596" xmlns:ns3="499eb0ef-ed33-49d4-8cd6-fb96068255b4" targetNamespace="http://schemas.microsoft.com/office/2006/metadata/properties" ma:root="true" ma:fieldsID="8c507d5a350b9372dc06b121108387ff" ns2:_="" ns3:_="">
    <xsd:import namespace="32a70985-efea-4808-b5b0-0c163959f596"/>
    <xsd:import namespace="499eb0ef-ed33-49d4-8cd6-fb96068255b4"/>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a70985-efea-4808-b5b0-0c163959f5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ildmarkierungen" ma:readOnly="false" ma:fieldId="{5cf76f15-5ced-4ddc-b409-7134ff3c332f}" ma:taxonomyMulti="true" ma:sspId="67cb61c8-45dd-47af-98bd-889e2f7d5d60"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99eb0ef-ed33-49d4-8cd6-fb96068255b4"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80f11613-05b0-4860-91e9-7d0569c5e0f6}" ma:internalName="TaxCatchAll" ma:showField="CatchAllData" ma:web="499eb0ef-ed33-49d4-8cd6-fb96068255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AE9C2DD-4160-4615-8ABB-7B7928854B5C}">
  <ds:schemaRefs>
    <ds:schemaRef ds:uri="http://schemas.microsoft.com/office/2006/metadata/properties"/>
    <ds:schemaRef ds:uri="http://schemas.microsoft.com/office/infopath/2007/PartnerControls"/>
    <ds:schemaRef ds:uri="499eb0ef-ed33-49d4-8cd6-fb96068255b4"/>
    <ds:schemaRef ds:uri="32a70985-efea-4808-b5b0-0c163959f596"/>
  </ds:schemaRefs>
</ds:datastoreItem>
</file>

<file path=customXml/itemProps2.xml><?xml version="1.0" encoding="utf-8"?>
<ds:datastoreItem xmlns:ds="http://schemas.openxmlformats.org/officeDocument/2006/customXml" ds:itemID="{DAB1851E-B8FE-400B-AEC3-C0E13E377FBD}">
  <ds:schemaRefs>
    <ds:schemaRef ds:uri="http://schemas.microsoft.com/DataMashup"/>
  </ds:schemaRefs>
</ds:datastoreItem>
</file>

<file path=customXml/itemProps3.xml><?xml version="1.0" encoding="utf-8"?>
<ds:datastoreItem xmlns:ds="http://schemas.openxmlformats.org/officeDocument/2006/customXml" ds:itemID="{A7ADBE20-123D-453B-B31A-46B2C1AADC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2a70985-efea-4808-b5b0-0c163959f596"/>
    <ds:schemaRef ds:uri="499eb0ef-ed33-49d4-8cd6-fb96068255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65C5726-7D98-4A79-AB19-5485C8E8BAE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26</vt:i4>
      </vt:variant>
    </vt:vector>
  </HeadingPairs>
  <TitlesOfParts>
    <vt:vector size="26" baseType="lpstr">
      <vt:lpstr>Übersicht</vt:lpstr>
      <vt:lpstr>Einfache Berechnungen 1</vt:lpstr>
      <vt:lpstr>Einfache Berechnungen 2</vt:lpstr>
      <vt:lpstr>Funktionen</vt:lpstr>
      <vt:lpstr>Bezüge</vt:lpstr>
      <vt:lpstr>Wenn 1</vt:lpstr>
      <vt:lpstr>Wenn 2</vt:lpstr>
      <vt:lpstr>Wenn 3</vt:lpstr>
      <vt:lpstr>Wenn 4</vt:lpstr>
      <vt:lpstr>Wenn 5</vt:lpstr>
      <vt:lpstr>Wenn UndOder 1</vt:lpstr>
      <vt:lpstr>Wenn UndOder 2</vt:lpstr>
      <vt:lpstr>Wenn UndOder 3</vt:lpstr>
      <vt:lpstr>Wenn Multitalent</vt:lpstr>
      <vt:lpstr>Tage und Zeiten</vt:lpstr>
      <vt:lpstr>Jahre und Zeiten</vt:lpstr>
      <vt:lpstr>SVerweis 1</vt:lpstr>
      <vt:lpstr>SVerweis 2</vt:lpstr>
      <vt:lpstr>SVerweis 3</vt:lpstr>
      <vt:lpstr>ABC-Analyse #</vt:lpstr>
      <vt:lpstr>Angebotsvergleich #</vt:lpstr>
      <vt:lpstr>BAB #</vt:lpstr>
      <vt:lpstr>Lagerbestände #</vt:lpstr>
      <vt:lpstr>Optimale Bestellmenge #</vt:lpstr>
      <vt:lpstr>Statistik I #</vt:lpstr>
      <vt:lpstr>Statistik I-Hilfstabelle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T</dc:creator>
  <cp:lastModifiedBy>Tom Gorontzy</cp:lastModifiedBy>
  <dcterms:created xsi:type="dcterms:W3CDTF">2019-02-23T12:32:15Z</dcterms:created>
  <dcterms:modified xsi:type="dcterms:W3CDTF">2025-04-08T18:32:46Z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0x01010038117611B428574D8D0D82CB70932C6A</vt:lpwstr>
  </property>
</Properties>
</file>