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Privat\Finanzen\"/>
    </mc:Choice>
  </mc:AlternateContent>
  <xr:revisionPtr revIDLastSave="0" documentId="13_ncr:1_{85BFA730-2A24-443D-B432-0E589831C79D}" xr6:coauthVersionLast="47" xr6:coauthVersionMax="47" xr10:uidLastSave="{00000000-0000-0000-0000-000000000000}"/>
  <bookViews>
    <workbookView xWindow="-120" yWindow="-120" windowWidth="29040" windowHeight="15720" tabRatio="750" firstSheet="1" activeTab="2" xr2:uid="{00000000-000D-0000-FFFF-FFFF00000000}"/>
  </bookViews>
  <sheets>
    <sheet name="Erklärung" sheetId="1" state="hidden" r:id="rId1"/>
    <sheet name="detaillierte Jahresübersicht" sheetId="2" r:id="rId2"/>
    <sheet name="Januar" sheetId="3" r:id="rId3"/>
    <sheet name="Februar" sheetId="4" r:id="rId4"/>
    <sheet name="März" sheetId="5" r:id="rId5"/>
    <sheet name="April" sheetId="6" r:id="rId6"/>
    <sheet name="Mai" sheetId="7" r:id="rId7"/>
    <sheet name="Juni" sheetId="8" r:id="rId8"/>
    <sheet name="Juli" sheetId="9" r:id="rId9"/>
    <sheet name="August" sheetId="10" r:id="rId10"/>
    <sheet name="September" sheetId="11" r:id="rId11"/>
    <sheet name="Oktober" sheetId="12" r:id="rId12"/>
    <sheet name="November" sheetId="13" r:id="rId13"/>
    <sheet name="Dezember" sheetId="14" r:id="rId14"/>
  </sheets>
  <definedNames>
    <definedName name="_xlnm.Print_Area" localSheetId="5">April!$A$1:$P$51</definedName>
    <definedName name="_xlnm.Print_Area" localSheetId="9">August!$A$1:$P$51</definedName>
    <definedName name="_xlnm.Print_Area" localSheetId="13">Dezember!$A$1:$P$51</definedName>
    <definedName name="_xlnm.Print_Area" localSheetId="2">Januar!$A$1:$P$51</definedName>
    <definedName name="_xlnm.Print_Area" localSheetId="8">Juli!$A$1:$P$51</definedName>
    <definedName name="_xlnm.Print_Area" localSheetId="7">Juni!$A$1:$P$51</definedName>
    <definedName name="_xlnm.Print_Area" localSheetId="6">Mai!$A$1:$P$53</definedName>
    <definedName name="_xlnm.Print_Area" localSheetId="4">März!$A$1:$P$51</definedName>
    <definedName name="_xlnm.Print_Area" localSheetId="12">November!$A$1:$P$51</definedName>
    <definedName name="_xlnm.Print_Area" localSheetId="11">Oktober!$A$1:$P$51</definedName>
    <definedName name="_xlnm.Print_Area" localSheetId="10">September!$A$1:$P$51</definedName>
    <definedName name="Z_09202BB1_255A_4EDA_B63F_9E0CA30B36C5_.wvu.PrintArea" localSheetId="5" hidden="1">April!$A$1:$P$51</definedName>
    <definedName name="Z_09202BB1_255A_4EDA_B63F_9E0CA30B36C5_.wvu.PrintArea" localSheetId="9" hidden="1">August!$A$1:$P$51</definedName>
    <definedName name="Z_09202BB1_255A_4EDA_B63F_9E0CA30B36C5_.wvu.PrintArea" localSheetId="13" hidden="1">Dezember!$A$1:$P$51</definedName>
    <definedName name="Z_09202BB1_255A_4EDA_B63F_9E0CA30B36C5_.wvu.PrintArea" localSheetId="2" hidden="1">Januar!$A$1:$P$51</definedName>
    <definedName name="Z_09202BB1_255A_4EDA_B63F_9E0CA30B36C5_.wvu.PrintArea" localSheetId="8" hidden="1">Juli!$A$1:$P$51</definedName>
    <definedName name="Z_09202BB1_255A_4EDA_B63F_9E0CA30B36C5_.wvu.PrintArea" localSheetId="7" hidden="1">Juni!$A$1:$P$51</definedName>
    <definedName name="Z_09202BB1_255A_4EDA_B63F_9E0CA30B36C5_.wvu.PrintArea" localSheetId="6" hidden="1">Mai!$A$1:$P$53</definedName>
    <definedName name="Z_09202BB1_255A_4EDA_B63F_9E0CA30B36C5_.wvu.PrintArea" localSheetId="4" hidden="1">März!$A$1:$P$51</definedName>
    <definedName name="Z_09202BB1_255A_4EDA_B63F_9E0CA30B36C5_.wvu.PrintArea" localSheetId="12" hidden="1">November!$A$1:$P$51</definedName>
    <definedName name="Z_09202BB1_255A_4EDA_B63F_9E0CA30B36C5_.wvu.PrintArea" localSheetId="11" hidden="1">Oktober!$A$1:$P$51</definedName>
    <definedName name="Z_09202BB1_255A_4EDA_B63F_9E0CA30B36C5_.wvu.PrintArea" localSheetId="10" hidden="1">September!$A$1:$P$51</definedName>
    <definedName name="Z_25DC4F91_A91C_4C3F_9681_9209750ABBEA_.wvu.PrintArea" localSheetId="5" hidden="1">April!$A$1:$P$51</definedName>
    <definedName name="Z_25DC4F91_A91C_4C3F_9681_9209750ABBEA_.wvu.PrintArea" localSheetId="9" hidden="1">August!$A$1:$P$51</definedName>
    <definedName name="Z_25DC4F91_A91C_4C3F_9681_9209750ABBEA_.wvu.PrintArea" localSheetId="13" hidden="1">Dezember!$A$1:$P$51</definedName>
    <definedName name="Z_25DC4F91_A91C_4C3F_9681_9209750ABBEA_.wvu.PrintArea" localSheetId="2" hidden="1">Januar!$A$1:$P$51</definedName>
    <definedName name="Z_25DC4F91_A91C_4C3F_9681_9209750ABBEA_.wvu.PrintArea" localSheetId="8" hidden="1">Juli!$A$1:$P$51</definedName>
    <definedName name="Z_25DC4F91_A91C_4C3F_9681_9209750ABBEA_.wvu.PrintArea" localSheetId="7" hidden="1">Juni!$A$1:$P$51</definedName>
    <definedName name="Z_25DC4F91_A91C_4C3F_9681_9209750ABBEA_.wvu.PrintArea" localSheetId="6" hidden="1">Mai!$A$1:$P$53</definedName>
    <definedName name="Z_25DC4F91_A91C_4C3F_9681_9209750ABBEA_.wvu.PrintArea" localSheetId="4" hidden="1">März!$A$1:$P$51</definedName>
    <definedName name="Z_25DC4F91_A91C_4C3F_9681_9209750ABBEA_.wvu.PrintArea" localSheetId="12" hidden="1">November!$A$1:$P$51</definedName>
    <definedName name="Z_25DC4F91_A91C_4C3F_9681_9209750ABBEA_.wvu.PrintArea" localSheetId="11" hidden="1">Oktober!$A$1:$P$51</definedName>
    <definedName name="Z_25DC4F91_A91C_4C3F_9681_9209750ABBEA_.wvu.PrintArea" localSheetId="10" hidden="1">September!$A$1:$P$51</definedName>
    <definedName name="Z_2FCDEDCE_A041_4FA8_BFB2_1CA8CD8915F4_.wvu.PrintArea" localSheetId="5" hidden="1">April!$A$1:$P$51</definedName>
    <definedName name="Z_2FCDEDCE_A041_4FA8_BFB2_1CA8CD8915F4_.wvu.PrintArea" localSheetId="9" hidden="1">August!$A$1:$P$51</definedName>
    <definedName name="Z_2FCDEDCE_A041_4FA8_BFB2_1CA8CD8915F4_.wvu.PrintArea" localSheetId="13" hidden="1">Dezember!$A$1:$P$51</definedName>
    <definedName name="Z_2FCDEDCE_A041_4FA8_BFB2_1CA8CD8915F4_.wvu.PrintArea" localSheetId="2" hidden="1">Januar!$A$1:$P$51</definedName>
    <definedName name="Z_2FCDEDCE_A041_4FA8_BFB2_1CA8CD8915F4_.wvu.PrintArea" localSheetId="8" hidden="1">Juli!$A$1:$P$51</definedName>
    <definedName name="Z_2FCDEDCE_A041_4FA8_BFB2_1CA8CD8915F4_.wvu.PrintArea" localSheetId="7" hidden="1">Juni!$A$1:$P$51</definedName>
    <definedName name="Z_2FCDEDCE_A041_4FA8_BFB2_1CA8CD8915F4_.wvu.PrintArea" localSheetId="6" hidden="1">Mai!$A$1:$P$53</definedName>
    <definedName name="Z_2FCDEDCE_A041_4FA8_BFB2_1CA8CD8915F4_.wvu.PrintArea" localSheetId="4" hidden="1">März!$A$1:$P$51</definedName>
    <definedName name="Z_2FCDEDCE_A041_4FA8_BFB2_1CA8CD8915F4_.wvu.PrintArea" localSheetId="12" hidden="1">November!$A$1:$P$51</definedName>
    <definedName name="Z_2FCDEDCE_A041_4FA8_BFB2_1CA8CD8915F4_.wvu.PrintArea" localSheetId="11" hidden="1">Oktober!$A$1:$P$51</definedName>
    <definedName name="Z_2FCDEDCE_A041_4FA8_BFB2_1CA8CD8915F4_.wvu.PrintArea" localSheetId="10" hidden="1">September!$A$1:$P$51</definedName>
    <definedName name="Z_32010A6E_0F0E_4D6E_BDEC_7BF6D197330C_.wvu.PrintArea" localSheetId="5" hidden="1">April!$A$1:$P$51</definedName>
    <definedName name="Z_32010A6E_0F0E_4D6E_BDEC_7BF6D197330C_.wvu.PrintArea" localSheetId="9" hidden="1">August!$A$1:$P$51</definedName>
    <definedName name="Z_32010A6E_0F0E_4D6E_BDEC_7BF6D197330C_.wvu.PrintArea" localSheetId="13" hidden="1">Dezember!$A$1:$P$51</definedName>
    <definedName name="Z_32010A6E_0F0E_4D6E_BDEC_7BF6D197330C_.wvu.PrintArea" localSheetId="2" hidden="1">Januar!$A$1:$P$51</definedName>
    <definedName name="Z_32010A6E_0F0E_4D6E_BDEC_7BF6D197330C_.wvu.PrintArea" localSheetId="8" hidden="1">Juli!$A$1:$P$51</definedName>
    <definedName name="Z_32010A6E_0F0E_4D6E_BDEC_7BF6D197330C_.wvu.PrintArea" localSheetId="7" hidden="1">Juni!$A$1:$P$51</definedName>
    <definedName name="Z_32010A6E_0F0E_4D6E_BDEC_7BF6D197330C_.wvu.PrintArea" localSheetId="6" hidden="1">Mai!$A$1:$P$53</definedName>
    <definedName name="Z_32010A6E_0F0E_4D6E_BDEC_7BF6D197330C_.wvu.PrintArea" localSheetId="4" hidden="1">März!$A$1:$P$51</definedName>
    <definedName name="Z_32010A6E_0F0E_4D6E_BDEC_7BF6D197330C_.wvu.PrintArea" localSheetId="12" hidden="1">November!$A$1:$P$51</definedName>
    <definedName name="Z_32010A6E_0F0E_4D6E_BDEC_7BF6D197330C_.wvu.PrintArea" localSheetId="11" hidden="1">Oktober!$A$1:$P$51</definedName>
    <definedName name="Z_32010A6E_0F0E_4D6E_BDEC_7BF6D197330C_.wvu.PrintArea" localSheetId="10" hidden="1">September!$A$1:$P$51</definedName>
    <definedName name="Z_476E9108_F970_4ED5_B615_D5EA1D6F5C1C_.wvu.PrintArea" localSheetId="5" hidden="1">April!$A$1:$P$51</definedName>
    <definedName name="Z_476E9108_F970_4ED5_B615_D5EA1D6F5C1C_.wvu.PrintArea" localSheetId="9" hidden="1">August!$A$1:$P$51</definedName>
    <definedName name="Z_476E9108_F970_4ED5_B615_D5EA1D6F5C1C_.wvu.PrintArea" localSheetId="13" hidden="1">Dezember!$A$1:$P$51</definedName>
    <definedName name="Z_476E9108_F970_4ED5_B615_D5EA1D6F5C1C_.wvu.PrintArea" localSheetId="2" hidden="1">Januar!$A$1:$P$51</definedName>
    <definedName name="Z_476E9108_F970_4ED5_B615_D5EA1D6F5C1C_.wvu.PrintArea" localSheetId="8" hidden="1">Juli!$A$1:$P$51</definedName>
    <definedName name="Z_476E9108_F970_4ED5_B615_D5EA1D6F5C1C_.wvu.PrintArea" localSheetId="7" hidden="1">Juni!$A$1:$P$51</definedName>
    <definedName name="Z_476E9108_F970_4ED5_B615_D5EA1D6F5C1C_.wvu.PrintArea" localSheetId="6" hidden="1">Mai!$A$1:$P$53</definedName>
    <definedName name="Z_476E9108_F970_4ED5_B615_D5EA1D6F5C1C_.wvu.PrintArea" localSheetId="4" hidden="1">März!$A$1:$P$51</definedName>
    <definedName name="Z_476E9108_F970_4ED5_B615_D5EA1D6F5C1C_.wvu.PrintArea" localSheetId="12" hidden="1">November!$A$1:$P$51</definedName>
    <definedName name="Z_476E9108_F970_4ED5_B615_D5EA1D6F5C1C_.wvu.PrintArea" localSheetId="11" hidden="1">Oktober!$A$1:$P$51</definedName>
    <definedName name="Z_476E9108_F970_4ED5_B615_D5EA1D6F5C1C_.wvu.PrintArea" localSheetId="10" hidden="1">September!$A$1:$P$51</definedName>
    <definedName name="Z_77AA5D6B_183E_4B34_9A26_D8BDC7AB4A8B_.wvu.PrintArea" localSheetId="5" hidden="1">April!$A$1:$P$51</definedName>
    <definedName name="Z_77AA5D6B_183E_4B34_9A26_D8BDC7AB4A8B_.wvu.PrintArea" localSheetId="9" hidden="1">August!$A$1:$P$51</definedName>
    <definedName name="Z_77AA5D6B_183E_4B34_9A26_D8BDC7AB4A8B_.wvu.PrintArea" localSheetId="13" hidden="1">Dezember!$A$1:$P$51</definedName>
    <definedName name="Z_77AA5D6B_183E_4B34_9A26_D8BDC7AB4A8B_.wvu.PrintArea" localSheetId="2" hidden="1">Januar!$A$1:$P$51</definedName>
    <definedName name="Z_77AA5D6B_183E_4B34_9A26_D8BDC7AB4A8B_.wvu.PrintArea" localSheetId="8" hidden="1">Juli!$A$1:$P$51</definedName>
    <definedName name="Z_77AA5D6B_183E_4B34_9A26_D8BDC7AB4A8B_.wvu.PrintArea" localSheetId="7" hidden="1">Juni!$A$1:$P$51</definedName>
    <definedName name="Z_77AA5D6B_183E_4B34_9A26_D8BDC7AB4A8B_.wvu.PrintArea" localSheetId="6" hidden="1">Mai!$A$1:$P$53</definedName>
    <definedName name="Z_77AA5D6B_183E_4B34_9A26_D8BDC7AB4A8B_.wvu.PrintArea" localSheetId="4" hidden="1">März!$A$1:$P$51</definedName>
    <definedName name="Z_77AA5D6B_183E_4B34_9A26_D8BDC7AB4A8B_.wvu.PrintArea" localSheetId="12" hidden="1">November!$A$1:$P$51</definedName>
    <definedName name="Z_77AA5D6B_183E_4B34_9A26_D8BDC7AB4A8B_.wvu.PrintArea" localSheetId="11" hidden="1">Oktober!$A$1:$P$51</definedName>
    <definedName name="Z_77AA5D6B_183E_4B34_9A26_D8BDC7AB4A8B_.wvu.PrintArea" localSheetId="10" hidden="1">September!$A$1:$P$51</definedName>
    <definedName name="Z_7FE57256_D437_42BF_8A0F_4C221865038B_.wvu.PrintArea" localSheetId="5" hidden="1">April!$A$1:$P$51</definedName>
    <definedName name="Z_7FE57256_D437_42BF_8A0F_4C221865038B_.wvu.PrintArea" localSheetId="9" hidden="1">August!$A$1:$P$51</definedName>
    <definedName name="Z_7FE57256_D437_42BF_8A0F_4C221865038B_.wvu.PrintArea" localSheetId="13" hidden="1">Dezember!$A$1:$P$51</definedName>
    <definedName name="Z_7FE57256_D437_42BF_8A0F_4C221865038B_.wvu.PrintArea" localSheetId="2" hidden="1">Januar!$A$1:$P$51</definedName>
    <definedName name="Z_7FE57256_D437_42BF_8A0F_4C221865038B_.wvu.PrintArea" localSheetId="8" hidden="1">Juli!$A$1:$P$51</definedName>
    <definedName name="Z_7FE57256_D437_42BF_8A0F_4C221865038B_.wvu.PrintArea" localSheetId="7" hidden="1">Juni!$A$1:$P$51</definedName>
    <definedName name="Z_7FE57256_D437_42BF_8A0F_4C221865038B_.wvu.PrintArea" localSheetId="6" hidden="1">Mai!$A$1:$P$53</definedName>
    <definedName name="Z_7FE57256_D437_42BF_8A0F_4C221865038B_.wvu.PrintArea" localSheetId="4" hidden="1">März!$A$1:$P$51</definedName>
    <definedName name="Z_7FE57256_D437_42BF_8A0F_4C221865038B_.wvu.PrintArea" localSheetId="12" hidden="1">November!$A$1:$P$51</definedName>
    <definedName name="Z_7FE57256_D437_42BF_8A0F_4C221865038B_.wvu.PrintArea" localSheetId="11" hidden="1">Oktober!$A$1:$P$51</definedName>
    <definedName name="Z_7FE57256_D437_42BF_8A0F_4C221865038B_.wvu.PrintArea" localSheetId="10" hidden="1">September!$A$1:$P$51</definedName>
    <definedName name="Z_C21A97DE_3F4E_441C_9EE1_180F872F0921_.wvu.PrintArea" localSheetId="5" hidden="1">April!$A$1:$P$51</definedName>
    <definedName name="Z_C21A97DE_3F4E_441C_9EE1_180F872F0921_.wvu.PrintArea" localSheetId="9" hidden="1">August!$A$1:$P$51</definedName>
    <definedName name="Z_C21A97DE_3F4E_441C_9EE1_180F872F0921_.wvu.PrintArea" localSheetId="13" hidden="1">Dezember!$A$1:$P$51</definedName>
    <definedName name="Z_C21A97DE_3F4E_441C_9EE1_180F872F0921_.wvu.PrintArea" localSheetId="2" hidden="1">Januar!$A$1:$P$51</definedName>
    <definedName name="Z_C21A97DE_3F4E_441C_9EE1_180F872F0921_.wvu.PrintArea" localSheetId="8" hidden="1">Juli!$A$1:$P$51</definedName>
    <definedName name="Z_C21A97DE_3F4E_441C_9EE1_180F872F0921_.wvu.PrintArea" localSheetId="7" hidden="1">Juni!$A$1:$P$51</definedName>
    <definedName name="Z_C21A97DE_3F4E_441C_9EE1_180F872F0921_.wvu.PrintArea" localSheetId="6" hidden="1">Mai!$A$1:$P$53</definedName>
    <definedName name="Z_C21A97DE_3F4E_441C_9EE1_180F872F0921_.wvu.PrintArea" localSheetId="4" hidden="1">März!$A$1:$P$51</definedName>
    <definedName name="Z_C21A97DE_3F4E_441C_9EE1_180F872F0921_.wvu.PrintArea" localSheetId="12" hidden="1">November!$A$1:$P$51</definedName>
    <definedName name="Z_C21A97DE_3F4E_441C_9EE1_180F872F0921_.wvu.PrintArea" localSheetId="11" hidden="1">Oktober!$A$1:$P$51</definedName>
    <definedName name="Z_C21A97DE_3F4E_441C_9EE1_180F872F0921_.wvu.PrintArea" localSheetId="10" hidden="1">September!$A$1:$P$51</definedName>
    <definedName name="Z_CD87C90D_3024_4E69_ABDD_891676803401_.wvu.PrintArea" localSheetId="5" hidden="1">April!$A$1:$P$51</definedName>
    <definedName name="Z_CD87C90D_3024_4E69_ABDD_891676803401_.wvu.PrintArea" localSheetId="9" hidden="1">August!$A$1:$P$51</definedName>
    <definedName name="Z_CD87C90D_3024_4E69_ABDD_891676803401_.wvu.PrintArea" localSheetId="13" hidden="1">Dezember!$A$1:$P$51</definedName>
    <definedName name="Z_CD87C90D_3024_4E69_ABDD_891676803401_.wvu.PrintArea" localSheetId="2" hidden="1">Januar!$A$1:$P$51</definedName>
    <definedName name="Z_CD87C90D_3024_4E69_ABDD_891676803401_.wvu.PrintArea" localSheetId="8" hidden="1">Juli!$A$1:$P$51</definedName>
    <definedName name="Z_CD87C90D_3024_4E69_ABDD_891676803401_.wvu.PrintArea" localSheetId="7" hidden="1">Juni!$A$1:$P$51</definedName>
    <definedName name="Z_CD87C90D_3024_4E69_ABDD_891676803401_.wvu.PrintArea" localSheetId="6" hidden="1">Mai!$A$1:$P$53</definedName>
    <definedName name="Z_CD87C90D_3024_4E69_ABDD_891676803401_.wvu.PrintArea" localSheetId="4" hidden="1">März!$A$1:$P$51</definedName>
    <definedName name="Z_CD87C90D_3024_4E69_ABDD_891676803401_.wvu.PrintArea" localSheetId="12" hidden="1">November!$A$1:$P$51</definedName>
    <definedName name="Z_CD87C90D_3024_4E69_ABDD_891676803401_.wvu.PrintArea" localSheetId="11" hidden="1">Oktober!$A$1:$P$51</definedName>
    <definedName name="Z_CD87C90D_3024_4E69_ABDD_891676803401_.wvu.PrintArea" localSheetId="10" hidden="1">September!$A$1:$P$51</definedName>
    <definedName name="Z_CFE9FE8C_9075_4CDC_A3CC_05601E4600C1_.wvu.PrintArea" localSheetId="5" hidden="1">April!$A$1:$P$51</definedName>
    <definedName name="Z_CFE9FE8C_9075_4CDC_A3CC_05601E4600C1_.wvu.PrintArea" localSheetId="9" hidden="1">August!$A$1:$P$51</definedName>
    <definedName name="Z_CFE9FE8C_9075_4CDC_A3CC_05601E4600C1_.wvu.PrintArea" localSheetId="13" hidden="1">Dezember!$A$1:$P$51</definedName>
    <definedName name="Z_CFE9FE8C_9075_4CDC_A3CC_05601E4600C1_.wvu.PrintArea" localSheetId="2" hidden="1">Januar!$A$1:$P$51</definedName>
    <definedName name="Z_CFE9FE8C_9075_4CDC_A3CC_05601E4600C1_.wvu.PrintArea" localSheetId="8" hidden="1">Juli!$A$1:$P$51</definedName>
    <definedName name="Z_CFE9FE8C_9075_4CDC_A3CC_05601E4600C1_.wvu.PrintArea" localSheetId="7" hidden="1">Juni!$A$1:$P$51</definedName>
    <definedName name="Z_CFE9FE8C_9075_4CDC_A3CC_05601E4600C1_.wvu.PrintArea" localSheetId="6" hidden="1">Mai!$A$1:$P$53</definedName>
    <definedName name="Z_CFE9FE8C_9075_4CDC_A3CC_05601E4600C1_.wvu.PrintArea" localSheetId="4" hidden="1">März!$A$1:$P$51</definedName>
    <definedName name="Z_CFE9FE8C_9075_4CDC_A3CC_05601E4600C1_.wvu.PrintArea" localSheetId="12" hidden="1">November!$A$1:$P$51</definedName>
    <definedName name="Z_CFE9FE8C_9075_4CDC_A3CC_05601E4600C1_.wvu.PrintArea" localSheetId="11" hidden="1">Oktober!$A$1:$P$51</definedName>
    <definedName name="Z_CFE9FE8C_9075_4CDC_A3CC_05601E4600C1_.wvu.PrintArea" localSheetId="10" hidden="1">September!$A$1:$P$51</definedName>
  </definedNames>
  <calcPr calcId="191029"/>
  <customWorkbookViews>
    <customWorkbookView name="Max - Persönliche Ansicht" guid="{25DC4F91-A91C-4C3F-9681-9209750ABBEA}" mergeInterval="0" personalView="1" maximized="1" windowWidth="1676" windowHeight="824" tabRatio="609" activeSheetId="12"/>
    <customWorkbookView name="Michael.Dietrich" guid="{FD2C1E44-1A2E-1B4C-853E-29B2D3E9272A}" mergeInterval="0" personalView="1" maximized="1" windowWidth="1200" windowHeight="1000" tabRatio="1000" activeSheetId="1"/>
    <customWorkbookView name="mido " guid="{046D8A92-2BB3-AC4F-8DD7-9AAD2240386D}" mergeInterval="0" personalView="1" maximized="1" windowWidth="1200" windowHeight="1000" tabRatio="1000" activeSheetId="1"/>
    <customWorkbookView name="diana - Persönliche Ansicht" guid="{CFE9FE8C-9075-4CDC-A3CC-05601E4600C1}" mergeInterval="0" personalView="1" maximized="1" xWindow="1" yWindow="1" windowWidth="1362" windowHeight="538" tabRatio="609" activeSheetId="13"/>
    <customWorkbookView name="thomas.gorontzy - Persönliche Ansicht" guid="{C21A97DE-3F4E-441C-9EE1-180F872F0921}" mergeInterval="0" personalView="1" maximized="1" windowWidth="1916" windowHeight="865" tabRatio="609" activeSheetId="5"/>
    <customWorkbookView name="Diana Mahler - Persönliche Ansicht" guid="{32010A6E-0F0E-4D6E-BDEC-7BF6D197330C}" mergeInterval="0" personalView="1" maximized="1" xWindow="-8" yWindow="-8" windowWidth="1382" windowHeight="744" tabRatio="609" activeSheetId="5"/>
    <customWorkbookView name="admintg - Persönliche Ansicht" guid="{77AA5D6B-183E-4B34-9A26-D8BDC7AB4A8B}" mergeInterval="0" personalView="1" maximized="1" xWindow="-6" yWindow="-6" windowWidth="1452" windowHeight="882" tabRatio="609" activeSheetId="7"/>
    <customWorkbookView name="Gorontzy, Thomas - Persönliche Ansicht" guid="{476E9108-F970-4ED5-B615-D5EA1D6F5C1C}" mergeInterval="0" personalView="1" maximized="1" windowWidth="1676" windowHeight="825" tabRatio="609" activeSheetId="11"/>
    <customWorkbookView name="Tom - Persönliche Ansicht" guid="{09202BB1-255A-4EDA-B63F-9E0CA30B36C5}" mergeInterval="0" personalView="1" maximized="1" windowWidth="1676" windowHeight="825" tabRatio="609" activeSheetId="12"/>
    <customWorkbookView name="Tom Gorontzy - Persönliche Ansicht" guid="{CD87C90D-3024-4E69-ABDD-891676803401}" mergeInterval="0" personalView="1" maximized="1" xWindow="-8" yWindow="-8" windowWidth="1936" windowHeight="1066" tabRatio="609" activeSheetId="9"/>
    <customWorkbookView name="Dr. Thomas Gorontzy - Persönliche Ansicht" guid="{2FCDEDCE-A041-4FA8-BFB2-1CA8CD8915F4}" mergeInterval="0" personalView="1" maximized="1" xWindow="-8" yWindow="-8" windowWidth="1936" windowHeight="1066" tabRatio="609" activeSheetId="6"/>
    <customWorkbookView name="Mustermann - Persönliche Ansicht" guid="{7FE57256-D437-42BF-8A0F-4C221865038B}" mergeInterval="0" personalView="1" maximized="1" xWindow="-8" yWindow="-8" windowWidth="1936" windowHeight="1066" tabRatio="609" activeSheetId="1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1" i="4" l="1"/>
  <c r="E41" i="4"/>
  <c r="F41" i="4"/>
  <c r="G41" i="4"/>
  <c r="H41" i="4"/>
  <c r="I41" i="4"/>
  <c r="J41" i="4"/>
  <c r="K41" i="4"/>
  <c r="L41" i="4"/>
  <c r="M41" i="4"/>
  <c r="N41" i="4"/>
  <c r="O41" i="4"/>
  <c r="P41" i="4"/>
  <c r="C41" i="4"/>
  <c r="P7" i="9"/>
  <c r="D4" i="4"/>
  <c r="E4" i="4"/>
  <c r="F4" i="4"/>
  <c r="G4" i="4"/>
  <c r="H4" i="4"/>
  <c r="I4" i="4"/>
  <c r="J4" i="4"/>
  <c r="J4" i="5" s="1"/>
  <c r="J4" i="6" s="1"/>
  <c r="J4" i="7" s="1"/>
  <c r="J4" i="8" s="1"/>
  <c r="J4" i="9" s="1"/>
  <c r="J4" i="10" s="1"/>
  <c r="K4" i="4"/>
  <c r="K4" i="5" s="1"/>
  <c r="K4" i="6" s="1"/>
  <c r="K4" i="7" s="1"/>
  <c r="K4" i="8" s="1"/>
  <c r="K4" i="9" s="1"/>
  <c r="K4" i="10" s="1"/>
  <c r="L4" i="4"/>
  <c r="M4" i="4"/>
  <c r="N4" i="4"/>
  <c r="O4" i="4"/>
  <c r="P4" i="4"/>
  <c r="O10" i="14"/>
  <c r="G10" i="12"/>
  <c r="G10" i="13" s="1"/>
  <c r="G10" i="14" s="1"/>
  <c r="D10" i="5"/>
  <c r="D10" i="6" s="1"/>
  <c r="D10" i="7" s="1"/>
  <c r="D10" i="8" s="1"/>
  <c r="D10" i="9" s="1"/>
  <c r="D10" i="10" s="1"/>
  <c r="D10" i="11" s="1"/>
  <c r="D10" i="12" s="1"/>
  <c r="D10" i="13" s="1"/>
  <c r="D10" i="14" s="1"/>
  <c r="K10" i="5"/>
  <c r="K10" i="6" s="1"/>
  <c r="K10" i="7" s="1"/>
  <c r="K10" i="8" s="1"/>
  <c r="K10" i="9" s="1"/>
  <c r="K10" i="10" s="1"/>
  <c r="K10" i="11" s="1"/>
  <c r="K10" i="12" s="1"/>
  <c r="K10" i="13" s="1"/>
  <c r="K10" i="14" s="1"/>
  <c r="M10" i="5"/>
  <c r="M10" i="6" s="1"/>
  <c r="M10" i="7" s="1"/>
  <c r="M10" i="8" s="1"/>
  <c r="M10" i="9" s="1"/>
  <c r="M10" i="10" s="1"/>
  <c r="M10" i="11" s="1"/>
  <c r="M10" i="12" s="1"/>
  <c r="M10" i="13" s="1"/>
  <c r="M10" i="14" s="1"/>
  <c r="D10" i="4"/>
  <c r="G10" i="4"/>
  <c r="G10" i="5" s="1"/>
  <c r="G10" i="6" s="1"/>
  <c r="G10" i="7" s="1"/>
  <c r="G10" i="8" s="1"/>
  <c r="G10" i="9" s="1"/>
  <c r="I10" i="4"/>
  <c r="I10" i="5" s="1"/>
  <c r="I10" i="6" s="1"/>
  <c r="I10" i="7" s="1"/>
  <c r="I10" i="8" s="1"/>
  <c r="I10" i="9" s="1"/>
  <c r="I10" i="10" s="1"/>
  <c r="I10" i="11" s="1"/>
  <c r="I10" i="12" s="1"/>
  <c r="I10" i="13" s="1"/>
  <c r="I10" i="14" s="1"/>
  <c r="J10" i="4"/>
  <c r="J10" i="5" s="1"/>
  <c r="J10" i="6" s="1"/>
  <c r="J10" i="7" s="1"/>
  <c r="J10" i="8" s="1"/>
  <c r="J10" i="9" s="1"/>
  <c r="J10" i="10" s="1"/>
  <c r="J10" i="11" s="1"/>
  <c r="J10" i="12" s="1"/>
  <c r="J10" i="13" s="1"/>
  <c r="J10" i="14" s="1"/>
  <c r="K10" i="4"/>
  <c r="L10" i="4"/>
  <c r="L10" i="5" s="1"/>
  <c r="L10" i="6" s="1"/>
  <c r="L10" i="7" s="1"/>
  <c r="L10" i="8" s="1"/>
  <c r="L10" i="9" s="1"/>
  <c r="L10" i="10" s="1"/>
  <c r="L10" i="11" s="1"/>
  <c r="L10" i="12" s="1"/>
  <c r="L10" i="13" s="1"/>
  <c r="L10" i="14" s="1"/>
  <c r="M10" i="4"/>
  <c r="N10" i="4"/>
  <c r="N10" i="5" s="1"/>
  <c r="N10" i="6" s="1"/>
  <c r="N10" i="7" s="1"/>
  <c r="N10" i="8" s="1"/>
  <c r="N10" i="9" s="1"/>
  <c r="N10" i="10" s="1"/>
  <c r="N10" i="11" s="1"/>
  <c r="N10" i="12" s="1"/>
  <c r="N10" i="13" s="1"/>
  <c r="N10" i="14" s="1"/>
  <c r="O10" i="4"/>
  <c r="O10" i="5" s="1"/>
  <c r="O10" i="6" s="1"/>
  <c r="O10" i="7" s="1"/>
  <c r="O10" i="8" s="1"/>
  <c r="O10" i="9" s="1"/>
  <c r="O10" i="10" s="1"/>
  <c r="O10" i="11" s="1"/>
  <c r="O10" i="12" s="1"/>
  <c r="P10" i="4"/>
  <c r="P10" i="5" s="1"/>
  <c r="P10" i="6" s="1"/>
  <c r="P10" i="7" s="1"/>
  <c r="P10" i="8" s="1"/>
  <c r="P10" i="9" s="1"/>
  <c r="P10" i="10" s="1"/>
  <c r="P10" i="11" s="1"/>
  <c r="P10" i="12" s="1"/>
  <c r="P10" i="13" s="1"/>
  <c r="P10" i="14" s="1"/>
  <c r="P7" i="10"/>
  <c r="N3" i="6"/>
  <c r="N3" i="7" s="1"/>
  <c r="N3" i="8" s="1"/>
  <c r="N3" i="9" s="1"/>
  <c r="N3" i="10" s="1"/>
  <c r="N3" i="11" s="1"/>
  <c r="N3" i="12" s="1"/>
  <c r="N3" i="13" s="1"/>
  <c r="N3" i="14" s="1"/>
  <c r="D6" i="4"/>
  <c r="D6" i="5" s="1"/>
  <c r="D6" i="6" s="1"/>
  <c r="D6" i="7" s="1"/>
  <c r="D6" i="8" s="1"/>
  <c r="D6" i="9" s="1"/>
  <c r="D6" i="10" s="1"/>
  <c r="D6" i="11" s="1"/>
  <c r="D6" i="12" s="1"/>
  <c r="D6" i="13" s="1"/>
  <c r="D6" i="14" s="1"/>
  <c r="E6" i="4"/>
  <c r="E6" i="5" s="1"/>
  <c r="E6" i="6" s="1"/>
  <c r="E6" i="7" s="1"/>
  <c r="E6" i="8" s="1"/>
  <c r="E6" i="9" s="1"/>
  <c r="E6" i="10" s="1"/>
  <c r="E6" i="11" s="1"/>
  <c r="E6" i="12" s="1"/>
  <c r="E6" i="13" s="1"/>
  <c r="E6" i="14" s="1"/>
  <c r="P6" i="4"/>
  <c r="P6" i="5" s="1"/>
  <c r="P6" i="6" s="1"/>
  <c r="P6" i="7" s="1"/>
  <c r="P6" i="8" s="1"/>
  <c r="P6" i="9" s="1"/>
  <c r="P6" i="10" s="1"/>
  <c r="P6" i="11" s="1"/>
  <c r="P6" i="12" s="1"/>
  <c r="P6" i="13" s="1"/>
  <c r="P6" i="14" s="1"/>
  <c r="P7" i="4"/>
  <c r="P7" i="5" s="1"/>
  <c r="P7" i="6" s="1"/>
  <c r="P7" i="7" s="1"/>
  <c r="P7" i="8" s="1"/>
  <c r="P7" i="11" s="1"/>
  <c r="P7" i="12" s="1"/>
  <c r="P7" i="13" s="1"/>
  <c r="P7" i="14" s="1"/>
  <c r="C3" i="4"/>
  <c r="D3" i="4"/>
  <c r="D3" i="5" s="1"/>
  <c r="D3" i="6" s="1"/>
  <c r="D3" i="7" s="1"/>
  <c r="D3" i="8" s="1"/>
  <c r="D3" i="9" s="1"/>
  <c r="D3" i="10" s="1"/>
  <c r="D3" i="11" s="1"/>
  <c r="D3" i="12" s="1"/>
  <c r="D3" i="13" s="1"/>
  <c r="D3" i="14" s="1"/>
  <c r="E3" i="4"/>
  <c r="E3" i="5" s="1"/>
  <c r="E3" i="6" s="1"/>
  <c r="E3" i="7" s="1"/>
  <c r="E3" i="8" s="1"/>
  <c r="E3" i="9" s="1"/>
  <c r="E3" i="10" s="1"/>
  <c r="E3" i="11" s="1"/>
  <c r="E3" i="12" s="1"/>
  <c r="E3" i="13" s="1"/>
  <c r="E3" i="14" s="1"/>
  <c r="F3" i="4"/>
  <c r="F3" i="5" s="1"/>
  <c r="F3" i="6" s="1"/>
  <c r="F3" i="7" s="1"/>
  <c r="F3" i="8" s="1"/>
  <c r="F3" i="9" s="1"/>
  <c r="F3" i="10" s="1"/>
  <c r="F3" i="11" s="1"/>
  <c r="F3" i="12" s="1"/>
  <c r="F3" i="13" s="1"/>
  <c r="F3" i="14" s="1"/>
  <c r="G3" i="4"/>
  <c r="G3" i="5" s="1"/>
  <c r="G3" i="6" s="1"/>
  <c r="G3" i="7" s="1"/>
  <c r="G3" i="8" s="1"/>
  <c r="G3" i="9" s="1"/>
  <c r="G3" i="10" s="1"/>
  <c r="G3" i="11" s="1"/>
  <c r="G3" i="12" s="1"/>
  <c r="G3" i="13" s="1"/>
  <c r="G3" i="14" s="1"/>
  <c r="H3" i="4"/>
  <c r="H3" i="5" s="1"/>
  <c r="H3" i="6" s="1"/>
  <c r="H3" i="7" s="1"/>
  <c r="H3" i="8" s="1"/>
  <c r="H3" i="9" s="1"/>
  <c r="H3" i="10" s="1"/>
  <c r="H3" i="11" s="1"/>
  <c r="H3" i="12" s="1"/>
  <c r="H3" i="13" s="1"/>
  <c r="H3" i="14" s="1"/>
  <c r="I3" i="4"/>
  <c r="I3" i="5" s="1"/>
  <c r="I3" i="6" s="1"/>
  <c r="I3" i="7" s="1"/>
  <c r="I3" i="8" s="1"/>
  <c r="I3" i="9" s="1"/>
  <c r="I3" i="10" s="1"/>
  <c r="I3" i="11" s="1"/>
  <c r="I3" i="12" s="1"/>
  <c r="I3" i="13" s="1"/>
  <c r="I3" i="14" s="1"/>
  <c r="J3" i="4"/>
  <c r="J3" i="5" s="1"/>
  <c r="J3" i="6" s="1"/>
  <c r="J3" i="7" s="1"/>
  <c r="J3" i="8" s="1"/>
  <c r="J3" i="9" s="1"/>
  <c r="J3" i="10" s="1"/>
  <c r="J3" i="11" s="1"/>
  <c r="J3" i="12" s="1"/>
  <c r="J3" i="13" s="1"/>
  <c r="J3" i="14" s="1"/>
  <c r="K3" i="4"/>
  <c r="K3" i="5" s="1"/>
  <c r="K3" i="6" s="1"/>
  <c r="K3" i="7" s="1"/>
  <c r="K3" i="8" s="1"/>
  <c r="K3" i="9" s="1"/>
  <c r="K3" i="10" s="1"/>
  <c r="K3" i="11" s="1"/>
  <c r="K3" i="12" s="1"/>
  <c r="K3" i="13" s="1"/>
  <c r="K3" i="14" s="1"/>
  <c r="L3" i="4"/>
  <c r="L3" i="5" s="1"/>
  <c r="L3" i="6" s="1"/>
  <c r="L3" i="7" s="1"/>
  <c r="L3" i="8" s="1"/>
  <c r="L3" i="9" s="1"/>
  <c r="L3" i="10" s="1"/>
  <c r="L3" i="11" s="1"/>
  <c r="L3" i="12" s="1"/>
  <c r="L3" i="13" s="1"/>
  <c r="L3" i="14" s="1"/>
  <c r="M3" i="4"/>
  <c r="M3" i="5" s="1"/>
  <c r="M3" i="6" s="1"/>
  <c r="M3" i="7" s="1"/>
  <c r="M3" i="8" s="1"/>
  <c r="M3" i="9" s="1"/>
  <c r="M3" i="10" s="1"/>
  <c r="M3" i="11" s="1"/>
  <c r="M3" i="12" s="1"/>
  <c r="M3" i="13" s="1"/>
  <c r="M3" i="14" s="1"/>
  <c r="N3" i="4"/>
  <c r="N3" i="5" s="1"/>
  <c r="O3" i="4"/>
  <c r="O3" i="5" s="1"/>
  <c r="O3" i="6" s="1"/>
  <c r="O3" i="7" s="1"/>
  <c r="O3" i="8" s="1"/>
  <c r="O3" i="9" s="1"/>
  <c r="O3" i="10" s="1"/>
  <c r="O3" i="11" s="1"/>
  <c r="O3" i="12" s="1"/>
  <c r="O3" i="13" s="1"/>
  <c r="O3" i="14" s="1"/>
  <c r="P3" i="4"/>
  <c r="P3" i="5" s="1"/>
  <c r="P3" i="6" s="1"/>
  <c r="P3" i="7" s="1"/>
  <c r="P3" i="8" s="1"/>
  <c r="P3" i="9" s="1"/>
  <c r="P3" i="10" s="1"/>
  <c r="P3" i="11" s="1"/>
  <c r="P3" i="12" s="1"/>
  <c r="P3" i="13" s="1"/>
  <c r="P3" i="14" s="1"/>
  <c r="D4" i="5"/>
  <c r="D4" i="6" s="1"/>
  <c r="D4" i="7" s="1"/>
  <c r="D4" i="8" s="1"/>
  <c r="D4" i="9" s="1"/>
  <c r="E4" i="5"/>
  <c r="E4" i="6" s="1"/>
  <c r="E4" i="7" s="1"/>
  <c r="E4" i="8" s="1"/>
  <c r="E4" i="9" s="1"/>
  <c r="F4" i="5"/>
  <c r="F4" i="6" s="1"/>
  <c r="F4" i="7" s="1"/>
  <c r="F4" i="8" s="1"/>
  <c r="F4" i="9" s="1"/>
  <c r="G4" i="5"/>
  <c r="G4" i="6" s="1"/>
  <c r="G4" i="7" s="1"/>
  <c r="G4" i="8" s="1"/>
  <c r="G4" i="9" s="1"/>
  <c r="H4" i="5"/>
  <c r="H4" i="6" s="1"/>
  <c r="H4" i="7" s="1"/>
  <c r="H4" i="8" s="1"/>
  <c r="H4" i="9" s="1"/>
  <c r="H4" i="10" s="1"/>
  <c r="I4" i="5"/>
  <c r="I4" i="6" s="1"/>
  <c r="I4" i="7" s="1"/>
  <c r="I4" i="8" s="1"/>
  <c r="I4" i="9" s="1"/>
  <c r="L4" i="5"/>
  <c r="L4" i="6" s="1"/>
  <c r="L4" i="7" s="1"/>
  <c r="L4" i="8" s="1"/>
  <c r="L4" i="9" s="1"/>
  <c r="L4" i="10" s="1"/>
  <c r="M4" i="5"/>
  <c r="M4" i="6" s="1"/>
  <c r="M4" i="7" s="1"/>
  <c r="M4" i="8" s="1"/>
  <c r="M4" i="9" s="1"/>
  <c r="M4" i="10" s="1"/>
  <c r="N4" i="5"/>
  <c r="N4" i="6" s="1"/>
  <c r="N4" i="7" s="1"/>
  <c r="N4" i="8" s="1"/>
  <c r="N4" i="9" s="1"/>
  <c r="N4" i="10" s="1"/>
  <c r="O4" i="5"/>
  <c r="O4" i="6" s="1"/>
  <c r="O4" i="7" s="1"/>
  <c r="O4" i="8" s="1"/>
  <c r="O4" i="9" s="1"/>
  <c r="O4" i="10" s="1"/>
  <c r="P4" i="5"/>
  <c r="P4" i="6" s="1"/>
  <c r="P4" i="7" s="1"/>
  <c r="P4" i="8" s="1"/>
  <c r="P4" i="9" s="1"/>
  <c r="P4" i="10" s="1"/>
  <c r="I4" i="10" l="1"/>
  <c r="I4" i="11" s="1"/>
  <c r="I4" i="12" s="1"/>
  <c r="I4" i="13" s="1"/>
  <c r="I4" i="14" s="1"/>
  <c r="G4" i="10"/>
  <c r="G4" i="11" s="1"/>
  <c r="G4" i="12" s="1"/>
  <c r="G4" i="13" s="1"/>
  <c r="G4" i="14" s="1"/>
  <c r="F4" i="10"/>
  <c r="F4" i="11" s="1"/>
  <c r="F4" i="12" s="1"/>
  <c r="F4" i="13" s="1"/>
  <c r="F4" i="14" s="1"/>
  <c r="N4" i="11"/>
  <c r="N4" i="12" s="1"/>
  <c r="N4" i="13" s="1"/>
  <c r="N4" i="14" s="1"/>
  <c r="E4" i="10"/>
  <c r="E4" i="11" s="1"/>
  <c r="E4" i="12" s="1"/>
  <c r="E4" i="13" s="1"/>
  <c r="E4" i="14" s="1"/>
  <c r="O4" i="11"/>
  <c r="O4" i="12" s="1"/>
  <c r="O4" i="13" s="1"/>
  <c r="O4" i="14" s="1"/>
  <c r="D4" i="10"/>
  <c r="D4" i="11" s="1"/>
  <c r="D4" i="12" s="1"/>
  <c r="D4" i="13" s="1"/>
  <c r="D4" i="14" s="1"/>
  <c r="M4" i="11"/>
  <c r="M4" i="12" s="1"/>
  <c r="M4" i="13" s="1"/>
  <c r="M4" i="14" s="1"/>
  <c r="L4" i="11"/>
  <c r="L4" i="12" s="1"/>
  <c r="L4" i="13" s="1"/>
  <c r="L4" i="14" s="1"/>
  <c r="K7" i="14"/>
  <c r="K4" i="11"/>
  <c r="K4" i="12" s="1"/>
  <c r="K4" i="13" s="1"/>
  <c r="K4" i="14" s="1"/>
  <c r="J4" i="11"/>
  <c r="J4" i="12" s="1"/>
  <c r="J4" i="13" s="1"/>
  <c r="J4" i="14" s="1"/>
  <c r="P4" i="11"/>
  <c r="P4" i="12" s="1"/>
  <c r="P4" i="13" s="1"/>
  <c r="P4" i="14" s="1"/>
  <c r="H4" i="11"/>
  <c r="H4" i="12" s="1"/>
  <c r="H4" i="13" s="1"/>
  <c r="H4" i="14" s="1"/>
  <c r="O41" i="9"/>
  <c r="H18" i="2" s="1"/>
  <c r="P41" i="9"/>
  <c r="H19" i="2" s="1"/>
  <c r="E41" i="10"/>
  <c r="F41" i="10"/>
  <c r="G41" i="10"/>
  <c r="H41" i="10"/>
  <c r="I41" i="10"/>
  <c r="J41" i="10"/>
  <c r="K41" i="10"/>
  <c r="L41" i="10"/>
  <c r="M41" i="10"/>
  <c r="N41" i="10"/>
  <c r="O41" i="10"/>
  <c r="P41" i="10"/>
  <c r="C41" i="10"/>
  <c r="D41" i="10"/>
  <c r="A15" i="2" l="1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B18" i="2"/>
  <c r="O41" i="6"/>
  <c r="E18" i="2" s="1"/>
  <c r="O43" i="7"/>
  <c r="F18" i="2" s="1"/>
  <c r="O41" i="8"/>
  <c r="G18" i="2" s="1"/>
  <c r="I18" i="2"/>
  <c r="O41" i="11"/>
  <c r="J18" i="2" s="1"/>
  <c r="O41" i="13"/>
  <c r="L18" i="2" s="1"/>
  <c r="O41" i="14"/>
  <c r="M18" i="2" s="1"/>
  <c r="O41" i="5"/>
  <c r="D18" i="2" s="1"/>
  <c r="C18" i="2"/>
  <c r="N18" i="2" l="1"/>
  <c r="C41" i="12" l="1"/>
  <c r="K41" i="14" l="1"/>
  <c r="M14" i="2" s="1"/>
  <c r="J41" i="14"/>
  <c r="M13" i="2" s="1"/>
  <c r="K41" i="13"/>
  <c r="L14" i="2" s="1"/>
  <c r="J41" i="13"/>
  <c r="L13" i="2" s="1"/>
  <c r="K41" i="12"/>
  <c r="J41" i="12"/>
  <c r="K41" i="11"/>
  <c r="J14" i="2" s="1"/>
  <c r="J41" i="11"/>
  <c r="J13" i="2" s="1"/>
  <c r="I14" i="2"/>
  <c r="I13" i="2"/>
  <c r="K41" i="9"/>
  <c r="H14" i="2" s="1"/>
  <c r="J41" i="9"/>
  <c r="H13" i="2" s="1"/>
  <c r="K41" i="8"/>
  <c r="G14" i="2" s="1"/>
  <c r="J41" i="8"/>
  <c r="G13" i="2" s="1"/>
  <c r="K43" i="7"/>
  <c r="F14" i="2" s="1"/>
  <c r="J43" i="7"/>
  <c r="F13" i="2" s="1"/>
  <c r="K41" i="6"/>
  <c r="E14" i="2" s="1"/>
  <c r="J41" i="6"/>
  <c r="E13" i="2" s="1"/>
  <c r="K41" i="5"/>
  <c r="D14" i="2" s="1"/>
  <c r="J41" i="5"/>
  <c r="D13" i="2" s="1"/>
  <c r="C14" i="2"/>
  <c r="C13" i="2"/>
  <c r="C15" i="2" l="1"/>
  <c r="C16" i="2"/>
  <c r="J41" i="3"/>
  <c r="B13" i="2" s="1"/>
  <c r="K41" i="3"/>
  <c r="B14" i="2" s="1"/>
  <c r="C41" i="14"/>
  <c r="M6" i="2" s="1"/>
  <c r="D41" i="14"/>
  <c r="M7" i="2" s="1"/>
  <c r="E41" i="14"/>
  <c r="M8" i="2" s="1"/>
  <c r="F41" i="14"/>
  <c r="M9" i="2" s="1"/>
  <c r="G41" i="14"/>
  <c r="M10" i="2" s="1"/>
  <c r="H41" i="14"/>
  <c r="M11" i="2" s="1"/>
  <c r="I41" i="14"/>
  <c r="M12" i="2" s="1"/>
  <c r="L41" i="14"/>
  <c r="M15" i="2" s="1"/>
  <c r="M41" i="14"/>
  <c r="M16" i="2" s="1"/>
  <c r="N41" i="14"/>
  <c r="M17" i="2" s="1"/>
  <c r="P41" i="14"/>
  <c r="M19" i="2" s="1"/>
  <c r="D44" i="14"/>
  <c r="C41" i="13"/>
  <c r="L6" i="2" s="1"/>
  <c r="D41" i="13"/>
  <c r="L7" i="2" s="1"/>
  <c r="E41" i="13"/>
  <c r="L8" i="2" s="1"/>
  <c r="F41" i="13"/>
  <c r="L9" i="2" s="1"/>
  <c r="G41" i="13"/>
  <c r="L10" i="2" s="1"/>
  <c r="H41" i="13"/>
  <c r="L11" i="2" s="1"/>
  <c r="I41" i="13"/>
  <c r="L12" i="2" s="1"/>
  <c r="L41" i="13"/>
  <c r="L15" i="2" s="1"/>
  <c r="M41" i="13"/>
  <c r="L16" i="2" s="1"/>
  <c r="N41" i="13"/>
  <c r="L17" i="2" s="1"/>
  <c r="P41" i="13"/>
  <c r="L19" i="2" s="1"/>
  <c r="D44" i="13"/>
  <c r="D41" i="12"/>
  <c r="E41" i="12"/>
  <c r="F41" i="12"/>
  <c r="G41" i="12"/>
  <c r="H41" i="12"/>
  <c r="I41" i="12"/>
  <c r="L41" i="12"/>
  <c r="M41" i="12"/>
  <c r="N41" i="12"/>
  <c r="P41" i="12"/>
  <c r="D44" i="12"/>
  <c r="C41" i="11"/>
  <c r="J6" i="2" s="1"/>
  <c r="D41" i="11"/>
  <c r="J7" i="2" s="1"/>
  <c r="E41" i="11"/>
  <c r="J8" i="2" s="1"/>
  <c r="F41" i="11"/>
  <c r="J9" i="2" s="1"/>
  <c r="G41" i="11"/>
  <c r="J10" i="2" s="1"/>
  <c r="H41" i="11"/>
  <c r="J11" i="2" s="1"/>
  <c r="I41" i="11"/>
  <c r="J12" i="2" s="1"/>
  <c r="L41" i="11"/>
  <c r="J15" i="2" s="1"/>
  <c r="M41" i="11"/>
  <c r="J16" i="2" s="1"/>
  <c r="N41" i="11"/>
  <c r="J17" i="2" s="1"/>
  <c r="P41" i="11"/>
  <c r="J19" i="2" s="1"/>
  <c r="D44" i="11"/>
  <c r="I6" i="2"/>
  <c r="I7" i="2"/>
  <c r="I8" i="2"/>
  <c r="I9" i="2"/>
  <c r="I10" i="2"/>
  <c r="I11" i="2"/>
  <c r="I12" i="2"/>
  <c r="I15" i="2"/>
  <c r="I16" i="2"/>
  <c r="I17" i="2"/>
  <c r="I19" i="2"/>
  <c r="D44" i="10"/>
  <c r="C41" i="9"/>
  <c r="H6" i="2" s="1"/>
  <c r="D41" i="9"/>
  <c r="H7" i="2" s="1"/>
  <c r="E41" i="9"/>
  <c r="H8" i="2" s="1"/>
  <c r="F41" i="9"/>
  <c r="H9" i="2" s="1"/>
  <c r="G41" i="9"/>
  <c r="H10" i="2" s="1"/>
  <c r="H41" i="9"/>
  <c r="H11" i="2" s="1"/>
  <c r="I41" i="9"/>
  <c r="H12" i="2" s="1"/>
  <c r="L41" i="9"/>
  <c r="H15" i="2" s="1"/>
  <c r="M41" i="9"/>
  <c r="H16" i="2" s="1"/>
  <c r="N41" i="9"/>
  <c r="H17" i="2" s="1"/>
  <c r="D44" i="9"/>
  <c r="C41" i="8"/>
  <c r="G6" i="2" s="1"/>
  <c r="D41" i="8"/>
  <c r="G7" i="2" s="1"/>
  <c r="E41" i="8"/>
  <c r="G8" i="2" s="1"/>
  <c r="F41" i="8"/>
  <c r="G9" i="2" s="1"/>
  <c r="G41" i="8"/>
  <c r="G10" i="2" s="1"/>
  <c r="H41" i="8"/>
  <c r="G11" i="2" s="1"/>
  <c r="I41" i="8"/>
  <c r="G12" i="2" s="1"/>
  <c r="L41" i="8"/>
  <c r="G15" i="2" s="1"/>
  <c r="M41" i="8"/>
  <c r="G16" i="2" s="1"/>
  <c r="N41" i="8"/>
  <c r="G17" i="2" s="1"/>
  <c r="P41" i="8"/>
  <c r="G19" i="2" s="1"/>
  <c r="D44" i="8"/>
  <c r="C43" i="7"/>
  <c r="F6" i="2" s="1"/>
  <c r="D43" i="7"/>
  <c r="F7" i="2" s="1"/>
  <c r="E43" i="7"/>
  <c r="F8" i="2" s="1"/>
  <c r="F43" i="7"/>
  <c r="F9" i="2" s="1"/>
  <c r="G43" i="7"/>
  <c r="F10" i="2" s="1"/>
  <c r="H43" i="7"/>
  <c r="F11" i="2" s="1"/>
  <c r="I43" i="7"/>
  <c r="F12" i="2" s="1"/>
  <c r="L43" i="7"/>
  <c r="F15" i="2" s="1"/>
  <c r="M43" i="7"/>
  <c r="F16" i="2" s="1"/>
  <c r="N43" i="7"/>
  <c r="F17" i="2" s="1"/>
  <c r="P43" i="7"/>
  <c r="F19" i="2" s="1"/>
  <c r="D46" i="7"/>
  <c r="C41" i="6"/>
  <c r="E6" i="2" s="1"/>
  <c r="D41" i="6"/>
  <c r="E7" i="2" s="1"/>
  <c r="E41" i="6"/>
  <c r="E8" i="2" s="1"/>
  <c r="F41" i="6"/>
  <c r="E9" i="2" s="1"/>
  <c r="G41" i="6"/>
  <c r="E10" i="2" s="1"/>
  <c r="H41" i="6"/>
  <c r="E11" i="2" s="1"/>
  <c r="I41" i="6"/>
  <c r="E12" i="2" s="1"/>
  <c r="L41" i="6"/>
  <c r="E15" i="2" s="1"/>
  <c r="M41" i="6"/>
  <c r="E16" i="2" s="1"/>
  <c r="N41" i="6"/>
  <c r="E17" i="2" s="1"/>
  <c r="P41" i="6"/>
  <c r="E19" i="2" s="1"/>
  <c r="D44" i="6"/>
  <c r="C41" i="5"/>
  <c r="D6" i="2" s="1"/>
  <c r="D41" i="5"/>
  <c r="D7" i="2" s="1"/>
  <c r="E41" i="5"/>
  <c r="D8" i="2" s="1"/>
  <c r="F41" i="5"/>
  <c r="D9" i="2" s="1"/>
  <c r="G41" i="5"/>
  <c r="D10" i="2" s="1"/>
  <c r="H41" i="5"/>
  <c r="D11" i="2" s="1"/>
  <c r="I41" i="5"/>
  <c r="D12" i="2" s="1"/>
  <c r="L41" i="5"/>
  <c r="D15" i="2" s="1"/>
  <c r="M41" i="5"/>
  <c r="D16" i="2" s="1"/>
  <c r="N41" i="5"/>
  <c r="D17" i="2" s="1"/>
  <c r="P41" i="5"/>
  <c r="D19" i="2" s="1"/>
  <c r="D44" i="5"/>
  <c r="C3" i="5"/>
  <c r="C3" i="6" s="1"/>
  <c r="C3" i="7" s="1"/>
  <c r="C3" i="8" s="1"/>
  <c r="C3" i="9" s="1"/>
  <c r="C3" i="10" s="1"/>
  <c r="C3" i="11" s="1"/>
  <c r="C6" i="4"/>
  <c r="C6" i="5" s="1"/>
  <c r="C6" i="6" s="1"/>
  <c r="C6" i="7" s="1"/>
  <c r="C6" i="8" s="1"/>
  <c r="C6" i="9" s="1"/>
  <c r="C6" i="10" s="1"/>
  <c r="C6" i="11" s="1"/>
  <c r="C10" i="4"/>
  <c r="C10" i="5" s="1"/>
  <c r="C10" i="6" s="1"/>
  <c r="C10" i="7" s="1"/>
  <c r="C10" i="8" s="1"/>
  <c r="C10" i="9" s="1"/>
  <c r="C10" i="10" s="1"/>
  <c r="C10" i="11" s="1"/>
  <c r="C6" i="2"/>
  <c r="C8" i="2"/>
  <c r="C9" i="2"/>
  <c r="C10" i="2"/>
  <c r="C11" i="2"/>
  <c r="C12" i="2"/>
  <c r="C17" i="2"/>
  <c r="C19" i="2"/>
  <c r="D44" i="4"/>
  <c r="C41" i="3"/>
  <c r="B6" i="2" s="1"/>
  <c r="D41" i="3"/>
  <c r="B7" i="2" s="1"/>
  <c r="E41" i="3"/>
  <c r="B8" i="2" s="1"/>
  <c r="F41" i="3"/>
  <c r="B9" i="2" s="1"/>
  <c r="G41" i="3"/>
  <c r="B10" i="2" s="1"/>
  <c r="H41" i="3"/>
  <c r="B11" i="2" s="1"/>
  <c r="I41" i="3"/>
  <c r="B12" i="2" s="1"/>
  <c r="L41" i="3"/>
  <c r="B15" i="2" s="1"/>
  <c r="M41" i="3"/>
  <c r="B16" i="2" s="1"/>
  <c r="N41" i="3"/>
  <c r="B17" i="2" s="1"/>
  <c r="P41" i="3"/>
  <c r="B19" i="2" s="1"/>
  <c r="D44" i="3"/>
  <c r="D46" i="3"/>
  <c r="D48" i="3"/>
  <c r="B2" i="2"/>
  <c r="B22" i="2" s="1"/>
  <c r="B4" i="2"/>
  <c r="B23" i="2" s="1"/>
  <c r="A6" i="2"/>
  <c r="A7" i="2"/>
  <c r="A8" i="2"/>
  <c r="A9" i="2"/>
  <c r="A10" i="2"/>
  <c r="A11" i="2"/>
  <c r="A12" i="2"/>
  <c r="A13" i="2"/>
  <c r="A14" i="2"/>
  <c r="G1" i="1"/>
  <c r="N16" i="2" l="1"/>
  <c r="N17" i="2"/>
  <c r="D45" i="14"/>
  <c r="D45" i="13"/>
  <c r="D45" i="12"/>
  <c r="K24" i="2"/>
  <c r="C10" i="12"/>
  <c r="C10" i="13" s="1"/>
  <c r="C10" i="14" s="1"/>
  <c r="C3" i="12"/>
  <c r="C3" i="13" s="1"/>
  <c r="C3" i="14" s="1"/>
  <c r="C6" i="12"/>
  <c r="C6" i="13" s="1"/>
  <c r="C6" i="14" s="1"/>
  <c r="D45" i="11"/>
  <c r="D45" i="10"/>
  <c r="D45" i="9"/>
  <c r="H24" i="2" s="1"/>
  <c r="D45" i="8"/>
  <c r="G24" i="2"/>
  <c r="D47" i="7"/>
  <c r="D45" i="6"/>
  <c r="D45" i="5"/>
  <c r="J24" i="2"/>
  <c r="N11" i="2"/>
  <c r="F24" i="2"/>
  <c r="D24" i="2"/>
  <c r="D45" i="4"/>
  <c r="N15" i="2"/>
  <c r="N19" i="2"/>
  <c r="N8" i="2"/>
  <c r="L24" i="2"/>
  <c r="M24" i="2"/>
  <c r="I24" i="2"/>
  <c r="E24" i="2"/>
  <c r="N12" i="2"/>
  <c r="N14" i="2"/>
  <c r="N10" i="2"/>
  <c r="N6" i="2"/>
  <c r="C7" i="2"/>
  <c r="N13" i="2"/>
  <c r="D45" i="3"/>
  <c r="D47" i="3" s="1"/>
  <c r="D50" i="3" s="1"/>
  <c r="B24" i="2"/>
  <c r="C4" i="2"/>
  <c r="C23" i="2" s="1"/>
  <c r="C2" i="2"/>
  <c r="C22" i="2" s="1"/>
  <c r="D48" i="4"/>
  <c r="D48" i="10"/>
  <c r="I2" i="2"/>
  <c r="I22" i="2" s="1"/>
  <c r="D48" i="6"/>
  <c r="E2" i="2"/>
  <c r="E22" i="2" s="1"/>
  <c r="D46" i="4"/>
  <c r="D48" i="5"/>
  <c r="D2" i="2"/>
  <c r="D22" i="2" s="1"/>
  <c r="D47" i="4" l="1"/>
  <c r="D50" i="4" s="1"/>
  <c r="N7" i="2"/>
  <c r="C24" i="2"/>
  <c r="N24" i="2" s="1"/>
  <c r="N9" i="2"/>
  <c r="B25" i="2"/>
  <c r="D50" i="7"/>
  <c r="F2" i="2"/>
  <c r="F22" i="2" s="1"/>
  <c r="D4" i="2"/>
  <c r="D23" i="2" s="1"/>
  <c r="D25" i="2" s="1"/>
  <c r="D46" i="5"/>
  <c r="D47" i="5" s="1"/>
  <c r="D50" i="5" s="1"/>
  <c r="D48" i="11"/>
  <c r="J2" i="2"/>
  <c r="J22" i="2" s="1"/>
  <c r="C25" i="2" l="1"/>
  <c r="D48" i="12"/>
  <c r="K2" i="2"/>
  <c r="K22" i="2" s="1"/>
  <c r="D46" i="6"/>
  <c r="D47" i="6" s="1"/>
  <c r="D50" i="6" s="1"/>
  <c r="E4" i="2"/>
  <c r="E23" i="2" s="1"/>
  <c r="E25" i="2" s="1"/>
  <c r="D48" i="8"/>
  <c r="G2" i="2"/>
  <c r="D48" i="7" l="1"/>
  <c r="D49" i="7" s="1"/>
  <c r="D52" i="7" s="1"/>
  <c r="F4" i="2"/>
  <c r="F23" i="2" s="1"/>
  <c r="F25" i="2" s="1"/>
  <c r="D48" i="9"/>
  <c r="H2" i="2"/>
  <c r="H22" i="2" s="1"/>
  <c r="G22" i="2"/>
  <c r="L2" i="2"/>
  <c r="L22" i="2" s="1"/>
  <c r="D48" i="13"/>
  <c r="D48" i="14" l="1"/>
  <c r="M2" i="2"/>
  <c r="M22" i="2" s="1"/>
  <c r="D46" i="8"/>
  <c r="D47" i="8" s="1"/>
  <c r="D50" i="8" s="1"/>
  <c r="G4" i="2"/>
  <c r="G23" i="2" s="1"/>
  <c r="G25" i="2" s="1"/>
  <c r="N22" i="2" l="1"/>
  <c r="N2" i="2"/>
  <c r="H4" i="2"/>
  <c r="H23" i="2" s="1"/>
  <c r="H25" i="2" s="1"/>
  <c r="D46" i="9"/>
  <c r="D47" i="9" s="1"/>
  <c r="D50" i="9" s="1"/>
  <c r="D46" i="10" l="1"/>
  <c r="D47" i="10" s="1"/>
  <c r="D50" i="10" s="1"/>
  <c r="I4" i="2"/>
  <c r="I23" i="2" s="1"/>
  <c r="I25" i="2" s="1"/>
  <c r="D46" i="11" l="1"/>
  <c r="D47" i="11" s="1"/>
  <c r="D50" i="11" s="1"/>
  <c r="J4" i="2"/>
  <c r="J23" i="2" s="1"/>
  <c r="J25" i="2" s="1"/>
  <c r="D46" i="12" l="1"/>
  <c r="D47" i="12" s="1"/>
  <c r="D50" i="12" s="1"/>
  <c r="K4" i="2"/>
  <c r="K23" i="2" s="1"/>
  <c r="K25" i="2" s="1"/>
  <c r="D46" i="13" l="1"/>
  <c r="D47" i="13" s="1"/>
  <c r="D50" i="13" s="1"/>
  <c r="L4" i="2"/>
  <c r="L23" i="2" s="1"/>
  <c r="L25" i="2" s="1"/>
  <c r="D46" i="14" l="1"/>
  <c r="D47" i="14" s="1"/>
  <c r="D50" i="14" s="1"/>
  <c r="M4" i="2"/>
  <c r="M23" i="2" s="1"/>
  <c r="M25" i="2" s="1"/>
  <c r="N4" i="2" l="1"/>
  <c r="N25" i="2" l="1"/>
  <c r="N23" i="2"/>
</calcChain>
</file>

<file path=xl/sharedStrings.xml><?xml version="1.0" encoding="utf-8"?>
<sst xmlns="http://schemas.openxmlformats.org/spreadsheetml/2006/main" count="396" uniqueCount="80">
  <si>
    <t>Herzlich Willkommen bei Ihrem familienbilanz.de-Premium-Haushaltsbuch</t>
  </si>
  <si>
    <t>Version 1.0 / 2011</t>
  </si>
  <si>
    <t>Ich freue mich, dass Sie dieses Haushaltsbuch heruntergeladen haben!</t>
  </si>
  <si>
    <t>Sie haben hier ein einfaches und übersichtliches Werkzeug um Ihre Einnahmen und Ausgaben im Blick zu behalten.</t>
  </si>
  <si>
    <t>Es wurde bewußt versucht das Haushaltsbuch möglichst einfach und selbsterklärend aufzubauen, so dass Sie möglichst gleich starten können.</t>
  </si>
  <si>
    <t>kleine "Bedienungsanleitung"</t>
  </si>
  <si>
    <t>Registerblatt "detaillierte Jahresübersicht"</t>
  </si>
  <si>
    <t>Hier erhalten Sie einen Überblick über Ihre Einnahmen und Ausgaben über das Jahr.</t>
  </si>
  <si>
    <t>Sie können in diesem Register die Einnahmen, fixe Ausgaben und die variablen Ausgaben(pro Rubrik) ersehen, die bis jetzt angefallen sind (kummulierte Werte)</t>
  </si>
  <si>
    <t>und erhalten so einen schnellen Überblick darüber, ob Sie über das Jahr gesehen in der Verlust- oder der Überschusszone sind.</t>
  </si>
  <si>
    <r>
      <t xml:space="preserve">Die Angaben berechnen sich aus den Registern "Januar bis Dezember" </t>
    </r>
    <r>
      <rPr>
        <b/>
        <sz val="10"/>
        <color indexed="10"/>
        <rFont val="Arial"/>
        <family val="2"/>
      </rPr>
      <t>automatisch</t>
    </r>
    <r>
      <rPr>
        <sz val="10"/>
        <rFont val="Arial"/>
        <family val="2"/>
      </rPr>
      <t>.</t>
    </r>
  </si>
  <si>
    <t>Registerblatt "Januar bis Dezember"</t>
  </si>
  <si>
    <t>Hier spielt sich das eigentliche Geschehen ab. Jede Monatsübersicht enthält die mtl. Einnahmen, die mtl. fixen Kosten und natürlich die</t>
  </si>
  <si>
    <t>variablen / freien Ausgaben. Beginnen Sie mit dem Erfassen der Einnahmen (Gehalt, Kindergeld etc.), danach füllen Sie die Spalten der fixen Kosten aus.</t>
  </si>
  <si>
    <t xml:space="preserve">Im Bereich der variablen monatlichen Ausgaben können Sie die einzelnen Belege von Ihren Einkäufen erfassen und den Betrag der jeweiligen Rubrik </t>
  </si>
  <si>
    <t>zuordnen. Die Werte in den einzelnen Rubriken werden dann aufaddiert und in die Jahresübersicht übernommen.</t>
  </si>
  <si>
    <t>Am Seiten-Ende der Monatsübersicht erscheint Ihre Familienbilanz und zeigt Ihnen auf einen Blick wie Sie im aktuellen Monat "gewirtschaftet" haben.</t>
  </si>
  <si>
    <t>Individuelle Anpassungen</t>
  </si>
  <si>
    <t xml:space="preserve">Wenn die hinterlegten Rubriken in den Monaten bei den Einnahmen/Ausgaben nicht zu Ihrem Haushalt passen können Sie die Rubriken auch selbst </t>
  </si>
  <si>
    <r>
      <t>anpassen. Die Festlegung der Rubriken erfolgt im Registerblatt "</t>
    </r>
    <r>
      <rPr>
        <b/>
        <sz val="10"/>
        <rFont val="Arial"/>
        <family val="2"/>
      </rPr>
      <t>Januar</t>
    </r>
    <r>
      <rPr>
        <sz val="10"/>
        <rFont val="Arial"/>
        <family val="2"/>
      </rPr>
      <t>". Alle anderen Monate und auch die Gesamtübersicht greifen auf den Januar zu und holen</t>
    </r>
  </si>
  <si>
    <t>sich dort die Registerinformationen. Falls Ihnen Spalten/Zeilen fehlen...fügen Sie sie einfach hinzu. Sie können das Haushaltsbuch 100% an Ihre Bedürfnisse anpassen.</t>
  </si>
  <si>
    <t>Mehr Funktionen, als das familienbilanz-Haushaltsbuch in der Basis-Version</t>
  </si>
  <si>
    <r>
      <t xml:space="preserve">Die Einnahmen und die fixen Kosten werden </t>
    </r>
    <r>
      <rPr>
        <b/>
        <sz val="10"/>
        <rFont val="Arial"/>
        <family val="2"/>
      </rPr>
      <t>in den Folgemonat automatisch übernommen</t>
    </r>
    <r>
      <rPr>
        <sz val="10"/>
        <rFont val="Arial"/>
        <family val="2"/>
      </rPr>
      <t xml:space="preserve">. Die Werte können aber dennoch im jeweiligen Monat manuell  </t>
    </r>
  </si>
  <si>
    <t>angepasst werden. Im jeweiligen Monatsregister werden neben monatlichen Gegenüberstellung der Einnahmen/Ausgaben auch die bisher angefallenen</t>
  </si>
  <si>
    <r>
      <t>Ausgaben und Einnahmen des laufenden Jahres</t>
    </r>
    <r>
      <rPr>
        <sz val="10"/>
        <rFont val="Arial"/>
        <family val="2"/>
      </rPr>
      <t xml:space="preserve"> mitangezeigt. Des Weiteren wurde eine </t>
    </r>
    <r>
      <rPr>
        <b/>
        <sz val="10"/>
        <rFont val="Arial"/>
        <family val="2"/>
      </rPr>
      <t>Datumspalte</t>
    </r>
    <r>
      <rPr>
        <sz val="10"/>
        <rFont val="Arial"/>
        <family val="2"/>
      </rPr>
      <t xml:space="preserve"> bei den variablen Ausgaben eingefügt.</t>
    </r>
  </si>
  <si>
    <t>HINWEIS</t>
  </si>
  <si>
    <t>Das Haushaltsbuch unterliegt dem Copyright von familienbilanz.de und darf nicht weiterverkauft werden oder unter einem anderen Namen in Umlauf gebracht werden.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</si>
  <si>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</si>
  <si>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</si>
  <si>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</si>
  <si>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</si>
  <si>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</si>
  <si>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</si>
  <si>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</si>
  <si>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</si>
  <si>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</si>
  <si>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</si>
  <si>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</si>
  <si>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</si>
  <si>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Gesamt</t>
  </si>
  <si>
    <t>Einnahmen</t>
  </si>
  <si>
    <t>Fixkosten</t>
  </si>
  <si>
    <t>Familienbilanz</t>
  </si>
  <si>
    <t>fixe Ausgaben</t>
  </si>
  <si>
    <t>variable Ausgaben</t>
  </si>
  <si>
    <t>Ergebnis</t>
  </si>
  <si>
    <t>Gehalt 1</t>
  </si>
  <si>
    <t>Sonstiges</t>
  </si>
  <si>
    <t>Ausgaben (fix)</t>
  </si>
  <si>
    <t>variable monatliche Ausgaben</t>
  </si>
  <si>
    <t>Datum</t>
  </si>
  <si>
    <t>Wo wurde gekauft?</t>
  </si>
  <si>
    <t>Hygiene</t>
  </si>
  <si>
    <t>Freizeit</t>
  </si>
  <si>
    <t>Arzt/Apo</t>
  </si>
  <si>
    <r>
      <t xml:space="preserve">GESAMT </t>
    </r>
    <r>
      <rPr>
        <sz val="8"/>
        <rFont val="Arial"/>
        <family val="2"/>
      </rPr>
      <t>(variable Kosten nach Rubriken)</t>
    </r>
  </si>
  <si>
    <t>FAMILIENBILANZ</t>
  </si>
  <si>
    <t>Gesamtkosten (variabel)</t>
  </si>
  <si>
    <t>Gesamtkosten (fix)</t>
  </si>
  <si>
    <t>monatliche Gesamtkosten</t>
  </si>
  <si>
    <t>monatliche Einnahmen</t>
  </si>
  <si>
    <t>Überschuss (+) / Verlust (-)</t>
  </si>
  <si>
    <t>Lebensmittel</t>
  </si>
  <si>
    <t>Telefon</t>
  </si>
  <si>
    <t>Haushalt</t>
  </si>
  <si>
    <t>Abfall</t>
  </si>
  <si>
    <t>Tabak</t>
  </si>
  <si>
    <t>Anschaffungen</t>
  </si>
  <si>
    <t>Versicherungen</t>
  </si>
  <si>
    <t>Diana</t>
  </si>
  <si>
    <t>xxx</t>
  </si>
  <si>
    <r>
      <t xml:space="preserve">GESAMT </t>
    </r>
    <r>
      <rPr>
        <sz val="8"/>
        <color theme="0"/>
        <rFont val="Arial"/>
        <family val="2"/>
      </rPr>
      <t>(variable Kosten nach Rubriken)</t>
    </r>
  </si>
  <si>
    <t>BILANZ</t>
  </si>
  <si>
    <t>Gas</t>
  </si>
  <si>
    <t>Strom</t>
  </si>
  <si>
    <t>Wasser
Abwasser</t>
  </si>
  <si>
    <t>Kleidung</t>
  </si>
  <si>
    <t>Verkehr</t>
  </si>
  <si>
    <t>Literatur</t>
  </si>
  <si>
    <t>Auto/ÖPV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</si>
</sst>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_ ;[Red]\-#,##0.00\ "/>
  </numFmts>
  <fonts count="33" x14ac:knownFonts="1">
    <font>
      <sz val="10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9"/>
      <color indexed="17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9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17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9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17"/>
      <name val="Arial"/>
      <family val="2"/>
    </font>
    <font>
      <b/>
      <sz val="14"/>
      <color theme="0"/>
      <name val="Arial"/>
      <family val="2"/>
    </font>
    <font>
      <sz val="9"/>
      <color theme="0"/>
      <name val="Arial"/>
      <family val="2"/>
    </font>
    <font>
      <sz val="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theme="8"/>
        <bgColor indexed="31"/>
      </patternFill>
    </fill>
    <fill>
      <patternFill patternType="solid">
        <fgColor theme="8" tint="0.59999389629810485"/>
        <bgColor indexed="31"/>
      </patternFill>
    </fill>
    <fill>
      <patternFill patternType="solid">
        <fgColor theme="8" tint="0.79998168889431442"/>
        <bgColor indexed="26"/>
      </patternFill>
    </fill>
    <fill>
      <patternFill patternType="solid">
        <fgColor theme="8"/>
        <bgColor indexed="26"/>
      </patternFill>
    </fill>
    <fill>
      <patternFill patternType="solid">
        <fgColor theme="8" tint="0.79998168889431442"/>
        <bgColor indexed="31"/>
      </patternFill>
    </fill>
    <fill>
      <patternFill patternType="solid">
        <fgColor theme="8" tint="0.79998168889431442"/>
        <bgColor indexed="41"/>
      </patternFill>
    </fill>
    <fill>
      <patternFill patternType="solid">
        <fgColor theme="8" tint="0.59999389629810485"/>
        <bgColor indexed="41"/>
      </patternFill>
    </fill>
    <fill>
      <patternFill patternType="solid">
        <fgColor theme="8" tint="0.39997558519241921"/>
        <bgColor indexed="31"/>
      </patternFill>
    </fill>
  </fills>
  <borders count="116">
    <border>
      <left/>
      <right/>
      <top/>
      <bottom/>
      <diagonal/>
    </border>
    <border>
      <left style="thin">
        <color indexed="63"/>
      </left>
      <right/>
      <top style="thin">
        <color indexed="63"/>
      </top>
      <bottom style="hair">
        <color indexed="8"/>
      </bottom>
      <diagonal/>
    </border>
    <border>
      <left/>
      <right/>
      <top style="thin">
        <color indexed="63"/>
      </top>
      <bottom style="hair">
        <color indexed="8"/>
      </bottom>
      <diagonal/>
    </border>
    <border>
      <left/>
      <right style="thin">
        <color indexed="63"/>
      </right>
      <top style="thin">
        <color indexed="63"/>
      </top>
      <bottom style="hair">
        <color indexed="8"/>
      </bottom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thin">
        <color indexed="63"/>
      </right>
      <top/>
      <bottom style="hair">
        <color indexed="8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thin">
        <color indexed="63"/>
      </right>
      <top style="medium">
        <color indexed="63"/>
      </top>
      <bottom/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thin">
        <color indexed="63"/>
      </right>
      <top/>
      <bottom style="medium">
        <color indexed="63"/>
      </bottom>
      <diagonal/>
    </border>
    <border>
      <left style="hair">
        <color indexed="8"/>
      </left>
      <right style="hair">
        <color indexed="8"/>
      </right>
      <top style="thin">
        <color indexed="63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/>
      <top style="thin">
        <color indexed="63"/>
      </top>
      <bottom style="thin">
        <color indexed="8"/>
      </bottom>
      <diagonal/>
    </border>
    <border>
      <left/>
      <right style="thin">
        <color indexed="63"/>
      </right>
      <top style="thin">
        <color indexed="63"/>
      </top>
      <bottom style="thin">
        <color indexed="8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 style="thin">
        <color indexed="63"/>
      </left>
      <right style="medium">
        <color indexed="64"/>
      </right>
      <top style="medium">
        <color indexed="64"/>
      </top>
      <bottom style="thin">
        <color indexed="63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64"/>
      </right>
      <top/>
      <bottom style="hair">
        <color indexed="8"/>
      </bottom>
      <diagonal/>
    </border>
    <border>
      <left style="medium">
        <color indexed="64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8"/>
      </right>
      <top style="hair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3"/>
      </top>
      <bottom/>
      <diagonal/>
    </border>
    <border>
      <left style="hair">
        <color indexed="8"/>
      </left>
      <right style="medium">
        <color indexed="64"/>
      </right>
      <top/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/>
      <right style="medium">
        <color indexed="64"/>
      </right>
      <top/>
      <bottom style="thin">
        <color indexed="63"/>
      </bottom>
      <diagonal/>
    </border>
    <border>
      <left style="medium">
        <color indexed="64"/>
      </left>
      <right/>
      <top style="thin">
        <color indexed="63"/>
      </top>
      <bottom style="thin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3"/>
      </top>
      <bottom/>
      <diagonal/>
    </border>
    <border>
      <left/>
      <right style="thin">
        <color indexed="63"/>
      </right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3"/>
      </bottom>
      <diagonal/>
    </border>
    <border>
      <left/>
      <right style="medium">
        <color indexed="64"/>
      </right>
      <top style="medium">
        <color indexed="64"/>
      </top>
      <bottom style="thin">
        <color indexed="63"/>
      </bottom>
      <diagonal/>
    </border>
    <border>
      <left style="thin">
        <color indexed="63"/>
      </left>
      <right style="medium">
        <color indexed="64"/>
      </right>
      <top style="thin">
        <color indexed="63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medium">
        <color indexed="64"/>
      </top>
      <bottom style="thin">
        <color indexed="63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hair">
        <color indexed="8"/>
      </right>
      <top/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64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3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medium">
        <color indexed="64"/>
      </bottom>
      <diagonal/>
    </border>
    <border>
      <left/>
      <right style="hair">
        <color indexed="8"/>
      </right>
      <top style="thin">
        <color indexed="8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medium">
        <color indexed="64"/>
      </bottom>
      <diagonal/>
    </border>
    <border>
      <left style="hair">
        <color indexed="8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3"/>
      </bottom>
      <diagonal/>
    </border>
    <border>
      <left style="thin">
        <color indexed="63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3"/>
      </right>
      <top style="medium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medium">
        <color indexed="64"/>
      </bottom>
      <diagonal/>
    </border>
    <border>
      <left style="thin">
        <color indexed="63"/>
      </left>
      <right style="medium">
        <color indexed="64"/>
      </right>
      <top style="thin">
        <color indexed="63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hair">
        <color indexed="8"/>
      </bottom>
      <diagonal/>
    </border>
    <border>
      <left style="thin">
        <color indexed="8"/>
      </left>
      <right style="medium">
        <color indexed="63"/>
      </right>
      <top style="medium">
        <color indexed="64"/>
      </top>
      <bottom style="hair">
        <color indexed="8"/>
      </bottom>
      <diagonal/>
    </border>
    <border>
      <left/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hair">
        <color indexed="8"/>
      </left>
      <right/>
      <top style="medium">
        <color indexed="64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medium">
        <color indexed="64"/>
      </top>
      <bottom style="hair">
        <color indexed="8"/>
      </bottom>
      <diagonal/>
    </border>
    <border>
      <left style="thin">
        <color indexed="8"/>
      </left>
      <right style="medium">
        <color indexed="63"/>
      </right>
      <top style="hair">
        <color indexed="8"/>
      </top>
      <bottom style="medium">
        <color indexed="64"/>
      </bottom>
      <diagonal/>
    </border>
    <border>
      <left/>
      <right style="hair">
        <color indexed="8"/>
      </right>
      <top style="hair">
        <color indexed="8"/>
      </top>
      <bottom style="medium">
        <color indexed="64"/>
      </bottom>
      <diagonal/>
    </border>
    <border>
      <left/>
      <right style="thin">
        <color indexed="63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3"/>
      </right>
      <top/>
      <bottom/>
      <diagonal/>
    </border>
    <border>
      <left style="medium">
        <color indexed="64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/>
      <right/>
      <top style="medium">
        <color indexed="64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thin">
        <color indexed="63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thin">
        <color indexed="63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3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medium">
        <color indexed="64"/>
      </bottom>
      <diagonal/>
    </border>
    <border>
      <left/>
      <right/>
      <top style="hair">
        <color indexed="8"/>
      </top>
      <bottom style="medium">
        <color indexed="64"/>
      </bottom>
      <diagonal/>
    </border>
    <border>
      <left/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3"/>
      </bottom>
      <diagonal/>
    </border>
    <border>
      <left/>
      <right style="medium">
        <color indexed="64"/>
      </right>
      <top style="thin">
        <color indexed="63"/>
      </top>
      <bottom style="hair">
        <color indexed="8"/>
      </bottom>
      <diagonal/>
    </border>
    <border>
      <left/>
      <right style="thin">
        <color indexed="63"/>
      </right>
      <top style="medium">
        <color indexed="64"/>
      </top>
      <bottom style="thin">
        <color indexed="63"/>
      </bottom>
      <diagonal/>
    </border>
    <border>
      <left/>
      <right style="thin">
        <color indexed="64"/>
      </right>
      <top style="medium">
        <color indexed="64"/>
      </top>
      <bottom style="thin">
        <color indexed="63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29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0" fillId="3" borderId="2" xfId="0" applyFill="1" applyBorder="1"/>
    <xf numFmtId="0" fontId="0" fillId="3" borderId="3" xfId="0" applyFill="1" applyBorder="1" applyAlignment="1">
      <alignment horizontal="right"/>
    </xf>
    <xf numFmtId="0" fontId="1" fillId="3" borderId="4" xfId="0" applyFont="1" applyFill="1" applyBorder="1"/>
    <xf numFmtId="0" fontId="0" fillId="3" borderId="0" xfId="0" applyFill="1"/>
    <xf numFmtId="0" fontId="2" fillId="3" borderId="0" xfId="0" applyFont="1" applyFill="1"/>
    <xf numFmtId="0" fontId="3" fillId="3" borderId="5" xfId="0" applyFont="1" applyFill="1" applyBorder="1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2" borderId="4" xfId="0" applyFill="1" applyBorder="1"/>
    <xf numFmtId="0" fontId="0" fillId="2" borderId="5" xfId="0" applyFill="1" applyBorder="1"/>
    <xf numFmtId="0" fontId="1" fillId="2" borderId="4" xfId="0" applyFont="1" applyFill="1" applyBorder="1"/>
    <xf numFmtId="0" fontId="4" fillId="2" borderId="0" xfId="0" applyFont="1" applyFill="1"/>
    <xf numFmtId="0" fontId="4" fillId="2" borderId="5" xfId="0" applyFont="1" applyFill="1" applyBorder="1"/>
    <xf numFmtId="0" fontId="5" fillId="3" borderId="9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5" fillId="3" borderId="12" xfId="0" applyFont="1" applyFill="1" applyBorder="1"/>
    <xf numFmtId="0" fontId="5" fillId="5" borderId="15" xfId="0" applyFont="1" applyFill="1" applyBorder="1"/>
    <xf numFmtId="0" fontId="0" fillId="5" borderId="16" xfId="0" applyFill="1" applyBorder="1"/>
    <xf numFmtId="0" fontId="0" fillId="5" borderId="17" xfId="0" applyFill="1" applyBorder="1"/>
    <xf numFmtId="0" fontId="5" fillId="5" borderId="18" xfId="0" applyFont="1" applyFill="1" applyBorder="1"/>
    <xf numFmtId="0" fontId="0" fillId="5" borderId="19" xfId="0" applyFill="1" applyBorder="1"/>
    <xf numFmtId="0" fontId="0" fillId="5" borderId="20" xfId="0" applyFill="1" applyBorder="1"/>
    <xf numFmtId="164" fontId="0" fillId="2" borderId="24" xfId="0" applyNumberFormat="1" applyFill="1" applyBorder="1"/>
    <xf numFmtId="0" fontId="2" fillId="4" borderId="0" xfId="0" applyFont="1" applyFill="1" applyProtection="1">
      <protection locked="0"/>
    </xf>
    <xf numFmtId="0" fontId="2" fillId="6" borderId="0" xfId="0" applyFont="1" applyFill="1" applyAlignment="1">
      <alignment horizontal="left"/>
    </xf>
    <xf numFmtId="0" fontId="2" fillId="4" borderId="0" xfId="0" applyFont="1" applyFill="1" applyAlignment="1" applyProtection="1">
      <alignment horizontal="left"/>
      <protection locked="0"/>
    </xf>
    <xf numFmtId="0" fontId="11" fillId="4" borderId="0" xfId="0" applyFont="1" applyFill="1" applyProtection="1">
      <protection locked="0"/>
    </xf>
    <xf numFmtId="0" fontId="11" fillId="4" borderId="0" xfId="0" applyFont="1" applyFill="1"/>
    <xf numFmtId="2" fontId="0" fillId="0" borderId="0" xfId="0" applyNumberFormat="1"/>
    <xf numFmtId="0" fontId="14" fillId="0" borderId="0" xfId="0" applyFont="1"/>
    <xf numFmtId="0" fontId="17" fillId="4" borderId="0" xfId="0" applyFont="1" applyFill="1" applyAlignment="1" applyProtection="1">
      <alignment horizontal="left"/>
      <protection locked="0"/>
    </xf>
    <xf numFmtId="0" fontId="17" fillId="4" borderId="0" xfId="0" applyFont="1" applyFill="1" applyProtection="1">
      <protection locked="0"/>
    </xf>
    <xf numFmtId="0" fontId="20" fillId="4" borderId="0" xfId="0" applyFont="1" applyFill="1"/>
    <xf numFmtId="0" fontId="23" fillId="0" borderId="0" xfId="0" applyFont="1"/>
    <xf numFmtId="0" fontId="26" fillId="4" borderId="0" xfId="0" applyFont="1" applyFill="1" applyAlignment="1" applyProtection="1">
      <alignment horizontal="left"/>
      <protection locked="0"/>
    </xf>
    <xf numFmtId="0" fontId="26" fillId="4" borderId="0" xfId="0" applyFont="1" applyFill="1" applyProtection="1">
      <protection locked="0"/>
    </xf>
    <xf numFmtId="0" fontId="29" fillId="4" borderId="0" xfId="0" applyFont="1" applyFill="1"/>
    <xf numFmtId="0" fontId="5" fillId="8" borderId="10" xfId="0" applyFont="1" applyFill="1" applyBorder="1"/>
    <xf numFmtId="0" fontId="0" fillId="8" borderId="10" xfId="0" applyFill="1" applyBorder="1"/>
    <xf numFmtId="0" fontId="18" fillId="8" borderId="10" xfId="0" applyFont="1" applyFill="1" applyBorder="1"/>
    <xf numFmtId="0" fontId="27" fillId="8" borderId="10" xfId="0" applyFont="1" applyFill="1" applyBorder="1"/>
    <xf numFmtId="164" fontId="2" fillId="9" borderId="26" xfId="0" applyNumberFormat="1" applyFont="1" applyFill="1" applyBorder="1" applyProtection="1">
      <protection locked="0"/>
    </xf>
    <xf numFmtId="164" fontId="2" fillId="9" borderId="25" xfId="0" applyNumberFormat="1" applyFont="1" applyFill="1" applyBorder="1" applyProtection="1">
      <protection locked="0"/>
    </xf>
    <xf numFmtId="164" fontId="2" fillId="9" borderId="29" xfId="0" applyNumberFormat="1" applyFont="1" applyFill="1" applyBorder="1" applyProtection="1">
      <protection locked="0"/>
    </xf>
    <xf numFmtId="164" fontId="2" fillId="9" borderId="22" xfId="0" applyNumberFormat="1" applyFont="1" applyFill="1" applyBorder="1" applyProtection="1">
      <protection locked="0"/>
    </xf>
    <xf numFmtId="164" fontId="2" fillId="9" borderId="23" xfId="0" applyNumberFormat="1" applyFont="1" applyFill="1" applyBorder="1" applyProtection="1">
      <protection locked="0"/>
    </xf>
    <xf numFmtId="2" fontId="2" fillId="9" borderId="22" xfId="0" applyNumberFormat="1" applyFont="1" applyFill="1" applyBorder="1" applyProtection="1">
      <protection locked="0"/>
    </xf>
    <xf numFmtId="164" fontId="17" fillId="9" borderId="26" xfId="0" applyNumberFormat="1" applyFont="1" applyFill="1" applyBorder="1" applyProtection="1">
      <protection locked="0"/>
    </xf>
    <xf numFmtId="164" fontId="17" fillId="9" borderId="25" xfId="0" applyNumberFormat="1" applyFont="1" applyFill="1" applyBorder="1" applyProtection="1">
      <protection locked="0"/>
    </xf>
    <xf numFmtId="164" fontId="17" fillId="9" borderId="29" xfId="0" applyNumberFormat="1" applyFont="1" applyFill="1" applyBorder="1" applyProtection="1">
      <protection locked="0"/>
    </xf>
    <xf numFmtId="164" fontId="17" fillId="9" borderId="22" xfId="0" applyNumberFormat="1" applyFont="1" applyFill="1" applyBorder="1" applyProtection="1">
      <protection locked="0"/>
    </xf>
    <xf numFmtId="164" fontId="17" fillId="9" borderId="23" xfId="0" applyNumberFormat="1" applyFont="1" applyFill="1" applyBorder="1" applyProtection="1">
      <protection locked="0"/>
    </xf>
    <xf numFmtId="164" fontId="26" fillId="9" borderId="26" xfId="0" applyNumberFormat="1" applyFont="1" applyFill="1" applyBorder="1" applyProtection="1">
      <protection locked="0"/>
    </xf>
    <xf numFmtId="164" fontId="26" fillId="9" borderId="22" xfId="0" applyNumberFormat="1" applyFont="1" applyFill="1" applyBorder="1" applyProtection="1">
      <protection locked="0"/>
    </xf>
    <xf numFmtId="164" fontId="26" fillId="9" borderId="25" xfId="0" applyNumberFormat="1" applyFont="1" applyFill="1" applyBorder="1" applyProtection="1">
      <protection locked="0"/>
    </xf>
    <xf numFmtId="164" fontId="26" fillId="9" borderId="29" xfId="0" applyNumberFormat="1" applyFont="1" applyFill="1" applyBorder="1" applyProtection="1">
      <protection locked="0"/>
    </xf>
    <xf numFmtId="164" fontId="26" fillId="9" borderId="23" xfId="0" applyNumberFormat="1" applyFont="1" applyFill="1" applyBorder="1" applyProtection="1">
      <protection locked="0"/>
    </xf>
    <xf numFmtId="2" fontId="2" fillId="9" borderId="26" xfId="0" applyNumberFormat="1" applyFont="1" applyFill="1" applyBorder="1" applyProtection="1">
      <protection locked="0"/>
    </xf>
    <xf numFmtId="0" fontId="10" fillId="9" borderId="27" xfId="0" applyFont="1" applyFill="1" applyBorder="1" applyAlignment="1">
      <alignment horizontal="left"/>
    </xf>
    <xf numFmtId="0" fontId="2" fillId="9" borderId="28" xfId="0" applyFont="1" applyFill="1" applyBorder="1"/>
    <xf numFmtId="0" fontId="0" fillId="9" borderId="5" xfId="0" applyFill="1" applyBorder="1"/>
    <xf numFmtId="0" fontId="5" fillId="9" borderId="5" xfId="0" applyFont="1" applyFill="1" applyBorder="1"/>
    <xf numFmtId="0" fontId="0" fillId="9" borderId="5" xfId="0" applyFill="1" applyBorder="1" applyProtection="1">
      <protection locked="0"/>
    </xf>
    <xf numFmtId="0" fontId="5" fillId="9" borderId="5" xfId="0" applyFont="1" applyFill="1" applyBorder="1" applyProtection="1">
      <protection locked="0"/>
    </xf>
    <xf numFmtId="0" fontId="14" fillId="9" borderId="5" xfId="0" applyFont="1" applyFill="1" applyBorder="1"/>
    <xf numFmtId="0" fontId="18" fillId="9" borderId="5" xfId="0" applyFont="1" applyFill="1" applyBorder="1"/>
    <xf numFmtId="0" fontId="23" fillId="9" borderId="5" xfId="0" applyFont="1" applyFill="1" applyBorder="1"/>
    <xf numFmtId="0" fontId="27" fillId="9" borderId="5" xfId="0" applyFont="1" applyFill="1" applyBorder="1"/>
    <xf numFmtId="0" fontId="2" fillId="8" borderId="0" xfId="0" applyFont="1" applyFill="1" applyAlignment="1">
      <alignment horizontal="left"/>
    </xf>
    <xf numFmtId="0" fontId="2" fillId="8" borderId="0" xfId="0" applyFont="1" applyFill="1"/>
    <xf numFmtId="0" fontId="10" fillId="8" borderId="0" xfId="0" applyFont="1" applyFill="1" applyAlignment="1">
      <alignment horizontal="left"/>
    </xf>
    <xf numFmtId="0" fontId="10" fillId="8" borderId="0" xfId="0" applyFont="1" applyFill="1"/>
    <xf numFmtId="4" fontId="10" fillId="8" borderId="0" xfId="0" applyNumberFormat="1" applyFont="1" applyFill="1"/>
    <xf numFmtId="4" fontId="2" fillId="8" borderId="13" xfId="0" applyNumberFormat="1" applyFont="1" applyFill="1" applyBorder="1"/>
    <xf numFmtId="164" fontId="0" fillId="0" borderId="0" xfId="0" applyNumberFormat="1"/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2" fillId="9" borderId="32" xfId="0" applyFont="1" applyFill="1" applyBorder="1" applyProtection="1">
      <protection locked="0"/>
    </xf>
    <xf numFmtId="0" fontId="2" fillId="9" borderId="33" xfId="0" applyFont="1" applyFill="1" applyBorder="1" applyProtection="1">
      <protection locked="0"/>
    </xf>
    <xf numFmtId="0" fontId="2" fillId="9" borderId="34" xfId="0" applyFont="1" applyFill="1" applyBorder="1" applyProtection="1">
      <protection locked="0"/>
    </xf>
    <xf numFmtId="0" fontId="2" fillId="9" borderId="35" xfId="0" applyFont="1" applyFill="1" applyBorder="1" applyProtection="1">
      <protection locked="0"/>
    </xf>
    <xf numFmtId="16" fontId="2" fillId="9" borderId="34" xfId="0" applyNumberFormat="1" applyFont="1" applyFill="1" applyBorder="1" applyProtection="1">
      <protection locked="0"/>
    </xf>
    <xf numFmtId="0" fontId="2" fillId="9" borderId="36" xfId="0" applyFont="1" applyFill="1" applyBorder="1" applyProtection="1">
      <protection locked="0"/>
    </xf>
    <xf numFmtId="0" fontId="2" fillId="9" borderId="37" xfId="0" applyFont="1" applyFill="1" applyBorder="1" applyProtection="1">
      <protection locked="0"/>
    </xf>
    <xf numFmtId="0" fontId="2" fillId="9" borderId="38" xfId="0" applyFont="1" applyFill="1" applyBorder="1" applyProtection="1">
      <protection locked="0"/>
    </xf>
    <xf numFmtId="0" fontId="2" fillId="9" borderId="39" xfId="0" applyFont="1" applyFill="1" applyBorder="1" applyProtection="1">
      <protection locked="0"/>
    </xf>
    <xf numFmtId="14" fontId="2" fillId="9" borderId="34" xfId="0" applyNumberFormat="1" applyFont="1" applyFill="1" applyBorder="1" applyProtection="1">
      <protection locked="0"/>
    </xf>
    <xf numFmtId="0" fontId="10" fillId="9" borderId="40" xfId="0" applyFont="1" applyFill="1" applyBorder="1" applyAlignment="1">
      <alignment horizontal="left"/>
    </xf>
    <xf numFmtId="0" fontId="10" fillId="9" borderId="19" xfId="0" applyFont="1" applyFill="1" applyBorder="1" applyAlignment="1">
      <alignment horizontal="left"/>
    </xf>
    <xf numFmtId="0" fontId="10" fillId="9" borderId="20" xfId="0" applyFont="1" applyFill="1" applyBorder="1"/>
    <xf numFmtId="4" fontId="10" fillId="9" borderId="41" xfId="0" applyNumberFormat="1" applyFont="1" applyFill="1" applyBorder="1"/>
    <xf numFmtId="0" fontId="30" fillId="7" borderId="42" xfId="0" applyFont="1" applyFill="1" applyBorder="1"/>
    <xf numFmtId="0" fontId="1" fillId="7" borderId="43" xfId="0" applyFont="1" applyFill="1" applyBorder="1"/>
    <xf numFmtId="0" fontId="7" fillId="7" borderId="43" xfId="0" applyFont="1" applyFill="1" applyBorder="1"/>
    <xf numFmtId="0" fontId="0" fillId="7" borderId="43" xfId="0" applyFill="1" applyBorder="1"/>
    <xf numFmtId="2" fontId="0" fillId="7" borderId="43" xfId="0" applyNumberFormat="1" applyFill="1" applyBorder="1"/>
    <xf numFmtId="0" fontId="8" fillId="7" borderId="43" xfId="1" applyFont="1" applyFill="1" applyBorder="1"/>
    <xf numFmtId="0" fontId="8" fillId="7" borderId="44" xfId="1" applyFont="1" applyFill="1" applyBorder="1"/>
    <xf numFmtId="0" fontId="0" fillId="7" borderId="45" xfId="0" applyFill="1" applyBorder="1"/>
    <xf numFmtId="0" fontId="0" fillId="7" borderId="0" xfId="0" applyFill="1"/>
    <xf numFmtId="0" fontId="7" fillId="7" borderId="0" xfId="0" applyFont="1" applyFill="1"/>
    <xf numFmtId="2" fontId="0" fillId="7" borderId="0" xfId="0" applyNumberFormat="1" applyFill="1"/>
    <xf numFmtId="0" fontId="8" fillId="7" borderId="0" xfId="1" applyFont="1" applyFill="1" applyBorder="1"/>
    <xf numFmtId="0" fontId="0" fillId="7" borderId="46" xfId="0" applyFill="1" applyBorder="1"/>
    <xf numFmtId="0" fontId="0" fillId="7" borderId="45" xfId="0" applyFill="1" applyBorder="1" applyAlignment="1">
      <alignment horizontal="left"/>
    </xf>
    <xf numFmtId="0" fontId="0" fillId="7" borderId="0" xfId="0" applyFill="1" applyAlignment="1">
      <alignment horizontal="left"/>
    </xf>
    <xf numFmtId="0" fontId="5" fillId="8" borderId="47" xfId="0" applyFont="1" applyFill="1" applyBorder="1"/>
    <xf numFmtId="164" fontId="2" fillId="9" borderId="48" xfId="0" applyNumberFormat="1" applyFont="1" applyFill="1" applyBorder="1" applyProtection="1">
      <protection locked="0"/>
    </xf>
    <xf numFmtId="164" fontId="2" fillId="9" borderId="49" xfId="0" applyNumberFormat="1" applyFont="1" applyFill="1" applyBorder="1" applyProtection="1">
      <protection locked="0"/>
    </xf>
    <xf numFmtId="0" fontId="2" fillId="8" borderId="45" xfId="0" applyFont="1" applyFill="1" applyBorder="1" applyAlignment="1">
      <alignment horizontal="left"/>
    </xf>
    <xf numFmtId="4" fontId="2" fillId="8" borderId="0" xfId="0" applyNumberFormat="1" applyFont="1" applyFill="1"/>
    <xf numFmtId="2" fontId="2" fillId="8" borderId="0" xfId="0" applyNumberFormat="1" applyFont="1" applyFill="1"/>
    <xf numFmtId="4" fontId="2" fillId="8" borderId="46" xfId="0" applyNumberFormat="1" applyFont="1" applyFill="1" applyBorder="1"/>
    <xf numFmtId="0" fontId="10" fillId="9" borderId="51" xfId="0" applyFont="1" applyFill="1" applyBorder="1" applyAlignment="1">
      <alignment horizontal="left"/>
    </xf>
    <xf numFmtId="0" fontId="2" fillId="8" borderId="46" xfId="0" applyFont="1" applyFill="1" applyBorder="1"/>
    <xf numFmtId="0" fontId="0" fillId="9" borderId="45" xfId="0" applyFill="1" applyBorder="1" applyAlignment="1">
      <alignment horizontal="left"/>
    </xf>
    <xf numFmtId="0" fontId="0" fillId="9" borderId="0" xfId="0" applyFill="1" applyAlignment="1">
      <alignment horizontal="left"/>
    </xf>
    <xf numFmtId="0" fontId="5" fillId="9" borderId="45" xfId="0" applyFont="1" applyFill="1" applyBorder="1" applyAlignment="1">
      <alignment horizontal="left"/>
    </xf>
    <xf numFmtId="0" fontId="5" fillId="9" borderId="0" xfId="0" applyFont="1" applyFill="1" applyAlignment="1">
      <alignment horizontal="left"/>
    </xf>
    <xf numFmtId="0" fontId="5" fillId="8" borderId="0" xfId="0" applyFont="1" applyFill="1"/>
    <xf numFmtId="2" fontId="5" fillId="8" borderId="0" xfId="0" applyNumberFormat="1" applyFont="1" applyFill="1"/>
    <xf numFmtId="0" fontId="5" fillId="8" borderId="46" xfId="0" applyFont="1" applyFill="1" applyBorder="1"/>
    <xf numFmtId="0" fontId="0" fillId="8" borderId="0" xfId="0" applyFill="1"/>
    <xf numFmtId="2" fontId="0" fillId="8" borderId="0" xfId="0" applyNumberFormat="1" applyFill="1"/>
    <xf numFmtId="0" fontId="0" fillId="8" borderId="46" xfId="0" applyFill="1" applyBorder="1"/>
    <xf numFmtId="0" fontId="2" fillId="8" borderId="52" xfId="0" applyFont="1" applyFill="1" applyBorder="1" applyAlignment="1">
      <alignment horizontal="left"/>
    </xf>
    <xf numFmtId="0" fontId="2" fillId="8" borderId="53" xfId="0" applyFont="1" applyFill="1" applyBorder="1" applyAlignment="1">
      <alignment horizontal="left"/>
    </xf>
    <xf numFmtId="0" fontId="2" fillId="8" borderId="53" xfId="0" applyFont="1" applyFill="1" applyBorder="1"/>
    <xf numFmtId="2" fontId="2" fillId="8" borderId="53" xfId="0" applyNumberFormat="1" applyFont="1" applyFill="1" applyBorder="1"/>
    <xf numFmtId="0" fontId="2" fillId="8" borderId="54" xfId="0" applyFont="1" applyFill="1" applyBorder="1"/>
    <xf numFmtId="0" fontId="7" fillId="7" borderId="43" xfId="0" applyFont="1" applyFill="1" applyBorder="1" applyProtection="1">
      <protection locked="0"/>
    </xf>
    <xf numFmtId="0" fontId="0" fillId="7" borderId="43" xfId="0" applyFill="1" applyBorder="1" applyProtection="1">
      <protection locked="0"/>
    </xf>
    <xf numFmtId="0" fontId="8" fillId="7" borderId="44" xfId="1" applyFont="1" applyFill="1" applyBorder="1" applyProtection="1">
      <protection locked="0"/>
    </xf>
    <xf numFmtId="0" fontId="7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8" fillId="7" borderId="0" xfId="1" applyFont="1" applyFill="1" applyBorder="1" applyProtection="1">
      <protection locked="0"/>
    </xf>
    <xf numFmtId="0" fontId="0" fillId="7" borderId="46" xfId="0" applyFill="1" applyBorder="1" applyProtection="1">
      <protection locked="0"/>
    </xf>
    <xf numFmtId="0" fontId="2" fillId="8" borderId="0" xfId="0" applyFont="1" applyFill="1" applyProtection="1">
      <protection locked="0"/>
    </xf>
    <xf numFmtId="4" fontId="2" fillId="8" borderId="0" xfId="0" applyNumberFormat="1" applyFont="1" applyFill="1" applyProtection="1">
      <protection locked="0"/>
    </xf>
    <xf numFmtId="4" fontId="2" fillId="8" borderId="46" xfId="0" applyNumberFormat="1" applyFont="1" applyFill="1" applyBorder="1" applyProtection="1">
      <protection locked="0"/>
    </xf>
    <xf numFmtId="0" fontId="5" fillId="8" borderId="0" xfId="0" applyFont="1" applyFill="1" applyProtection="1">
      <protection locked="0"/>
    </xf>
    <xf numFmtId="0" fontId="2" fillId="8" borderId="46" xfId="0" applyFont="1" applyFill="1" applyBorder="1" applyProtection="1">
      <protection locked="0"/>
    </xf>
    <xf numFmtId="0" fontId="0" fillId="8" borderId="0" xfId="0" applyFill="1" applyAlignment="1" applyProtection="1">
      <alignment horizontal="left"/>
      <protection locked="0"/>
    </xf>
    <xf numFmtId="0" fontId="0" fillId="8" borderId="0" xfId="0" applyFill="1" applyProtection="1">
      <protection locked="0"/>
    </xf>
    <xf numFmtId="4" fontId="0" fillId="8" borderId="0" xfId="0" applyNumberFormat="1" applyFill="1" applyProtection="1">
      <protection locked="0"/>
    </xf>
    <xf numFmtId="0" fontId="5" fillId="8" borderId="0" xfId="0" applyFont="1" applyFill="1" applyAlignment="1" applyProtection="1">
      <alignment horizontal="left"/>
      <protection locked="0"/>
    </xf>
    <xf numFmtId="4" fontId="5" fillId="8" borderId="0" xfId="0" applyNumberFormat="1" applyFont="1" applyFill="1" applyProtection="1">
      <protection locked="0"/>
    </xf>
    <xf numFmtId="0" fontId="5" fillId="8" borderId="46" xfId="0" applyFont="1" applyFill="1" applyBorder="1" applyProtection="1">
      <protection locked="0"/>
    </xf>
    <xf numFmtId="0" fontId="0" fillId="8" borderId="46" xfId="0" applyFill="1" applyBorder="1" applyProtection="1">
      <protection locked="0"/>
    </xf>
    <xf numFmtId="0" fontId="2" fillId="8" borderId="0" xfId="0" applyFont="1" applyFill="1" applyAlignment="1" applyProtection="1">
      <alignment horizontal="left"/>
      <protection locked="0"/>
    </xf>
    <xf numFmtId="0" fontId="10" fillId="8" borderId="0" xfId="0" applyFont="1" applyFill="1" applyAlignment="1" applyProtection="1">
      <alignment horizontal="left"/>
      <protection locked="0"/>
    </xf>
    <xf numFmtId="0" fontId="10" fillId="8" borderId="0" xfId="0" applyFont="1" applyFill="1" applyProtection="1">
      <protection locked="0"/>
    </xf>
    <xf numFmtId="4" fontId="10" fillId="8" borderId="0" xfId="0" applyNumberFormat="1" applyFont="1" applyFill="1" applyProtection="1">
      <protection locked="0"/>
    </xf>
    <xf numFmtId="0" fontId="2" fillId="8" borderId="53" xfId="0" applyFont="1" applyFill="1" applyBorder="1" applyProtection="1">
      <protection locked="0"/>
    </xf>
    <xf numFmtId="0" fontId="2" fillId="8" borderId="54" xfId="0" applyFont="1" applyFill="1" applyBorder="1" applyProtection="1">
      <protection locked="0"/>
    </xf>
    <xf numFmtId="0" fontId="0" fillId="8" borderId="0" xfId="0" applyFill="1" applyAlignment="1">
      <alignment horizontal="left"/>
    </xf>
    <xf numFmtId="4" fontId="0" fillId="8" borderId="0" xfId="0" applyNumberFormat="1" applyFill="1"/>
    <xf numFmtId="0" fontId="5" fillId="8" borderId="0" xfId="0" applyFont="1" applyFill="1" applyAlignment="1">
      <alignment horizontal="left"/>
    </xf>
    <xf numFmtId="4" fontId="5" fillId="8" borderId="0" xfId="0" applyNumberFormat="1" applyFont="1" applyFill="1"/>
    <xf numFmtId="0" fontId="12" fillId="7" borderId="43" xfId="0" applyFont="1" applyFill="1" applyBorder="1"/>
    <xf numFmtId="0" fontId="13" fillId="7" borderId="43" xfId="0" applyFont="1" applyFill="1" applyBorder="1"/>
    <xf numFmtId="0" fontId="14" fillId="7" borderId="43" xfId="0" applyFont="1" applyFill="1" applyBorder="1"/>
    <xf numFmtId="0" fontId="15" fillId="7" borderId="43" xfId="1" applyFont="1" applyFill="1" applyBorder="1"/>
    <xf numFmtId="0" fontId="15" fillId="7" borderId="44" xfId="1" applyFont="1" applyFill="1" applyBorder="1"/>
    <xf numFmtId="0" fontId="14" fillId="7" borderId="45" xfId="0" applyFont="1" applyFill="1" applyBorder="1"/>
    <xf numFmtId="0" fontId="14" fillId="7" borderId="0" xfId="0" applyFont="1" applyFill="1"/>
    <xf numFmtId="0" fontId="13" fillId="7" borderId="0" xfId="0" applyFont="1" applyFill="1"/>
    <xf numFmtId="0" fontId="15" fillId="7" borderId="0" xfId="1" applyFont="1" applyFill="1" applyBorder="1"/>
    <xf numFmtId="0" fontId="14" fillId="7" borderId="46" xfId="0" applyFont="1" applyFill="1" applyBorder="1"/>
    <xf numFmtId="0" fontId="18" fillId="8" borderId="47" xfId="0" applyFont="1" applyFill="1" applyBorder="1"/>
    <xf numFmtId="164" fontId="17" fillId="9" borderId="48" xfId="0" applyNumberFormat="1" applyFont="1" applyFill="1" applyBorder="1" applyProtection="1">
      <protection locked="0"/>
    </xf>
    <xf numFmtId="164" fontId="17" fillId="9" borderId="49" xfId="0" applyNumberFormat="1" applyFont="1" applyFill="1" applyBorder="1" applyProtection="1">
      <protection locked="0"/>
    </xf>
    <xf numFmtId="0" fontId="17" fillId="8" borderId="45" xfId="0" applyFont="1" applyFill="1" applyBorder="1" applyAlignment="1">
      <alignment horizontal="left"/>
    </xf>
    <xf numFmtId="0" fontId="17" fillId="8" borderId="0" xfId="0" applyFont="1" applyFill="1" applyAlignment="1">
      <alignment horizontal="left"/>
    </xf>
    <xf numFmtId="0" fontId="17" fillId="8" borderId="0" xfId="0" applyFont="1" applyFill="1"/>
    <xf numFmtId="4" fontId="17" fillId="8" borderId="0" xfId="0" applyNumberFormat="1" applyFont="1" applyFill="1"/>
    <xf numFmtId="4" fontId="17" fillId="8" borderId="46" xfId="0" applyNumberFormat="1" applyFont="1" applyFill="1" applyBorder="1"/>
    <xf numFmtId="0" fontId="18" fillId="8" borderId="0" xfId="0" applyFont="1" applyFill="1"/>
    <xf numFmtId="0" fontId="17" fillId="8" borderId="46" xfId="0" applyFont="1" applyFill="1" applyBorder="1"/>
    <xf numFmtId="0" fontId="14" fillId="9" borderId="45" xfId="0" applyFont="1" applyFill="1" applyBorder="1" applyAlignment="1">
      <alignment horizontal="left"/>
    </xf>
    <xf numFmtId="0" fontId="14" fillId="9" borderId="0" xfId="0" applyFont="1" applyFill="1" applyAlignment="1">
      <alignment horizontal="left"/>
    </xf>
    <xf numFmtId="0" fontId="14" fillId="8" borderId="0" xfId="0" applyFont="1" applyFill="1" applyAlignment="1">
      <alignment horizontal="left"/>
    </xf>
    <xf numFmtId="0" fontId="14" fillId="8" borderId="0" xfId="0" applyFont="1" applyFill="1"/>
    <xf numFmtId="4" fontId="14" fillId="8" borderId="0" xfId="0" applyNumberFormat="1" applyFont="1" applyFill="1"/>
    <xf numFmtId="0" fontId="18" fillId="9" borderId="45" xfId="0" applyFont="1" applyFill="1" applyBorder="1" applyAlignment="1">
      <alignment horizontal="left"/>
    </xf>
    <xf numFmtId="0" fontId="18" fillId="9" borderId="0" xfId="0" applyFont="1" applyFill="1" applyAlignment="1">
      <alignment horizontal="left"/>
    </xf>
    <xf numFmtId="0" fontId="18" fillId="8" borderId="0" xfId="0" applyFont="1" applyFill="1" applyAlignment="1">
      <alignment horizontal="left"/>
    </xf>
    <xf numFmtId="4" fontId="18" fillId="8" borderId="0" xfId="0" applyNumberFormat="1" applyFont="1" applyFill="1"/>
    <xf numFmtId="0" fontId="18" fillId="8" borderId="46" xfId="0" applyFont="1" applyFill="1" applyBorder="1"/>
    <xf numFmtId="0" fontId="14" fillId="8" borderId="46" xfId="0" applyFont="1" applyFill="1" applyBorder="1"/>
    <xf numFmtId="0" fontId="19" fillId="8" borderId="0" xfId="0" applyFont="1" applyFill="1" applyAlignment="1">
      <alignment horizontal="left"/>
    </xf>
    <xf numFmtId="0" fontId="19" fillId="8" borderId="0" xfId="0" applyFont="1" applyFill="1"/>
    <xf numFmtId="4" fontId="19" fillId="8" borderId="0" xfId="0" applyNumberFormat="1" applyFont="1" applyFill="1"/>
    <xf numFmtId="0" fontId="17" fillId="8" borderId="52" xfId="0" applyFont="1" applyFill="1" applyBorder="1" applyAlignment="1">
      <alignment horizontal="left"/>
    </xf>
    <xf numFmtId="0" fontId="17" fillId="8" borderId="53" xfId="0" applyFont="1" applyFill="1" applyBorder="1" applyAlignment="1">
      <alignment horizontal="left"/>
    </xf>
    <xf numFmtId="0" fontId="17" fillId="8" borderId="53" xfId="0" applyFont="1" applyFill="1" applyBorder="1"/>
    <xf numFmtId="0" fontId="17" fillId="8" borderId="54" xfId="0" applyFont="1" applyFill="1" applyBorder="1"/>
    <xf numFmtId="0" fontId="21" fillId="7" borderId="43" xfId="0" applyFont="1" applyFill="1" applyBorder="1"/>
    <xf numFmtId="0" fontId="22" fillId="7" borderId="43" xfId="0" applyFont="1" applyFill="1" applyBorder="1"/>
    <xf numFmtId="0" fontId="23" fillId="7" borderId="43" xfId="0" applyFont="1" applyFill="1" applyBorder="1"/>
    <xf numFmtId="0" fontId="24" fillId="7" borderId="43" xfId="1" applyFont="1" applyFill="1" applyBorder="1"/>
    <xf numFmtId="0" fontId="24" fillId="7" borderId="44" xfId="1" applyFont="1" applyFill="1" applyBorder="1"/>
    <xf numFmtId="0" fontId="23" fillId="7" borderId="45" xfId="0" applyFont="1" applyFill="1" applyBorder="1"/>
    <xf numFmtId="0" fontId="23" fillId="7" borderId="0" xfId="0" applyFont="1" applyFill="1"/>
    <xf numFmtId="0" fontId="22" fillId="7" borderId="0" xfId="0" applyFont="1" applyFill="1"/>
    <xf numFmtId="0" fontId="24" fillId="7" borderId="0" xfId="1" applyFont="1" applyFill="1" applyBorder="1"/>
    <xf numFmtId="0" fontId="23" fillId="7" borderId="46" xfId="0" applyFont="1" applyFill="1" applyBorder="1"/>
    <xf numFmtId="0" fontId="27" fillId="8" borderId="47" xfId="0" applyFont="1" applyFill="1" applyBorder="1"/>
    <xf numFmtId="164" fontId="26" fillId="9" borderId="48" xfId="0" applyNumberFormat="1" applyFont="1" applyFill="1" applyBorder="1" applyProtection="1">
      <protection locked="0"/>
    </xf>
    <xf numFmtId="164" fontId="26" fillId="9" borderId="49" xfId="0" applyNumberFormat="1" applyFont="1" applyFill="1" applyBorder="1" applyProtection="1">
      <protection locked="0"/>
    </xf>
    <xf numFmtId="49" fontId="2" fillId="9" borderId="34" xfId="0" applyNumberFormat="1" applyFont="1" applyFill="1" applyBorder="1" applyProtection="1">
      <protection locked="0"/>
    </xf>
    <xf numFmtId="0" fontId="26" fillId="9" borderId="34" xfId="0" applyFont="1" applyFill="1" applyBorder="1" applyProtection="1">
      <protection locked="0"/>
    </xf>
    <xf numFmtId="0" fontId="26" fillId="8" borderId="45" xfId="0" applyFont="1" applyFill="1" applyBorder="1" applyAlignment="1">
      <alignment horizontal="left"/>
    </xf>
    <xf numFmtId="0" fontId="26" fillId="8" borderId="0" xfId="0" applyFont="1" applyFill="1" applyAlignment="1">
      <alignment horizontal="left"/>
    </xf>
    <xf numFmtId="0" fontId="26" fillId="8" borderId="0" xfId="0" applyFont="1" applyFill="1"/>
    <xf numFmtId="4" fontId="26" fillId="8" borderId="0" xfId="0" applyNumberFormat="1" applyFont="1" applyFill="1"/>
    <xf numFmtId="4" fontId="26" fillId="8" borderId="46" xfId="0" applyNumberFormat="1" applyFont="1" applyFill="1" applyBorder="1"/>
    <xf numFmtId="0" fontId="27" fillId="8" borderId="0" xfId="0" applyFont="1" applyFill="1"/>
    <xf numFmtId="0" fontId="26" fillId="8" borderId="46" xfId="0" applyFont="1" applyFill="1" applyBorder="1"/>
    <xf numFmtId="0" fontId="23" fillId="9" borderId="45" xfId="0" applyFont="1" applyFill="1" applyBorder="1" applyAlignment="1">
      <alignment horizontal="left"/>
    </xf>
    <xf numFmtId="0" fontId="23" fillId="9" borderId="0" xfId="0" applyFont="1" applyFill="1" applyAlignment="1">
      <alignment horizontal="left"/>
    </xf>
    <xf numFmtId="0" fontId="23" fillId="8" borderId="0" xfId="0" applyFont="1" applyFill="1" applyAlignment="1">
      <alignment horizontal="left"/>
    </xf>
    <xf numFmtId="0" fontId="23" fillId="8" borderId="0" xfId="0" applyFont="1" applyFill="1"/>
    <xf numFmtId="4" fontId="23" fillId="8" borderId="0" xfId="0" applyNumberFormat="1" applyFont="1" applyFill="1"/>
    <xf numFmtId="0" fontId="27" fillId="9" borderId="45" xfId="0" applyFont="1" applyFill="1" applyBorder="1" applyAlignment="1">
      <alignment horizontal="left"/>
    </xf>
    <xf numFmtId="0" fontId="27" fillId="9" borderId="0" xfId="0" applyFont="1" applyFill="1" applyAlignment="1">
      <alignment horizontal="left"/>
    </xf>
    <xf numFmtId="0" fontId="27" fillId="8" borderId="0" xfId="0" applyFont="1" applyFill="1" applyAlignment="1">
      <alignment horizontal="left"/>
    </xf>
    <xf numFmtId="4" fontId="27" fillId="8" borderId="0" xfId="0" applyNumberFormat="1" applyFont="1" applyFill="1"/>
    <xf numFmtId="0" fontId="27" fillId="8" borderId="46" xfId="0" applyFont="1" applyFill="1" applyBorder="1"/>
    <xf numFmtId="0" fontId="23" fillId="8" borderId="46" xfId="0" applyFont="1" applyFill="1" applyBorder="1"/>
    <xf numFmtId="0" fontId="28" fillId="8" borderId="0" xfId="0" applyFont="1" applyFill="1" applyAlignment="1">
      <alignment horizontal="left"/>
    </xf>
    <xf numFmtId="0" fontId="28" fillId="8" borderId="0" xfId="0" applyFont="1" applyFill="1"/>
    <xf numFmtId="4" fontId="28" fillId="8" borderId="0" xfId="0" applyNumberFormat="1" applyFont="1" applyFill="1"/>
    <xf numFmtId="0" fontId="26" fillId="8" borderId="52" xfId="0" applyFont="1" applyFill="1" applyBorder="1" applyAlignment="1">
      <alignment horizontal="left"/>
    </xf>
    <xf numFmtId="0" fontId="26" fillId="8" borderId="53" xfId="0" applyFont="1" applyFill="1" applyBorder="1" applyAlignment="1">
      <alignment horizontal="left"/>
    </xf>
    <xf numFmtId="0" fontId="26" fillId="8" borderId="53" xfId="0" applyFont="1" applyFill="1" applyBorder="1"/>
    <xf numFmtId="0" fontId="26" fillId="8" borderId="54" xfId="0" applyFont="1" applyFill="1" applyBorder="1"/>
    <xf numFmtId="4" fontId="2" fillId="8" borderId="50" xfId="0" applyNumberFormat="1" applyFont="1" applyFill="1" applyBorder="1"/>
    <xf numFmtId="0" fontId="2" fillId="11" borderId="45" xfId="0" applyFont="1" applyFill="1" applyBorder="1" applyAlignment="1">
      <alignment horizontal="left"/>
    </xf>
    <xf numFmtId="0" fontId="2" fillId="11" borderId="0" xfId="0" applyFont="1" applyFill="1" applyAlignment="1">
      <alignment horizontal="left"/>
    </xf>
    <xf numFmtId="0" fontId="2" fillId="11" borderId="0" xfId="0" applyFont="1" applyFill="1"/>
    <xf numFmtId="0" fontId="2" fillId="9" borderId="52" xfId="0" applyFont="1" applyFill="1" applyBorder="1" applyAlignment="1">
      <alignment horizontal="left"/>
    </xf>
    <xf numFmtId="0" fontId="2" fillId="9" borderId="53" xfId="0" applyFont="1" applyFill="1" applyBorder="1" applyAlignment="1">
      <alignment horizontal="left"/>
    </xf>
    <xf numFmtId="0" fontId="2" fillId="9" borderId="56" xfId="0" applyFont="1" applyFill="1" applyBorder="1"/>
    <xf numFmtId="4" fontId="2" fillId="9" borderId="57" xfId="0" applyNumberFormat="1" applyFont="1" applyFill="1" applyBorder="1"/>
    <xf numFmtId="4" fontId="2" fillId="8" borderId="53" xfId="0" applyNumberFormat="1" applyFont="1" applyFill="1" applyBorder="1"/>
    <xf numFmtId="0" fontId="16" fillId="8" borderId="30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7" fillId="9" borderId="38" xfId="0" applyFont="1" applyFill="1" applyBorder="1" applyProtection="1">
      <protection locked="0"/>
    </xf>
    <xf numFmtId="0" fontId="17" fillId="9" borderId="39" xfId="0" applyFont="1" applyFill="1" applyBorder="1" applyProtection="1">
      <protection locked="0"/>
    </xf>
    <xf numFmtId="0" fontId="25" fillId="8" borderId="30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/>
    </xf>
    <xf numFmtId="0" fontId="26" fillId="9" borderId="35" xfId="0" applyFont="1" applyFill="1" applyBorder="1" applyProtection="1">
      <protection locked="0"/>
    </xf>
    <xf numFmtId="0" fontId="26" fillId="9" borderId="38" xfId="0" applyFont="1" applyFill="1" applyBorder="1" applyProtection="1">
      <protection locked="0"/>
    </xf>
    <xf numFmtId="0" fontId="26" fillId="9" borderId="39" xfId="0" applyFont="1" applyFill="1" applyBorder="1" applyProtection="1">
      <protection locked="0"/>
    </xf>
    <xf numFmtId="14" fontId="2" fillId="9" borderId="35" xfId="0" applyNumberFormat="1" applyFont="1" applyFill="1" applyBorder="1" applyProtection="1">
      <protection locked="0"/>
    </xf>
    <xf numFmtId="0" fontId="3" fillId="8" borderId="58" xfId="0" applyFont="1" applyFill="1" applyBorder="1" applyAlignment="1">
      <alignment horizontal="center" vertical="center" wrapText="1"/>
    </xf>
    <xf numFmtId="0" fontId="3" fillId="8" borderId="59" xfId="0" applyFont="1" applyFill="1" applyBorder="1" applyAlignment="1">
      <alignment horizontal="center" vertical="center" wrapText="1"/>
    </xf>
    <xf numFmtId="2" fontId="0" fillId="8" borderId="10" xfId="0" applyNumberFormat="1" applyFill="1" applyBorder="1"/>
    <xf numFmtId="0" fontId="0" fillId="8" borderId="60" xfId="0" applyFill="1" applyBorder="1"/>
    <xf numFmtId="0" fontId="0" fillId="8" borderId="10" xfId="0" applyFill="1" applyBorder="1" applyProtection="1">
      <protection locked="0"/>
    </xf>
    <xf numFmtId="0" fontId="0" fillId="8" borderId="55" xfId="0" applyFill="1" applyBorder="1" applyProtection="1">
      <protection locked="0"/>
    </xf>
    <xf numFmtId="0" fontId="0" fillId="8" borderId="55" xfId="0" applyFill="1" applyBorder="1"/>
    <xf numFmtId="0" fontId="14" fillId="8" borderId="10" xfId="0" applyFont="1" applyFill="1" applyBorder="1"/>
    <xf numFmtId="0" fontId="14" fillId="8" borderId="55" xfId="0" applyFont="1" applyFill="1" applyBorder="1"/>
    <xf numFmtId="0" fontId="23" fillId="8" borderId="10" xfId="0" applyFont="1" applyFill="1" applyBorder="1"/>
    <xf numFmtId="0" fontId="23" fillId="8" borderId="55" xfId="0" applyFont="1" applyFill="1" applyBorder="1"/>
    <xf numFmtId="0" fontId="3" fillId="8" borderId="30" xfId="0" applyFont="1" applyFill="1" applyBorder="1" applyAlignment="1" applyProtection="1">
      <alignment horizontal="center" vertical="center" wrapText="1"/>
      <protection locked="0"/>
    </xf>
    <xf numFmtId="0" fontId="3" fillId="8" borderId="61" xfId="0" applyFont="1" applyFill="1" applyBorder="1" applyAlignment="1" applyProtection="1">
      <alignment horizontal="center" vertical="center" wrapText="1"/>
      <protection locked="0"/>
    </xf>
    <xf numFmtId="2" fontId="3" fillId="8" borderId="62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63" xfId="0" applyFont="1" applyFill="1" applyBorder="1" applyAlignment="1" applyProtection="1">
      <alignment horizontal="center" vertical="center" wrapText="1"/>
      <protection locked="0"/>
    </xf>
    <xf numFmtId="0" fontId="3" fillId="8" borderId="64" xfId="0" applyFont="1" applyFill="1" applyBorder="1" applyAlignment="1" applyProtection="1">
      <alignment horizontal="center" vertical="center" wrapText="1"/>
      <protection locked="0"/>
    </xf>
    <xf numFmtId="0" fontId="3" fillId="8" borderId="65" xfId="0" applyFont="1" applyFill="1" applyBorder="1" applyAlignment="1" applyProtection="1">
      <alignment horizontal="center" vertical="center" wrapText="1"/>
      <protection locked="0"/>
    </xf>
    <xf numFmtId="0" fontId="3" fillId="8" borderId="62" xfId="0" applyFont="1" applyFill="1" applyBorder="1" applyAlignment="1" applyProtection="1">
      <alignment horizontal="center" vertical="center"/>
      <protection locked="0"/>
    </xf>
    <xf numFmtId="0" fontId="3" fillId="8" borderId="31" xfId="0" applyFont="1" applyFill="1" applyBorder="1" applyAlignment="1" applyProtection="1">
      <alignment horizontal="center" vertical="center" wrapText="1"/>
      <protection locked="0"/>
    </xf>
    <xf numFmtId="164" fontId="2" fillId="9" borderId="66" xfId="0" applyNumberFormat="1" applyFont="1" applyFill="1" applyBorder="1" applyProtection="1">
      <protection locked="0"/>
    </xf>
    <xf numFmtId="164" fontId="2" fillId="9" borderId="67" xfId="0" applyNumberFormat="1" applyFont="1" applyFill="1" applyBorder="1" applyProtection="1">
      <protection locked="0"/>
    </xf>
    <xf numFmtId="164" fontId="2" fillId="9" borderId="68" xfId="0" applyNumberFormat="1" applyFont="1" applyFill="1" applyBorder="1" applyProtection="1">
      <protection locked="0"/>
    </xf>
    <xf numFmtId="164" fontId="2" fillId="9" borderId="69" xfId="0" applyNumberFormat="1" applyFont="1" applyFill="1" applyBorder="1" applyProtection="1">
      <protection locked="0"/>
    </xf>
    <xf numFmtId="2" fontId="2" fillId="9" borderId="69" xfId="0" applyNumberFormat="1" applyFont="1" applyFill="1" applyBorder="1" applyProtection="1">
      <protection locked="0"/>
    </xf>
    <xf numFmtId="164" fontId="2" fillId="9" borderId="70" xfId="0" applyNumberFormat="1" applyFont="1" applyFill="1" applyBorder="1" applyProtection="1">
      <protection locked="0"/>
    </xf>
    <xf numFmtId="164" fontId="2" fillId="9" borderId="71" xfId="0" applyNumberFormat="1" applyFont="1" applyFill="1" applyBorder="1" applyProtection="1">
      <protection locked="0"/>
    </xf>
    <xf numFmtId="0" fontId="3" fillId="8" borderId="58" xfId="0" applyFont="1" applyFill="1" applyBorder="1" applyAlignment="1" applyProtection="1">
      <alignment horizontal="center" vertical="center" wrapText="1"/>
      <protection locked="0"/>
    </xf>
    <xf numFmtId="0" fontId="3" fillId="8" borderId="72" xfId="0" applyFont="1" applyFill="1" applyBorder="1" applyAlignment="1" applyProtection="1">
      <alignment horizontal="center" vertical="center" wrapText="1"/>
      <protection locked="0"/>
    </xf>
    <xf numFmtId="0" fontId="3" fillId="8" borderId="73" xfId="0" applyFont="1" applyFill="1" applyBorder="1" applyAlignment="1" applyProtection="1">
      <alignment horizontal="center" vertical="center" wrapText="1"/>
      <protection locked="0"/>
    </xf>
    <xf numFmtId="0" fontId="3" fillId="8" borderId="72" xfId="0" applyFont="1" applyFill="1" applyBorder="1" applyAlignment="1">
      <alignment horizontal="center" vertical="center" wrapText="1"/>
    </xf>
    <xf numFmtId="0" fontId="3" fillId="8" borderId="73" xfId="0" applyFont="1" applyFill="1" applyBorder="1" applyAlignment="1">
      <alignment horizontal="center" vertical="center" wrapText="1"/>
    </xf>
    <xf numFmtId="0" fontId="16" fillId="8" borderId="58" xfId="0" applyFont="1" applyFill="1" applyBorder="1" applyAlignment="1">
      <alignment horizontal="center" vertical="center" wrapText="1"/>
    </xf>
    <xf numFmtId="0" fontId="16" fillId="8" borderId="72" xfId="0" applyFont="1" applyFill="1" applyBorder="1" applyAlignment="1">
      <alignment horizontal="center" vertical="center" wrapText="1"/>
    </xf>
    <xf numFmtId="0" fontId="16" fillId="8" borderId="73" xfId="0" applyFont="1" applyFill="1" applyBorder="1" applyAlignment="1">
      <alignment horizontal="center" vertical="center" wrapText="1"/>
    </xf>
    <xf numFmtId="164" fontId="17" fillId="9" borderId="66" xfId="0" applyNumberFormat="1" applyFont="1" applyFill="1" applyBorder="1" applyProtection="1">
      <protection locked="0"/>
    </xf>
    <xf numFmtId="164" fontId="17" fillId="9" borderId="67" xfId="0" applyNumberFormat="1" applyFont="1" applyFill="1" applyBorder="1" applyProtection="1">
      <protection locked="0"/>
    </xf>
    <xf numFmtId="164" fontId="17" fillId="9" borderId="68" xfId="0" applyNumberFormat="1" applyFont="1" applyFill="1" applyBorder="1" applyProtection="1">
      <protection locked="0"/>
    </xf>
    <xf numFmtId="164" fontId="17" fillId="9" borderId="69" xfId="0" applyNumberFormat="1" applyFont="1" applyFill="1" applyBorder="1" applyProtection="1">
      <protection locked="0"/>
    </xf>
    <xf numFmtId="164" fontId="17" fillId="9" borderId="70" xfId="0" applyNumberFormat="1" applyFont="1" applyFill="1" applyBorder="1" applyProtection="1">
      <protection locked="0"/>
    </xf>
    <xf numFmtId="164" fontId="17" fillId="9" borderId="71" xfId="0" applyNumberFormat="1" applyFont="1" applyFill="1" applyBorder="1" applyProtection="1">
      <protection locked="0"/>
    </xf>
    <xf numFmtId="0" fontId="25" fillId="8" borderId="58" xfId="0" applyFont="1" applyFill="1" applyBorder="1" applyAlignment="1">
      <alignment horizontal="center" vertical="center" wrapText="1"/>
    </xf>
    <xf numFmtId="0" fontId="25" fillId="8" borderId="72" xfId="0" applyFont="1" applyFill="1" applyBorder="1" applyAlignment="1">
      <alignment horizontal="center" vertical="center" wrapText="1"/>
    </xf>
    <xf numFmtId="0" fontId="25" fillId="8" borderId="73" xfId="0" applyFont="1" applyFill="1" applyBorder="1" applyAlignment="1">
      <alignment horizontal="center" vertical="center" wrapText="1"/>
    </xf>
    <xf numFmtId="164" fontId="26" fillId="9" borderId="66" xfId="0" applyNumberFormat="1" applyFont="1" applyFill="1" applyBorder="1" applyProtection="1">
      <protection locked="0"/>
    </xf>
    <xf numFmtId="164" fontId="26" fillId="9" borderId="67" xfId="0" applyNumberFormat="1" applyFont="1" applyFill="1" applyBorder="1" applyProtection="1">
      <protection locked="0"/>
    </xf>
    <xf numFmtId="164" fontId="26" fillId="9" borderId="68" xfId="0" applyNumberFormat="1" applyFont="1" applyFill="1" applyBorder="1" applyProtection="1">
      <protection locked="0"/>
    </xf>
    <xf numFmtId="164" fontId="26" fillId="9" borderId="69" xfId="0" applyNumberFormat="1" applyFont="1" applyFill="1" applyBorder="1" applyProtection="1">
      <protection locked="0"/>
    </xf>
    <xf numFmtId="164" fontId="26" fillId="9" borderId="70" xfId="0" applyNumberFormat="1" applyFont="1" applyFill="1" applyBorder="1" applyProtection="1">
      <protection locked="0"/>
    </xf>
    <xf numFmtId="164" fontId="26" fillId="9" borderId="71" xfId="0" applyNumberFormat="1" applyFont="1" applyFill="1" applyBorder="1" applyProtection="1">
      <protection locked="0"/>
    </xf>
    <xf numFmtId="0" fontId="3" fillId="8" borderId="58" xfId="0" applyFont="1" applyFill="1" applyBorder="1" applyAlignment="1">
      <alignment horizontal="left" vertical="center"/>
    </xf>
    <xf numFmtId="0" fontId="3" fillId="8" borderId="62" xfId="0" applyFont="1" applyFill="1" applyBorder="1" applyAlignment="1" applyProtection="1">
      <alignment horizontal="center" vertical="center" wrapText="1"/>
      <protection locked="0"/>
    </xf>
    <xf numFmtId="0" fontId="0" fillId="7" borderId="52" xfId="0" applyFill="1" applyBorder="1" applyAlignment="1">
      <alignment horizontal="left"/>
    </xf>
    <xf numFmtId="0" fontId="0" fillId="7" borderId="53" xfId="0" applyFill="1" applyBorder="1" applyAlignment="1">
      <alignment horizontal="left"/>
    </xf>
    <xf numFmtId="164" fontId="2" fillId="9" borderId="74" xfId="0" applyNumberFormat="1" applyFont="1" applyFill="1" applyBorder="1" applyProtection="1">
      <protection locked="0"/>
    </xf>
    <xf numFmtId="164" fontId="2" fillId="9" borderId="75" xfId="0" applyNumberFormat="1" applyFont="1" applyFill="1" applyBorder="1" applyProtection="1">
      <protection locked="0"/>
    </xf>
    <xf numFmtId="164" fontId="2" fillId="9" borderId="76" xfId="0" applyNumberFormat="1" applyFont="1" applyFill="1" applyBorder="1" applyProtection="1">
      <protection locked="0"/>
    </xf>
    <xf numFmtId="2" fontId="2" fillId="9" borderId="76" xfId="0" applyNumberFormat="1" applyFont="1" applyFill="1" applyBorder="1" applyProtection="1">
      <protection locked="0"/>
    </xf>
    <xf numFmtId="164" fontId="2" fillId="9" borderId="77" xfId="0" applyNumberFormat="1" applyFont="1" applyFill="1" applyBorder="1" applyProtection="1">
      <protection locked="0"/>
    </xf>
    <xf numFmtId="0" fontId="3" fillId="8" borderId="58" xfId="0" applyFont="1" applyFill="1" applyBorder="1" applyAlignment="1">
      <alignment horizontal="center" vertical="center"/>
    </xf>
    <xf numFmtId="0" fontId="3" fillId="8" borderId="78" xfId="0" applyFont="1" applyFill="1" applyBorder="1" applyAlignment="1" applyProtection="1">
      <alignment horizontal="center" vertical="center"/>
      <protection locked="0"/>
    </xf>
    <xf numFmtId="0" fontId="0" fillId="7" borderId="52" xfId="0" applyFill="1" applyBorder="1"/>
    <xf numFmtId="0" fontId="0" fillId="7" borderId="53" xfId="0" applyFill="1" applyBorder="1"/>
    <xf numFmtId="164" fontId="2" fillId="9" borderId="79" xfId="0" applyNumberFormat="1" applyFont="1" applyFill="1" applyBorder="1" applyProtection="1">
      <protection locked="0"/>
    </xf>
    <xf numFmtId="0" fontId="3" fillId="8" borderId="78" xfId="0" applyFont="1" applyFill="1" applyBorder="1" applyAlignment="1">
      <alignment horizontal="center" vertical="center"/>
    </xf>
    <xf numFmtId="0" fontId="3" fillId="8" borderId="64" xfId="0" applyFont="1" applyFill="1" applyBorder="1" applyAlignment="1">
      <alignment horizontal="center" vertical="center" wrapText="1"/>
    </xf>
    <xf numFmtId="0" fontId="3" fillId="8" borderId="31" xfId="0" applyFont="1" applyFill="1" applyBorder="1" applyAlignment="1">
      <alignment horizontal="center" vertical="center" wrapText="1"/>
    </xf>
    <xf numFmtId="0" fontId="16" fillId="8" borderId="58" xfId="0" applyFont="1" applyFill="1" applyBorder="1" applyAlignment="1">
      <alignment horizontal="center" vertical="center"/>
    </xf>
    <xf numFmtId="0" fontId="16" fillId="8" borderId="78" xfId="0" applyFont="1" applyFill="1" applyBorder="1" applyAlignment="1">
      <alignment horizontal="center" vertical="center"/>
    </xf>
    <xf numFmtId="0" fontId="16" fillId="8" borderId="64" xfId="0" applyFont="1" applyFill="1" applyBorder="1" applyAlignment="1">
      <alignment horizontal="center" vertical="center" wrapText="1"/>
    </xf>
    <xf numFmtId="0" fontId="16" fillId="8" borderId="31" xfId="0" applyFont="1" applyFill="1" applyBorder="1" applyAlignment="1">
      <alignment horizontal="center" vertical="center" wrapText="1"/>
    </xf>
    <xf numFmtId="0" fontId="14" fillId="7" borderId="52" xfId="0" applyFont="1" applyFill="1" applyBorder="1"/>
    <xf numFmtId="0" fontId="14" fillId="7" borderId="53" xfId="0" applyFont="1" applyFill="1" applyBorder="1"/>
    <xf numFmtId="164" fontId="17" fillId="9" borderId="74" xfId="0" applyNumberFormat="1" applyFont="1" applyFill="1" applyBorder="1" applyProtection="1">
      <protection locked="0"/>
    </xf>
    <xf numFmtId="164" fontId="17" fillId="9" borderId="79" xfId="0" applyNumberFormat="1" applyFont="1" applyFill="1" applyBorder="1" applyProtection="1">
      <protection locked="0"/>
    </xf>
    <xf numFmtId="0" fontId="25" fillId="8" borderId="58" xfId="0" applyFont="1" applyFill="1" applyBorder="1" applyAlignment="1">
      <alignment horizontal="center" vertical="center"/>
    </xf>
    <xf numFmtId="0" fontId="25" fillId="8" borderId="78" xfId="0" applyFont="1" applyFill="1" applyBorder="1" applyAlignment="1">
      <alignment horizontal="center" vertical="center"/>
    </xf>
    <xf numFmtId="0" fontId="25" fillId="8" borderId="64" xfId="0" applyFont="1" applyFill="1" applyBorder="1" applyAlignment="1">
      <alignment horizontal="center" vertical="center" wrapText="1"/>
    </xf>
    <xf numFmtId="0" fontId="25" fillId="8" borderId="31" xfId="0" applyFont="1" applyFill="1" applyBorder="1" applyAlignment="1">
      <alignment horizontal="center" vertical="center" wrapText="1"/>
    </xf>
    <xf numFmtId="0" fontId="23" fillId="7" borderId="52" xfId="0" applyFont="1" applyFill="1" applyBorder="1"/>
    <xf numFmtId="0" fontId="23" fillId="7" borderId="53" xfId="0" applyFont="1" applyFill="1" applyBorder="1"/>
    <xf numFmtId="164" fontId="26" fillId="9" borderId="74" xfId="0" applyNumberFormat="1" applyFont="1" applyFill="1" applyBorder="1" applyProtection="1">
      <protection locked="0"/>
    </xf>
    <xf numFmtId="164" fontId="26" fillId="9" borderId="79" xfId="0" applyNumberFormat="1" applyFont="1" applyFill="1" applyBorder="1" applyProtection="1">
      <protection locked="0"/>
    </xf>
    <xf numFmtId="0" fontId="3" fillId="8" borderId="78" xfId="0" applyFont="1" applyFill="1" applyBorder="1" applyAlignment="1">
      <alignment horizontal="left" vertical="center"/>
    </xf>
    <xf numFmtId="0" fontId="3" fillId="8" borderId="78" xfId="0" applyFont="1" applyFill="1" applyBorder="1" applyAlignment="1" applyProtection="1">
      <alignment horizontal="center" vertical="center" wrapText="1"/>
      <protection locked="0"/>
    </xf>
    <xf numFmtId="0" fontId="3" fillId="8" borderId="80" xfId="0" applyFont="1" applyFill="1" applyBorder="1" applyAlignment="1" applyProtection="1">
      <alignment horizontal="center" vertical="center" wrapText="1"/>
      <protection locked="0"/>
    </xf>
    <xf numFmtId="0" fontId="3" fillId="8" borderId="44" xfId="0" applyFont="1" applyFill="1" applyBorder="1" applyAlignment="1" applyProtection="1">
      <alignment horizontal="center" vertical="center" wrapText="1"/>
      <protection locked="0"/>
    </xf>
    <xf numFmtId="164" fontId="2" fillId="9" borderId="81" xfId="0" applyNumberFormat="1" applyFont="1" applyFill="1" applyBorder="1" applyProtection="1">
      <protection locked="0"/>
    </xf>
    <xf numFmtId="164" fontId="2" fillId="9" borderId="82" xfId="0" applyNumberFormat="1" applyFont="1" applyFill="1" applyBorder="1" applyProtection="1">
      <protection locked="0"/>
    </xf>
    <xf numFmtId="0" fontId="3" fillId="8" borderId="78" xfId="0" applyFont="1" applyFill="1" applyBorder="1" applyAlignment="1">
      <alignment horizontal="center" vertical="center" wrapText="1"/>
    </xf>
    <xf numFmtId="0" fontId="3" fillId="8" borderId="80" xfId="0" applyFont="1" applyFill="1" applyBorder="1" applyAlignment="1">
      <alignment horizontal="center" vertical="center" wrapText="1"/>
    </xf>
    <xf numFmtId="0" fontId="3" fillId="8" borderId="44" xfId="0" applyFont="1" applyFill="1" applyBorder="1" applyAlignment="1">
      <alignment horizontal="center" vertical="center" wrapText="1"/>
    </xf>
    <xf numFmtId="0" fontId="16" fillId="8" borderId="78" xfId="0" applyFont="1" applyFill="1" applyBorder="1" applyAlignment="1">
      <alignment horizontal="center" vertical="center" wrapText="1"/>
    </xf>
    <xf numFmtId="0" fontId="16" fillId="8" borderId="80" xfId="0" applyFont="1" applyFill="1" applyBorder="1" applyAlignment="1">
      <alignment horizontal="center" vertical="center" wrapText="1"/>
    </xf>
    <xf numFmtId="0" fontId="16" fillId="8" borderId="44" xfId="0" applyFont="1" applyFill="1" applyBorder="1" applyAlignment="1">
      <alignment horizontal="center" vertical="center" wrapText="1"/>
    </xf>
    <xf numFmtId="164" fontId="17" fillId="9" borderId="81" xfId="0" applyNumberFormat="1" applyFont="1" applyFill="1" applyBorder="1" applyProtection="1">
      <protection locked="0"/>
    </xf>
    <xf numFmtId="164" fontId="17" fillId="9" borderId="82" xfId="0" applyNumberFormat="1" applyFont="1" applyFill="1" applyBorder="1" applyProtection="1">
      <protection locked="0"/>
    </xf>
    <xf numFmtId="0" fontId="25" fillId="8" borderId="83" xfId="0" applyFont="1" applyFill="1" applyBorder="1" applyAlignment="1">
      <alignment horizontal="center" vertical="center" wrapText="1"/>
    </xf>
    <xf numFmtId="0" fontId="25" fillId="8" borderId="80" xfId="0" applyFont="1" applyFill="1" applyBorder="1" applyAlignment="1">
      <alignment horizontal="center" vertical="center" wrapText="1"/>
    </xf>
    <xf numFmtId="0" fontId="25" fillId="8" borderId="44" xfId="0" applyFont="1" applyFill="1" applyBorder="1" applyAlignment="1">
      <alignment horizontal="center" vertical="center" wrapText="1"/>
    </xf>
    <xf numFmtId="164" fontId="26" fillId="9" borderId="81" xfId="0" applyNumberFormat="1" applyFont="1" applyFill="1" applyBorder="1" applyProtection="1">
      <protection locked="0"/>
    </xf>
    <xf numFmtId="164" fontId="26" fillId="9" borderId="82" xfId="0" applyNumberFormat="1" applyFont="1" applyFill="1" applyBorder="1" applyProtection="1">
      <protection locked="0"/>
    </xf>
    <xf numFmtId="0" fontId="31" fillId="7" borderId="42" xfId="0" applyFont="1" applyFill="1" applyBorder="1" applyAlignment="1">
      <alignment horizontal="left"/>
    </xf>
    <xf numFmtId="0" fontId="31" fillId="7" borderId="43" xfId="0" applyFont="1" applyFill="1" applyBorder="1" applyAlignment="1">
      <alignment horizontal="left"/>
    </xf>
    <xf numFmtId="4" fontId="31" fillId="7" borderId="43" xfId="0" applyNumberFormat="1" applyFont="1" applyFill="1" applyBorder="1"/>
    <xf numFmtId="2" fontId="31" fillId="7" borderId="43" xfId="0" applyNumberFormat="1" applyFont="1" applyFill="1" applyBorder="1"/>
    <xf numFmtId="4" fontId="31" fillId="7" borderId="44" xfId="0" applyNumberFormat="1" applyFont="1" applyFill="1" applyBorder="1"/>
    <xf numFmtId="0" fontId="2" fillId="7" borderId="52" xfId="0" applyFont="1" applyFill="1" applyBorder="1" applyAlignment="1">
      <alignment horizontal="left"/>
    </xf>
    <xf numFmtId="0" fontId="2" fillId="7" borderId="53" xfId="0" applyFont="1" applyFill="1" applyBorder="1" applyAlignment="1">
      <alignment horizontal="left"/>
    </xf>
    <xf numFmtId="0" fontId="2" fillId="7" borderId="53" xfId="0" applyFont="1" applyFill="1" applyBorder="1"/>
    <xf numFmtId="4" fontId="2" fillId="7" borderId="53" xfId="0" applyNumberFormat="1" applyFont="1" applyFill="1" applyBorder="1"/>
    <xf numFmtId="2" fontId="2" fillId="7" borderId="53" xfId="0" applyNumberFormat="1" applyFont="1" applyFill="1" applyBorder="1"/>
    <xf numFmtId="4" fontId="2" fillId="7" borderId="54" xfId="0" applyNumberFormat="1" applyFont="1" applyFill="1" applyBorder="1"/>
    <xf numFmtId="4" fontId="31" fillId="7" borderId="43" xfId="0" applyNumberFormat="1" applyFont="1" applyFill="1" applyBorder="1" applyProtection="1">
      <protection locked="0"/>
    </xf>
    <xf numFmtId="4" fontId="31" fillId="7" borderId="44" xfId="0" applyNumberFormat="1" applyFont="1" applyFill="1" applyBorder="1" applyProtection="1">
      <protection locked="0"/>
    </xf>
    <xf numFmtId="0" fontId="2" fillId="7" borderId="53" xfId="0" applyFont="1" applyFill="1" applyBorder="1" applyProtection="1">
      <protection locked="0"/>
    </xf>
    <xf numFmtId="4" fontId="2" fillId="7" borderId="53" xfId="0" applyNumberFormat="1" applyFont="1" applyFill="1" applyBorder="1" applyProtection="1">
      <protection locked="0"/>
    </xf>
    <xf numFmtId="4" fontId="2" fillId="7" borderId="54" xfId="0" applyNumberFormat="1" applyFont="1" applyFill="1" applyBorder="1" applyProtection="1">
      <protection locked="0"/>
    </xf>
    <xf numFmtId="0" fontId="17" fillId="7" borderId="52" xfId="0" applyFont="1" applyFill="1" applyBorder="1" applyAlignment="1">
      <alignment horizontal="left"/>
    </xf>
    <xf numFmtId="0" fontId="17" fillId="7" borderId="53" xfId="0" applyFont="1" applyFill="1" applyBorder="1" applyAlignment="1">
      <alignment horizontal="left"/>
    </xf>
    <xf numFmtId="0" fontId="17" fillId="7" borderId="53" xfId="0" applyFont="1" applyFill="1" applyBorder="1"/>
    <xf numFmtId="4" fontId="17" fillId="7" borderId="53" xfId="0" applyNumberFormat="1" applyFont="1" applyFill="1" applyBorder="1"/>
    <xf numFmtId="4" fontId="17" fillId="7" borderId="54" xfId="0" applyNumberFormat="1" applyFont="1" applyFill="1" applyBorder="1"/>
    <xf numFmtId="0" fontId="26" fillId="7" borderId="52" xfId="0" applyFont="1" applyFill="1" applyBorder="1" applyAlignment="1">
      <alignment horizontal="left"/>
    </xf>
    <xf numFmtId="0" fontId="26" fillId="7" borderId="53" xfId="0" applyFont="1" applyFill="1" applyBorder="1" applyAlignment="1">
      <alignment horizontal="left"/>
    </xf>
    <xf numFmtId="0" fontId="26" fillId="7" borderId="53" xfId="0" applyFont="1" applyFill="1" applyBorder="1"/>
    <xf numFmtId="4" fontId="26" fillId="7" borderId="53" xfId="0" applyNumberFormat="1" applyFont="1" applyFill="1" applyBorder="1"/>
    <xf numFmtId="4" fontId="26" fillId="7" borderId="54" xfId="0" applyNumberFormat="1" applyFont="1" applyFill="1" applyBorder="1"/>
    <xf numFmtId="0" fontId="31" fillId="10" borderId="84" xfId="0" applyFont="1" applyFill="1" applyBorder="1" applyProtection="1">
      <protection locked="0"/>
    </xf>
    <xf numFmtId="0" fontId="31" fillId="10" borderId="85" xfId="0" applyFont="1" applyFill="1" applyBorder="1" applyProtection="1">
      <protection locked="0"/>
    </xf>
    <xf numFmtId="164" fontId="31" fillId="10" borderId="86" xfId="0" applyNumberFormat="1" applyFont="1" applyFill="1" applyBorder="1" applyProtection="1">
      <protection locked="0"/>
    </xf>
    <xf numFmtId="164" fontId="31" fillId="10" borderId="87" xfId="0" applyNumberFormat="1" applyFont="1" applyFill="1" applyBorder="1" applyProtection="1">
      <protection locked="0"/>
    </xf>
    <xf numFmtId="164" fontId="31" fillId="10" borderId="88" xfId="0" applyNumberFormat="1" applyFont="1" applyFill="1" applyBorder="1" applyProtection="1">
      <protection locked="0"/>
    </xf>
    <xf numFmtId="164" fontId="31" fillId="10" borderId="89" xfId="0" applyNumberFormat="1" applyFont="1" applyFill="1" applyBorder="1" applyProtection="1">
      <protection locked="0"/>
    </xf>
    <xf numFmtId="0" fontId="2" fillId="10" borderId="38" xfId="0" applyFont="1" applyFill="1" applyBorder="1" applyProtection="1">
      <protection locked="0"/>
    </xf>
    <xf numFmtId="0" fontId="2" fillId="10" borderId="90" xfId="0" applyFont="1" applyFill="1" applyBorder="1" applyProtection="1">
      <protection locked="0"/>
    </xf>
    <xf numFmtId="164" fontId="2" fillId="10" borderId="91" xfId="0" applyNumberFormat="1" applyFont="1" applyFill="1" applyBorder="1" applyProtection="1">
      <protection locked="0"/>
    </xf>
    <xf numFmtId="164" fontId="2" fillId="10" borderId="69" xfId="0" applyNumberFormat="1" applyFont="1" applyFill="1" applyBorder="1" applyProtection="1">
      <protection locked="0"/>
    </xf>
    <xf numFmtId="164" fontId="2" fillId="10" borderId="70" xfId="0" applyNumberFormat="1" applyFont="1" applyFill="1" applyBorder="1" applyProtection="1">
      <protection locked="0"/>
    </xf>
    <xf numFmtId="164" fontId="2" fillId="10" borderId="71" xfId="0" applyNumberFormat="1" applyFont="1" applyFill="1" applyBorder="1" applyProtection="1">
      <protection locked="0"/>
    </xf>
    <xf numFmtId="0" fontId="10" fillId="9" borderId="30" xfId="0" applyFont="1" applyFill="1" applyBorder="1" applyAlignment="1">
      <alignment horizontal="left"/>
    </xf>
    <xf numFmtId="0" fontId="10" fillId="9" borderId="62" xfId="0" applyFont="1" applyFill="1" applyBorder="1" applyAlignment="1">
      <alignment horizontal="left"/>
    </xf>
    <xf numFmtId="0" fontId="2" fillId="9" borderId="92" xfId="0" applyFont="1" applyFill="1" applyBorder="1"/>
    <xf numFmtId="0" fontId="10" fillId="9" borderId="93" xfId="0" applyFont="1" applyFill="1" applyBorder="1" applyAlignment="1">
      <alignment horizontal="center"/>
    </xf>
    <xf numFmtId="4" fontId="0" fillId="9" borderId="46" xfId="0" applyNumberFormat="1" applyFill="1" applyBorder="1"/>
    <xf numFmtId="4" fontId="0" fillId="9" borderId="94" xfId="0" applyNumberFormat="1" applyFill="1" applyBorder="1"/>
    <xf numFmtId="4" fontId="5" fillId="9" borderId="46" xfId="0" applyNumberFormat="1" applyFont="1" applyFill="1" applyBorder="1"/>
    <xf numFmtId="4" fontId="5" fillId="9" borderId="94" xfId="0" applyNumberFormat="1" applyFont="1" applyFill="1" applyBorder="1"/>
    <xf numFmtId="0" fontId="2" fillId="9" borderId="92" xfId="0" applyFont="1" applyFill="1" applyBorder="1" applyProtection="1">
      <protection locked="0"/>
    </xf>
    <xf numFmtId="0" fontId="10" fillId="9" borderId="93" xfId="0" applyFont="1" applyFill="1" applyBorder="1" applyAlignment="1" applyProtection="1">
      <alignment horizontal="center"/>
      <protection locked="0"/>
    </xf>
    <xf numFmtId="4" fontId="0" fillId="9" borderId="46" xfId="0" applyNumberFormat="1" applyFill="1" applyBorder="1" applyProtection="1">
      <protection locked="0"/>
    </xf>
    <xf numFmtId="4" fontId="0" fillId="9" borderId="94" xfId="0" applyNumberFormat="1" applyFill="1" applyBorder="1" applyProtection="1">
      <protection locked="0"/>
    </xf>
    <xf numFmtId="4" fontId="5" fillId="9" borderId="46" xfId="0" applyNumberFormat="1" applyFont="1" applyFill="1" applyBorder="1" applyProtection="1">
      <protection locked="0"/>
    </xf>
    <xf numFmtId="4" fontId="5" fillId="9" borderId="94" xfId="0" applyNumberFormat="1" applyFont="1" applyFill="1" applyBorder="1" applyProtection="1">
      <protection locked="0"/>
    </xf>
    <xf numFmtId="0" fontId="19" fillId="9" borderId="30" xfId="0" applyFont="1" applyFill="1" applyBorder="1" applyAlignment="1">
      <alignment horizontal="left"/>
    </xf>
    <xf numFmtId="0" fontId="19" fillId="9" borderId="62" xfId="0" applyFont="1" applyFill="1" applyBorder="1" applyAlignment="1">
      <alignment horizontal="left"/>
    </xf>
    <xf numFmtId="0" fontId="17" fillId="9" borderId="92" xfId="0" applyFont="1" applyFill="1" applyBorder="1"/>
    <xf numFmtId="0" fontId="19" fillId="9" borderId="93" xfId="0" applyFont="1" applyFill="1" applyBorder="1" applyAlignment="1">
      <alignment horizontal="center"/>
    </xf>
    <xf numFmtId="4" fontId="14" fillId="9" borderId="46" xfId="0" applyNumberFormat="1" applyFont="1" applyFill="1" applyBorder="1"/>
    <xf numFmtId="4" fontId="14" fillId="9" borderId="94" xfId="0" applyNumberFormat="1" applyFont="1" applyFill="1" applyBorder="1"/>
    <xf numFmtId="4" fontId="18" fillId="9" borderId="46" xfId="0" applyNumberFormat="1" applyFont="1" applyFill="1" applyBorder="1"/>
    <xf numFmtId="4" fontId="18" fillId="9" borderId="94" xfId="0" applyNumberFormat="1" applyFont="1" applyFill="1" applyBorder="1"/>
    <xf numFmtId="0" fontId="28" fillId="9" borderId="30" xfId="0" applyFont="1" applyFill="1" applyBorder="1" applyAlignment="1">
      <alignment horizontal="left"/>
    </xf>
    <xf numFmtId="0" fontId="28" fillId="9" borderId="62" xfId="0" applyFont="1" applyFill="1" applyBorder="1" applyAlignment="1">
      <alignment horizontal="left"/>
    </xf>
    <xf numFmtId="0" fontId="26" fillId="9" borderId="92" xfId="0" applyFont="1" applyFill="1" applyBorder="1"/>
    <xf numFmtId="0" fontId="28" fillId="9" borderId="93" xfId="0" applyFont="1" applyFill="1" applyBorder="1" applyAlignment="1">
      <alignment horizontal="center"/>
    </xf>
    <xf numFmtId="4" fontId="23" fillId="9" borderId="46" xfId="0" applyNumberFormat="1" applyFont="1" applyFill="1" applyBorder="1"/>
    <xf numFmtId="4" fontId="23" fillId="9" borderId="94" xfId="0" applyNumberFormat="1" applyFont="1" applyFill="1" applyBorder="1"/>
    <xf numFmtId="4" fontId="27" fillId="9" borderId="46" xfId="0" applyNumberFormat="1" applyFont="1" applyFill="1" applyBorder="1"/>
    <xf numFmtId="4" fontId="27" fillId="9" borderId="94" xfId="0" applyNumberFormat="1" applyFont="1" applyFill="1" applyBorder="1"/>
    <xf numFmtId="0" fontId="2" fillId="11" borderId="58" xfId="0" applyFont="1" applyFill="1" applyBorder="1" applyAlignment="1">
      <alignment horizontal="left"/>
    </xf>
    <xf numFmtId="0" fontId="2" fillId="11" borderId="78" xfId="0" applyFont="1" applyFill="1" applyBorder="1" applyAlignment="1">
      <alignment horizontal="left"/>
    </xf>
    <xf numFmtId="0" fontId="2" fillId="11" borderId="78" xfId="0" applyFont="1" applyFill="1" applyBorder="1"/>
    <xf numFmtId="4" fontId="2" fillId="11" borderId="59" xfId="0" applyNumberFormat="1" applyFont="1" applyFill="1" applyBorder="1"/>
    <xf numFmtId="4" fontId="2" fillId="11" borderId="46" xfId="0" applyNumberFormat="1" applyFont="1" applyFill="1" applyBorder="1"/>
    <xf numFmtId="0" fontId="10" fillId="9" borderId="95" xfId="0" applyFont="1" applyFill="1" applyBorder="1" applyAlignment="1">
      <alignment horizontal="center"/>
    </xf>
    <xf numFmtId="0" fontId="5" fillId="9" borderId="52" xfId="0" applyFont="1" applyFill="1" applyBorder="1" applyAlignment="1">
      <alignment horizontal="left"/>
    </xf>
    <xf numFmtId="0" fontId="5" fillId="9" borderId="53" xfId="0" applyFont="1" applyFill="1" applyBorder="1" applyAlignment="1">
      <alignment horizontal="left"/>
    </xf>
    <xf numFmtId="0" fontId="5" fillId="9" borderId="56" xfId="0" applyFont="1" applyFill="1" applyBorder="1"/>
    <xf numFmtId="4" fontId="5" fillId="9" borderId="54" xfId="0" applyNumberFormat="1" applyFont="1" applyFill="1" applyBorder="1"/>
    <xf numFmtId="0" fontId="10" fillId="9" borderId="52" xfId="0" applyFont="1" applyFill="1" applyBorder="1" applyAlignment="1">
      <alignment horizontal="left"/>
    </xf>
    <xf numFmtId="0" fontId="10" fillId="9" borderId="53" xfId="0" applyFont="1" applyFill="1" applyBorder="1" applyAlignment="1">
      <alignment horizontal="left"/>
    </xf>
    <xf numFmtId="0" fontId="10" fillId="9" borderId="56" xfId="0" applyFont="1" applyFill="1" applyBorder="1"/>
    <xf numFmtId="4" fontId="10" fillId="9" borderId="54" xfId="0" applyNumberFormat="1" applyFont="1" applyFill="1" applyBorder="1"/>
    <xf numFmtId="0" fontId="10" fillId="9" borderId="56" xfId="0" applyFont="1" applyFill="1" applyBorder="1" applyProtection="1">
      <protection locked="0"/>
    </xf>
    <xf numFmtId="4" fontId="10" fillId="9" borderId="54" xfId="0" applyNumberFormat="1" applyFont="1" applyFill="1" applyBorder="1" applyProtection="1">
      <protection locked="0"/>
    </xf>
    <xf numFmtId="0" fontId="19" fillId="9" borderId="52" xfId="0" applyFont="1" applyFill="1" applyBorder="1" applyAlignment="1">
      <alignment horizontal="left"/>
    </xf>
    <xf numFmtId="0" fontId="19" fillId="9" borderId="53" xfId="0" applyFont="1" applyFill="1" applyBorder="1" applyAlignment="1">
      <alignment horizontal="left"/>
    </xf>
    <xf numFmtId="0" fontId="19" fillId="9" borderId="56" xfId="0" applyFont="1" applyFill="1" applyBorder="1"/>
    <xf numFmtId="4" fontId="19" fillId="9" borderId="54" xfId="0" applyNumberFormat="1" applyFont="1" applyFill="1" applyBorder="1"/>
    <xf numFmtId="0" fontId="28" fillId="9" borderId="52" xfId="0" applyFont="1" applyFill="1" applyBorder="1" applyAlignment="1">
      <alignment horizontal="left"/>
    </xf>
    <xf numFmtId="0" fontId="28" fillId="9" borderId="53" xfId="0" applyFont="1" applyFill="1" applyBorder="1" applyAlignment="1">
      <alignment horizontal="left"/>
    </xf>
    <xf numFmtId="0" fontId="28" fillId="9" borderId="56" xfId="0" applyFont="1" applyFill="1" applyBorder="1"/>
    <xf numFmtId="4" fontId="28" fillId="9" borderId="54" xfId="0" applyNumberFormat="1" applyFont="1" applyFill="1" applyBorder="1"/>
    <xf numFmtId="4" fontId="2" fillId="9" borderId="54" xfId="0" applyNumberFormat="1" applyFont="1" applyFill="1" applyBorder="1"/>
    <xf numFmtId="0" fontId="2" fillId="9" borderId="56" xfId="0" applyFont="1" applyFill="1" applyBorder="1" applyProtection="1">
      <protection locked="0"/>
    </xf>
    <xf numFmtId="4" fontId="2" fillId="9" borderId="54" xfId="0" applyNumberFormat="1" applyFont="1" applyFill="1" applyBorder="1" applyProtection="1">
      <protection locked="0"/>
    </xf>
    <xf numFmtId="0" fontId="17" fillId="9" borderId="52" xfId="0" applyFont="1" applyFill="1" applyBorder="1" applyAlignment="1">
      <alignment horizontal="left"/>
    </xf>
    <xf numFmtId="0" fontId="17" fillId="9" borderId="53" xfId="0" applyFont="1" applyFill="1" applyBorder="1" applyAlignment="1">
      <alignment horizontal="left"/>
    </xf>
    <xf numFmtId="0" fontId="17" fillId="9" borderId="56" xfId="0" applyFont="1" applyFill="1" applyBorder="1"/>
    <xf numFmtId="4" fontId="17" fillId="9" borderId="54" xfId="0" applyNumberFormat="1" applyFont="1" applyFill="1" applyBorder="1"/>
    <xf numFmtId="0" fontId="26" fillId="9" borderId="52" xfId="0" applyFont="1" applyFill="1" applyBorder="1" applyAlignment="1">
      <alignment horizontal="left"/>
    </xf>
    <xf numFmtId="0" fontId="26" fillId="9" borderId="53" xfId="0" applyFont="1" applyFill="1" applyBorder="1" applyAlignment="1">
      <alignment horizontal="left"/>
    </xf>
    <xf numFmtId="0" fontId="26" fillId="9" borderId="56" xfId="0" applyFont="1" applyFill="1" applyBorder="1"/>
    <xf numFmtId="4" fontId="26" fillId="9" borderId="54" xfId="0" applyNumberFormat="1" applyFont="1" applyFill="1" applyBorder="1"/>
    <xf numFmtId="164" fontId="0" fillId="9" borderId="22" xfId="0" applyNumberFormat="1" applyFill="1" applyBorder="1"/>
    <xf numFmtId="164" fontId="0" fillId="8" borderId="21" xfId="0" applyNumberFormat="1" applyFill="1" applyBorder="1"/>
    <xf numFmtId="164" fontId="0" fillId="8" borderId="22" xfId="0" applyNumberFormat="1" applyFill="1" applyBorder="1"/>
    <xf numFmtId="164" fontId="0" fillId="2" borderId="96" xfId="0" applyNumberFormat="1" applyFill="1" applyBorder="1"/>
    <xf numFmtId="0" fontId="5" fillId="14" borderId="97" xfId="0" applyFont="1" applyFill="1" applyBorder="1" applyAlignment="1">
      <alignment horizontal="center"/>
    </xf>
    <xf numFmtId="0" fontId="5" fillId="14" borderId="98" xfId="0" applyFont="1" applyFill="1" applyBorder="1" applyAlignment="1">
      <alignment horizontal="center"/>
    </xf>
    <xf numFmtId="0" fontId="5" fillId="14" borderId="87" xfId="0" applyFont="1" applyFill="1" applyBorder="1" applyAlignment="1">
      <alignment horizontal="center"/>
    </xf>
    <xf numFmtId="0" fontId="5" fillId="14" borderId="89" xfId="0" applyFont="1" applyFill="1" applyBorder="1" applyAlignment="1">
      <alignment horizontal="center"/>
    </xf>
    <xf numFmtId="164" fontId="0" fillId="9" borderId="67" xfId="0" applyNumberFormat="1" applyFill="1" applyBorder="1"/>
    <xf numFmtId="164" fontId="0" fillId="9" borderId="49" xfId="0" applyNumberFormat="1" applyFill="1" applyBorder="1"/>
    <xf numFmtId="164" fontId="0" fillId="2" borderId="99" xfId="0" applyNumberFormat="1" applyFill="1" applyBorder="1"/>
    <xf numFmtId="164" fontId="0" fillId="2" borderId="100" xfId="0" applyNumberFormat="1" applyFill="1" applyBorder="1"/>
    <xf numFmtId="164" fontId="0" fillId="2" borderId="45" xfId="0" applyNumberFormat="1" applyFill="1" applyBorder="1"/>
    <xf numFmtId="164" fontId="0" fillId="2" borderId="0" xfId="0" applyNumberFormat="1" applyFill="1"/>
    <xf numFmtId="164" fontId="0" fillId="2" borderId="46" xfId="0" applyNumberFormat="1" applyFill="1" applyBorder="1"/>
    <xf numFmtId="164" fontId="0" fillId="8" borderId="101" xfId="0" applyNumberFormat="1" applyFill="1" applyBorder="1"/>
    <xf numFmtId="164" fontId="0" fillId="8" borderId="102" xfId="0" applyNumberFormat="1" applyFill="1" applyBorder="1"/>
    <xf numFmtId="164" fontId="0" fillId="8" borderId="67" xfId="0" applyNumberFormat="1" applyFill="1" applyBorder="1"/>
    <xf numFmtId="164" fontId="0" fillId="8" borderId="49" xfId="0" applyNumberFormat="1" applyFill="1" applyBorder="1"/>
    <xf numFmtId="164" fontId="5" fillId="8" borderId="68" xfId="0" applyNumberFormat="1" applyFont="1" applyFill="1" applyBorder="1"/>
    <xf numFmtId="164" fontId="5" fillId="8" borderId="69" xfId="0" applyNumberFormat="1" applyFont="1" applyFill="1" applyBorder="1"/>
    <xf numFmtId="164" fontId="5" fillId="8" borderId="71" xfId="0" applyNumberFormat="1" applyFont="1" applyFill="1" applyBorder="1"/>
    <xf numFmtId="0" fontId="5" fillId="14" borderId="103" xfId="0" applyFont="1" applyFill="1" applyBorder="1" applyAlignment="1">
      <alignment horizontal="center" vertical="center"/>
    </xf>
    <xf numFmtId="0" fontId="5" fillId="9" borderId="104" xfId="0" applyFont="1" applyFill="1" applyBorder="1" applyAlignment="1">
      <alignment wrapText="1"/>
    </xf>
    <xf numFmtId="0" fontId="5" fillId="2" borderId="104" xfId="0" applyFont="1" applyFill="1" applyBorder="1"/>
    <xf numFmtId="0" fontId="5" fillId="9" borderId="104" xfId="0" applyFont="1" applyFill="1" applyBorder="1"/>
    <xf numFmtId="0" fontId="5" fillId="2" borderId="105" xfId="0" applyFont="1" applyFill="1" applyBorder="1"/>
    <xf numFmtId="0" fontId="5" fillId="8" borderId="106" xfId="0" applyFont="1" applyFill="1" applyBorder="1"/>
    <xf numFmtId="0" fontId="5" fillId="8" borderId="104" xfId="0" applyFont="1" applyFill="1" applyBorder="1"/>
    <xf numFmtId="0" fontId="5" fillId="8" borderId="107" xfId="0" applyFont="1" applyFill="1" applyBorder="1"/>
    <xf numFmtId="0" fontId="5" fillId="14" borderId="108" xfId="0" applyFont="1" applyFill="1" applyBorder="1" applyAlignment="1">
      <alignment horizontal="center"/>
    </xf>
    <xf numFmtId="164" fontId="0" fillId="12" borderId="100" xfId="0" applyNumberFormat="1" applyFill="1" applyBorder="1"/>
    <xf numFmtId="0" fontId="5" fillId="2" borderId="107" xfId="0" applyFont="1" applyFill="1" applyBorder="1"/>
    <xf numFmtId="164" fontId="0" fillId="2" borderId="109" xfId="0" applyNumberFormat="1" applyFill="1" applyBorder="1"/>
    <xf numFmtId="164" fontId="0" fillId="2" borderId="110" xfId="0" applyNumberFormat="1" applyFill="1" applyBorder="1"/>
    <xf numFmtId="164" fontId="0" fillId="2" borderId="111" xfId="0" applyNumberFormat="1" applyFill="1" applyBorder="1"/>
    <xf numFmtId="0" fontId="5" fillId="9" borderId="103" xfId="0" applyFont="1" applyFill="1" applyBorder="1" applyAlignment="1">
      <alignment wrapText="1"/>
    </xf>
    <xf numFmtId="164" fontId="0" fillId="9" borderId="97" xfId="0" applyNumberFormat="1" applyFill="1" applyBorder="1"/>
    <xf numFmtId="164" fontId="0" fillId="9" borderId="87" xfId="0" applyNumberFormat="1" applyFill="1" applyBorder="1"/>
    <xf numFmtId="164" fontId="0" fillId="9" borderId="89" xfId="0" applyNumberFormat="1" applyFill="1" applyBorder="1"/>
    <xf numFmtId="164" fontId="0" fillId="12" borderId="108" xfId="0" applyNumberFormat="1" applyFill="1" applyBorder="1"/>
    <xf numFmtId="0" fontId="5" fillId="9" borderId="107" xfId="0" applyFont="1" applyFill="1" applyBorder="1" applyAlignment="1">
      <alignment wrapText="1"/>
    </xf>
    <xf numFmtId="164" fontId="0" fillId="9" borderId="68" xfId="0" applyNumberFormat="1" applyFill="1" applyBorder="1"/>
    <xf numFmtId="164" fontId="0" fillId="9" borderId="69" xfId="0" applyNumberFormat="1" applyFill="1" applyBorder="1"/>
    <xf numFmtId="164" fontId="0" fillId="9" borderId="71" xfId="0" applyNumberFormat="1" applyFill="1" applyBorder="1"/>
    <xf numFmtId="164" fontId="0" fillId="12" borderId="111" xfId="0" applyNumberFormat="1" applyFill="1" applyBorder="1"/>
    <xf numFmtId="0" fontId="5" fillId="2" borderId="112" xfId="0" applyFont="1" applyFill="1" applyBorder="1"/>
    <xf numFmtId="164" fontId="0" fillId="2" borderId="58" xfId="0" applyNumberFormat="1" applyFill="1" applyBorder="1"/>
    <xf numFmtId="164" fontId="0" fillId="2" borderId="78" xfId="0" applyNumberFormat="1" applyFill="1" applyBorder="1"/>
    <xf numFmtId="164" fontId="0" fillId="2" borderId="59" xfId="0" applyNumberFormat="1" applyFill="1" applyBorder="1"/>
    <xf numFmtId="164" fontId="0" fillId="13" borderId="113" xfId="0" applyNumberFormat="1" applyFill="1" applyBorder="1"/>
    <xf numFmtId="164" fontId="0" fillId="13" borderId="100" xfId="0" applyNumberFormat="1" applyFill="1" applyBorder="1"/>
    <xf numFmtId="164" fontId="5" fillId="13" borderId="111" xfId="0" applyNumberFormat="1" applyFont="1" applyFill="1" applyBorder="1"/>
    <xf numFmtId="16" fontId="2" fillId="9" borderId="32" xfId="0" applyNumberFormat="1" applyFont="1" applyFill="1" applyBorder="1" applyProtection="1">
      <protection locked="0"/>
    </xf>
    <xf numFmtId="0" fontId="3" fillId="8" borderId="58" xfId="0" applyFont="1" applyFill="1" applyBorder="1" applyAlignment="1">
      <alignment horizontal="left" vertical="center"/>
    </xf>
    <xf numFmtId="0" fontId="3" fillId="8" borderId="114" xfId="0" applyFont="1" applyFill="1" applyBorder="1" applyAlignment="1">
      <alignment horizontal="left" vertical="center"/>
    </xf>
    <xf numFmtId="0" fontId="3" fillId="8" borderId="58" xfId="0" applyFont="1" applyFill="1" applyBorder="1" applyAlignment="1">
      <alignment horizontal="left" vertical="center" wrapText="1"/>
    </xf>
    <xf numFmtId="0" fontId="3" fillId="8" borderId="114" xfId="0" applyFont="1" applyFill="1" applyBorder="1" applyAlignment="1">
      <alignment horizontal="left" vertical="center" wrapText="1"/>
    </xf>
    <xf numFmtId="0" fontId="3" fillId="8" borderId="115" xfId="0" applyFont="1" applyFill="1" applyBorder="1" applyAlignment="1">
      <alignment horizontal="left" vertical="center" wrapText="1"/>
    </xf>
  </cellXfs>
  <cellStyles count="2">
    <cellStyle name="Link" xfId="1" builtinId="8"/>
    <cellStyle name="Standard" xfId="0" builtinId="0"/>
  </cellStyles>
  <dxfs count="0"/>
  <tableStyles count="1" defaultTableStyle="TableStyleMedium2" defaultPivotStyle="PivotStyleLight16">
    <tableStyle name="Invisible" pivot="0" table="0" count="0" xr9:uid="{5EE07A72-59A4-44E4-BF89-7CA4BFF4EC0B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A1A1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sign_INN-tegrativ-PT Sans">
  <a:themeElements>
    <a:clrScheme name="Galathea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INN-tegrativ">
      <a:majorFont>
        <a:latin typeface="PT Sans"/>
        <a:ea typeface=""/>
        <a:cs typeface=""/>
      </a:majorFont>
      <a:minorFont>
        <a:latin typeface="PT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printerSettings" Target="../printerSettings/printerSettings66.bin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11" Type="http://schemas.openxmlformats.org/officeDocument/2006/relationships/printerSettings" Target="../printerSettings/printerSettings77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5.bin"/><Relationship Id="rId3" Type="http://schemas.openxmlformats.org/officeDocument/2006/relationships/printerSettings" Target="../printerSettings/printerSettings80.bin"/><Relationship Id="rId7" Type="http://schemas.openxmlformats.org/officeDocument/2006/relationships/printerSettings" Target="../printerSettings/printerSettings84.bin"/><Relationship Id="rId2" Type="http://schemas.openxmlformats.org/officeDocument/2006/relationships/printerSettings" Target="../printerSettings/printerSettings79.bin"/><Relationship Id="rId1" Type="http://schemas.openxmlformats.org/officeDocument/2006/relationships/printerSettings" Target="../printerSettings/printerSettings78.bin"/><Relationship Id="rId6" Type="http://schemas.openxmlformats.org/officeDocument/2006/relationships/printerSettings" Target="../printerSettings/printerSettings83.bin"/><Relationship Id="rId11" Type="http://schemas.openxmlformats.org/officeDocument/2006/relationships/printerSettings" Target="../printerSettings/printerSettings88.bin"/><Relationship Id="rId5" Type="http://schemas.openxmlformats.org/officeDocument/2006/relationships/printerSettings" Target="../printerSettings/printerSettings82.bin"/><Relationship Id="rId10" Type="http://schemas.openxmlformats.org/officeDocument/2006/relationships/printerSettings" Target="../printerSettings/printerSettings87.bin"/><Relationship Id="rId4" Type="http://schemas.openxmlformats.org/officeDocument/2006/relationships/printerSettings" Target="../printerSettings/printerSettings81.bin"/><Relationship Id="rId9" Type="http://schemas.openxmlformats.org/officeDocument/2006/relationships/printerSettings" Target="../printerSettings/printerSettings86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6.bin"/><Relationship Id="rId3" Type="http://schemas.openxmlformats.org/officeDocument/2006/relationships/printerSettings" Target="../printerSettings/printerSettings91.bin"/><Relationship Id="rId7" Type="http://schemas.openxmlformats.org/officeDocument/2006/relationships/printerSettings" Target="../printerSettings/printerSettings95.bin"/><Relationship Id="rId2" Type="http://schemas.openxmlformats.org/officeDocument/2006/relationships/printerSettings" Target="../printerSettings/printerSettings90.bin"/><Relationship Id="rId1" Type="http://schemas.openxmlformats.org/officeDocument/2006/relationships/printerSettings" Target="../printerSettings/printerSettings89.bin"/><Relationship Id="rId6" Type="http://schemas.openxmlformats.org/officeDocument/2006/relationships/printerSettings" Target="../printerSettings/printerSettings94.bin"/><Relationship Id="rId11" Type="http://schemas.openxmlformats.org/officeDocument/2006/relationships/printerSettings" Target="../printerSettings/printerSettings99.bin"/><Relationship Id="rId5" Type="http://schemas.openxmlformats.org/officeDocument/2006/relationships/printerSettings" Target="../printerSettings/printerSettings93.bin"/><Relationship Id="rId10" Type="http://schemas.openxmlformats.org/officeDocument/2006/relationships/printerSettings" Target="../printerSettings/printerSettings98.bin"/><Relationship Id="rId4" Type="http://schemas.openxmlformats.org/officeDocument/2006/relationships/printerSettings" Target="../printerSettings/printerSettings92.bin"/><Relationship Id="rId9" Type="http://schemas.openxmlformats.org/officeDocument/2006/relationships/printerSettings" Target="../printerSettings/printerSettings97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7.bin"/><Relationship Id="rId3" Type="http://schemas.openxmlformats.org/officeDocument/2006/relationships/printerSettings" Target="../printerSettings/printerSettings102.bin"/><Relationship Id="rId7" Type="http://schemas.openxmlformats.org/officeDocument/2006/relationships/printerSettings" Target="../printerSettings/printerSettings106.bin"/><Relationship Id="rId2" Type="http://schemas.openxmlformats.org/officeDocument/2006/relationships/printerSettings" Target="../printerSettings/printerSettings101.bin"/><Relationship Id="rId1" Type="http://schemas.openxmlformats.org/officeDocument/2006/relationships/printerSettings" Target="../printerSettings/printerSettings100.bin"/><Relationship Id="rId6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110.bin"/><Relationship Id="rId5" Type="http://schemas.openxmlformats.org/officeDocument/2006/relationships/printerSettings" Target="../printerSettings/printerSettings104.bin"/><Relationship Id="rId10" Type="http://schemas.openxmlformats.org/officeDocument/2006/relationships/printerSettings" Target="../printerSettings/printerSettings109.bin"/><Relationship Id="rId4" Type="http://schemas.openxmlformats.org/officeDocument/2006/relationships/printerSettings" Target="../printerSettings/printerSettings103.bin"/><Relationship Id="rId9" Type="http://schemas.openxmlformats.org/officeDocument/2006/relationships/printerSettings" Target="../printerSettings/printerSettings10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8.bin"/><Relationship Id="rId3" Type="http://schemas.openxmlformats.org/officeDocument/2006/relationships/printerSettings" Target="../printerSettings/printerSettings113.bin"/><Relationship Id="rId7" Type="http://schemas.openxmlformats.org/officeDocument/2006/relationships/printerSettings" Target="../printerSettings/printerSettings117.bin"/><Relationship Id="rId2" Type="http://schemas.openxmlformats.org/officeDocument/2006/relationships/printerSettings" Target="../printerSettings/printerSettings112.bin"/><Relationship Id="rId1" Type="http://schemas.openxmlformats.org/officeDocument/2006/relationships/printerSettings" Target="../printerSettings/printerSettings111.bin"/><Relationship Id="rId6" Type="http://schemas.openxmlformats.org/officeDocument/2006/relationships/printerSettings" Target="../printerSettings/printerSettings116.bin"/><Relationship Id="rId11" Type="http://schemas.openxmlformats.org/officeDocument/2006/relationships/printerSettings" Target="../printerSettings/printerSettings121.bin"/><Relationship Id="rId5" Type="http://schemas.openxmlformats.org/officeDocument/2006/relationships/printerSettings" Target="../printerSettings/printerSettings115.bin"/><Relationship Id="rId10" Type="http://schemas.openxmlformats.org/officeDocument/2006/relationships/printerSettings" Target="../printerSettings/printerSettings120.bin"/><Relationship Id="rId4" Type="http://schemas.openxmlformats.org/officeDocument/2006/relationships/printerSettings" Target="../printerSettings/printerSettings114.bin"/><Relationship Id="rId9" Type="http://schemas.openxmlformats.org/officeDocument/2006/relationships/printerSettings" Target="../printerSettings/printerSettings1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G45"/>
  <sheetViews>
    <sheetView workbookViewId="0">
      <selection activeCell="A36" sqref="A36"/>
    </sheetView>
  </sheetViews>
  <sheetFormatPr baseColWidth="10" defaultRowHeight="12.75" x14ac:dyDescent="0.2"/>
  <cols>
    <col min="1" max="1" width="92.28515625" customWidth="1"/>
  </cols>
  <sheetData>
    <row r="1" spans="1:7" ht="18" x14ac:dyDescent="0.25">
      <c r="A1" s="2" t="s">
        <v>0</v>
      </c>
      <c r="B1" s="3"/>
      <c r="C1" s="3"/>
      <c r="D1" s="3"/>
      <c r="E1" s="3"/>
      <c r="F1" s="3"/>
      <c r="G1" s="4">
        <f>Januar!N1</f>
        <v>0</v>
      </c>
    </row>
    <row r="2" spans="1:7" ht="18" x14ac:dyDescent="0.25">
      <c r="A2" s="5"/>
      <c r="B2" s="6"/>
      <c r="C2" s="6"/>
      <c r="D2" s="6"/>
      <c r="E2" s="6"/>
      <c r="F2" s="7"/>
      <c r="G2" s="8" t="s">
        <v>1</v>
      </c>
    </row>
    <row r="3" spans="1:7" x14ac:dyDescent="0.2">
      <c r="A3" s="9"/>
      <c r="B3" s="6"/>
      <c r="C3" s="6"/>
      <c r="D3" s="6"/>
      <c r="E3" s="6"/>
      <c r="F3" s="6"/>
      <c r="G3" s="10"/>
    </row>
    <row r="4" spans="1:7" x14ac:dyDescent="0.2">
      <c r="A4" s="9" t="s">
        <v>2</v>
      </c>
      <c r="B4" s="6"/>
      <c r="C4" s="6"/>
      <c r="D4" s="6"/>
      <c r="E4" s="6"/>
      <c r="F4" s="6"/>
      <c r="G4" s="10"/>
    </row>
    <row r="5" spans="1:7" x14ac:dyDescent="0.2">
      <c r="A5" s="9" t="s">
        <v>3</v>
      </c>
      <c r="B5" s="6"/>
      <c r="C5" s="6"/>
      <c r="D5" s="6"/>
      <c r="E5" s="6"/>
      <c r="F5" s="6"/>
      <c r="G5" s="10"/>
    </row>
    <row r="6" spans="1:7" x14ac:dyDescent="0.2">
      <c r="A6" s="9" t="s">
        <v>4</v>
      </c>
      <c r="B6" s="6"/>
      <c r="C6" s="6"/>
      <c r="D6" s="6"/>
      <c r="E6" s="6"/>
      <c r="F6" s="6"/>
      <c r="G6" s="10"/>
    </row>
    <row r="7" spans="1:7" x14ac:dyDescent="0.2">
      <c r="A7" s="11"/>
      <c r="B7" s="12"/>
      <c r="C7" s="12"/>
      <c r="D7" s="12"/>
      <c r="E7" s="12"/>
      <c r="F7" s="12"/>
      <c r="G7" s="13"/>
    </row>
    <row r="8" spans="1:7" x14ac:dyDescent="0.2">
      <c r="A8" s="14"/>
      <c r="B8" s="1"/>
      <c r="C8" s="1"/>
      <c r="D8" s="1"/>
      <c r="E8" s="1"/>
      <c r="F8" s="1"/>
      <c r="G8" s="15"/>
    </row>
    <row r="9" spans="1:7" ht="18" x14ac:dyDescent="0.25">
      <c r="A9" s="16" t="s">
        <v>5</v>
      </c>
      <c r="B9" s="17"/>
      <c r="C9" s="17"/>
      <c r="D9" s="17"/>
      <c r="E9" s="17"/>
      <c r="F9" s="17"/>
      <c r="G9" s="18"/>
    </row>
    <row r="10" spans="1:7" ht="18" x14ac:dyDescent="0.25">
      <c r="A10" s="16"/>
      <c r="B10" s="17"/>
      <c r="C10" s="17"/>
      <c r="D10" s="17"/>
      <c r="E10" s="17"/>
      <c r="F10" s="17"/>
      <c r="G10" s="18"/>
    </row>
    <row r="11" spans="1:7" x14ac:dyDescent="0.2">
      <c r="A11" s="19" t="s">
        <v>6</v>
      </c>
      <c r="B11" s="20"/>
      <c r="C11" s="20"/>
      <c r="D11" s="20"/>
      <c r="E11" s="20"/>
      <c r="F11" s="20"/>
      <c r="G11" s="21"/>
    </row>
    <row r="12" spans="1:7" x14ac:dyDescent="0.2">
      <c r="A12" s="9" t="s">
        <v>7</v>
      </c>
      <c r="B12" s="6"/>
      <c r="C12" s="6"/>
      <c r="D12" s="6"/>
      <c r="E12" s="6"/>
      <c r="F12" s="6"/>
      <c r="G12" s="10"/>
    </row>
    <row r="13" spans="1:7" x14ac:dyDescent="0.2">
      <c r="A13" s="9" t="s">
        <v>8</v>
      </c>
      <c r="B13" s="6"/>
      <c r="C13" s="6"/>
      <c r="D13" s="6"/>
      <c r="E13" s="6"/>
      <c r="F13" s="6"/>
      <c r="G13" s="10"/>
    </row>
    <row r="14" spans="1:7" x14ac:dyDescent="0.2">
      <c r="A14" s="9" t="s">
        <v>9</v>
      </c>
      <c r="B14" s="6"/>
      <c r="C14" s="6"/>
      <c r="D14" s="6"/>
      <c r="E14" s="6"/>
      <c r="F14" s="6"/>
      <c r="G14" s="10"/>
    </row>
    <row r="15" spans="1:7" x14ac:dyDescent="0.2">
      <c r="A15" s="22" t="s">
        <v>10</v>
      </c>
      <c r="B15" s="23"/>
      <c r="C15" s="23"/>
      <c r="D15" s="23"/>
      <c r="E15" s="23"/>
      <c r="F15" s="23"/>
      <c r="G15" s="24"/>
    </row>
    <row r="16" spans="1:7" x14ac:dyDescent="0.2">
      <c r="A16" s="14"/>
      <c r="B16" s="1"/>
      <c r="C16" s="1"/>
      <c r="D16" s="1"/>
      <c r="E16" s="1"/>
      <c r="F16" s="1"/>
      <c r="G16" s="15"/>
    </row>
    <row r="17" spans="1:7" x14ac:dyDescent="0.2">
      <c r="A17" s="19" t="s">
        <v>11</v>
      </c>
      <c r="B17" s="20"/>
      <c r="C17" s="20"/>
      <c r="D17" s="20"/>
      <c r="E17" s="20"/>
      <c r="F17" s="20"/>
      <c r="G17" s="21"/>
    </row>
    <row r="18" spans="1:7" x14ac:dyDescent="0.2">
      <c r="A18" s="9" t="s">
        <v>12</v>
      </c>
      <c r="B18" s="6"/>
      <c r="C18" s="6"/>
      <c r="D18" s="6"/>
      <c r="E18" s="6"/>
      <c r="F18" s="6"/>
      <c r="G18" s="10"/>
    </row>
    <row r="19" spans="1:7" x14ac:dyDescent="0.2">
      <c r="A19" s="9" t="s">
        <v>13</v>
      </c>
      <c r="B19" s="6"/>
      <c r="C19" s="6"/>
      <c r="D19" s="6"/>
      <c r="E19" s="6"/>
      <c r="F19" s="6"/>
      <c r="G19" s="10"/>
    </row>
    <row r="20" spans="1:7" x14ac:dyDescent="0.2">
      <c r="A20" s="9" t="s">
        <v>14</v>
      </c>
      <c r="B20" s="6"/>
      <c r="C20" s="6"/>
      <c r="D20" s="6"/>
      <c r="E20" s="6"/>
      <c r="F20" s="6"/>
      <c r="G20" s="10"/>
    </row>
    <row r="21" spans="1:7" x14ac:dyDescent="0.2">
      <c r="A21" s="9" t="s">
        <v>15</v>
      </c>
      <c r="B21" s="6"/>
      <c r="C21" s="6"/>
      <c r="D21" s="6"/>
      <c r="E21" s="6"/>
      <c r="F21" s="6"/>
      <c r="G21" s="10"/>
    </row>
    <row r="22" spans="1:7" x14ac:dyDescent="0.2">
      <c r="A22" s="22" t="s">
        <v>16</v>
      </c>
      <c r="B22" s="23"/>
      <c r="C22" s="23"/>
      <c r="D22" s="23"/>
      <c r="E22" s="23"/>
      <c r="F22" s="23"/>
      <c r="G22" s="24"/>
    </row>
    <row r="23" spans="1:7" x14ac:dyDescent="0.2">
      <c r="A23" s="14"/>
      <c r="B23" s="1"/>
      <c r="C23" s="1"/>
      <c r="D23" s="1"/>
      <c r="E23" s="1"/>
      <c r="F23" s="1"/>
      <c r="G23" s="15"/>
    </row>
    <row r="24" spans="1:7" x14ac:dyDescent="0.2">
      <c r="A24" s="19" t="s">
        <v>17</v>
      </c>
      <c r="B24" s="20"/>
      <c r="C24" s="20"/>
      <c r="D24" s="20"/>
      <c r="E24" s="20"/>
      <c r="F24" s="20"/>
      <c r="G24" s="21"/>
    </row>
    <row r="25" spans="1:7" x14ac:dyDescent="0.2">
      <c r="A25" s="9" t="s">
        <v>18</v>
      </c>
      <c r="B25" s="6"/>
      <c r="C25" s="6"/>
      <c r="D25" s="6"/>
      <c r="E25" s="6"/>
      <c r="F25" s="6"/>
      <c r="G25" s="10"/>
    </row>
    <row r="26" spans="1:7" x14ac:dyDescent="0.2">
      <c r="A26" s="9" t="s">
        <v>19</v>
      </c>
      <c r="B26" s="6"/>
      <c r="C26" s="6"/>
      <c r="D26" s="6"/>
      <c r="E26" s="6"/>
      <c r="F26" s="6"/>
      <c r="G26" s="10"/>
    </row>
    <row r="27" spans="1:7" x14ac:dyDescent="0.2">
      <c r="A27" s="22" t="s">
        <v>20</v>
      </c>
      <c r="B27" s="23"/>
      <c r="C27" s="23"/>
      <c r="D27" s="23"/>
      <c r="E27" s="23"/>
      <c r="F27" s="23"/>
      <c r="G27" s="24"/>
    </row>
    <row r="28" spans="1:7" x14ac:dyDescent="0.2">
      <c r="A28" s="14"/>
      <c r="B28" s="1"/>
      <c r="C28" s="1"/>
      <c r="D28" s="1"/>
      <c r="E28" s="1"/>
      <c r="F28" s="1"/>
      <c r="G28" s="15"/>
    </row>
    <row r="29" spans="1:7" x14ac:dyDescent="0.2">
      <c r="A29" s="19" t="s">
        <v>21</v>
      </c>
      <c r="B29" s="20"/>
      <c r="C29" s="20"/>
      <c r="D29" s="20"/>
      <c r="E29" s="20"/>
      <c r="F29" s="20"/>
      <c r="G29" s="21"/>
    </row>
    <row r="30" spans="1:7" x14ac:dyDescent="0.2">
      <c r="A30" s="9" t="s">
        <v>22</v>
      </c>
      <c r="B30" s="6"/>
      <c r="C30" s="6"/>
      <c r="D30" s="6"/>
      <c r="E30" s="6"/>
      <c r="F30" s="6"/>
      <c r="G30" s="10"/>
    </row>
    <row r="31" spans="1:7" x14ac:dyDescent="0.2">
      <c r="A31" s="9" t="s">
        <v>23</v>
      </c>
      <c r="B31" s="6"/>
      <c r="C31" s="6"/>
      <c r="D31" s="6"/>
      <c r="E31" s="6"/>
      <c r="F31" s="6"/>
      <c r="G31" s="10"/>
    </row>
    <row r="32" spans="1:7" x14ac:dyDescent="0.2">
      <c r="A32" s="25" t="s">
        <v>24</v>
      </c>
      <c r="B32" s="23"/>
      <c r="C32" s="23"/>
      <c r="D32" s="23"/>
      <c r="E32" s="23"/>
      <c r="F32" s="23"/>
      <c r="G32" s="24"/>
    </row>
    <row r="33" spans="1:7" x14ac:dyDescent="0.2">
      <c r="A33" s="14"/>
      <c r="B33" s="1"/>
      <c r="C33" s="1"/>
      <c r="D33" s="1"/>
      <c r="E33" s="1"/>
      <c r="F33" s="1"/>
      <c r="G33" s="15"/>
    </row>
    <row r="34" spans="1:7" x14ac:dyDescent="0.2">
      <c r="A34" s="26" t="s">
        <v>25</v>
      </c>
      <c r="B34" s="27"/>
      <c r="C34" s="27"/>
      <c r="D34" s="27"/>
      <c r="E34" s="27"/>
      <c r="F34" s="27"/>
      <c r="G34" s="28"/>
    </row>
    <row r="35" spans="1:7" x14ac:dyDescent="0.2">
      <c r="A35" s="29" t="s">
        <v>26</v>
      </c>
      <c r="B35" s="30"/>
      <c r="C35" s="30"/>
      <c r="D35" s="30"/>
      <c r="E35" s="30"/>
      <c r="F35" s="30"/>
      <c r="G35" s="31"/>
    </row>
    <row r="36" spans="1:7" x14ac:dyDescent="0.2">
      <c r="A36" s="14"/>
      <c r="B36" s="1"/>
      <c r="C36" s="1"/>
      <c r="D36" s="1"/>
      <c r="E36" s="1"/>
      <c r="F36" s="1"/>
      <c r="G36" s="15"/>
    </row>
    <row r="37" spans="1:7" x14ac:dyDescent="0.2">
      <c r="A37" s="14"/>
      <c r="B37" s="1"/>
      <c r="C37" s="1"/>
      <c r="D37" s="1"/>
      <c r="E37" s="1"/>
      <c r="F37" s="1"/>
      <c r="G37" s="15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"/>
      <c r="B39" s="1"/>
      <c r="C39" s="1"/>
      <c r="D39" s="1"/>
      <c r="E39" s="1"/>
      <c r="F39" s="1"/>
      <c r="G39" s="1"/>
    </row>
    <row r="40" spans="1:7" x14ac:dyDescent="0.2">
      <c r="A40" s="1"/>
      <c r="B40" s="1"/>
      <c r="C40" s="1"/>
      <c r="D40" s="1"/>
      <c r="E40" s="1"/>
      <c r="F40" s="1"/>
      <c r="G40" s="1"/>
    </row>
    <row r="41" spans="1:7" x14ac:dyDescent="0.2">
      <c r="A41" s="1"/>
      <c r="B41" s="1"/>
      <c r="C41" s="1"/>
      <c r="D41" s="1"/>
      <c r="E41" s="1"/>
      <c r="F41" s="1"/>
      <c r="G41" s="1"/>
    </row>
    <row r="42" spans="1:7" x14ac:dyDescent="0.2">
      <c r="A42" s="1"/>
      <c r="B42" s="1"/>
      <c r="C42" s="1"/>
      <c r="D42" s="1"/>
      <c r="E42" s="1"/>
      <c r="F42" s="1"/>
      <c r="G42" s="1"/>
    </row>
    <row r="43" spans="1:7" x14ac:dyDescent="0.2">
      <c r="A43" s="1"/>
      <c r="B43" s="1"/>
      <c r="C43" s="1"/>
      <c r="D43" s="1"/>
      <c r="E43" s="1"/>
      <c r="F43" s="1"/>
      <c r="G43" s="1"/>
    </row>
    <row r="44" spans="1:7" x14ac:dyDescent="0.2">
      <c r="A44" s="1"/>
      <c r="B44" s="1"/>
      <c r="C44" s="1"/>
      <c r="D44" s="1"/>
      <c r="E44" s="1"/>
      <c r="F44" s="1"/>
      <c r="G44" s="1"/>
    </row>
    <row r="45" spans="1:7" x14ac:dyDescent="0.2">
      <c r="A45" s="1"/>
      <c r="B45" s="1"/>
      <c r="C45" s="1"/>
      <c r="D45" s="1"/>
      <c r="E45" s="1"/>
      <c r="F45" s="1"/>
      <c r="G45" s="1"/>
    </row>
  </sheetData>
  <customSheetViews>
    <customSheetView guid="{25DC4F91-A91C-4C3F-9681-9209750ABBEA}">
      <selection activeCell="I26" sqref="I26:J31"/>
      <pageMargins left="0.7" right="0.7" top="0.78740157499999996" bottom="0.78740157499999996" header="0.3" footer="0.3"/>
    </customSheetView>
    <customSheetView guid="{CFE9FE8C-9075-4CDC-A3CC-05601E4600C1}">
      <pageMargins left="0.7" right="0.7" top="0.78740157499999996" bottom="0.78740157499999996" header="0.3" footer="0.3"/>
    </customSheetView>
    <customSheetView guid="{C21A97DE-3F4E-441C-9EE1-180F872F0921}">
      <selection activeCell="I26" sqref="I26:J31"/>
      <pageMargins left="0.7" right="0.7" top="0.78740157499999996" bottom="0.78740157499999996" header="0.3" footer="0.3"/>
    </customSheetView>
    <customSheetView guid="{32010A6E-0F0E-4D6E-BDEC-7BF6D197330C}">
      <selection activeCell="I26" sqref="I26:J31"/>
      <pageMargins left="0.7" right="0.7" top="0.78740157499999996" bottom="0.78740157499999996" header="0.3" footer="0.3"/>
    </customSheetView>
    <customSheetView guid="{77AA5D6B-183E-4B34-9A26-D8BDC7AB4A8B}">
      <selection activeCell="I26" sqref="I26:J31"/>
      <pageMargins left="0.7" right="0.7" top="0.78740157499999996" bottom="0.78740157499999996" header="0.3" footer="0.3"/>
    </customSheetView>
    <customSheetView guid="{476E9108-F970-4ED5-B615-D5EA1D6F5C1C}">
      <selection activeCell="A42" sqref="A42"/>
      <pageMargins left="0.7" right="0.7" top="0.78740157499999996" bottom="0.78740157499999996" header="0.3" footer="0.3"/>
    </customSheetView>
    <customSheetView guid="{09202BB1-255A-4EDA-B63F-9E0CA30B36C5}">
      <selection activeCell="I26" sqref="I26:J31"/>
      <pageMargins left="0.7" right="0.7" top="0.78740157499999996" bottom="0.78740157499999996" header="0.3" footer="0.3"/>
    </customSheetView>
    <customSheetView guid="{CD87C90D-3024-4E69-ABDD-891676803401}">
      <selection activeCell="I26" sqref="I26:J31"/>
      <pageMargins left="0.7" right="0.7" top="0.78740157499999996" bottom="0.78740157499999996" header="0.3" footer="0.3"/>
    </customSheetView>
    <customSheetView guid="{2FCDEDCE-A041-4FA8-BFB2-1CA8CD8915F4}">
      <selection activeCell="I26" sqref="I26:J31"/>
      <pageMargins left="0.7" right="0.7" top="0.78740157499999996" bottom="0.78740157499999996" header="0.3" footer="0.3"/>
    </customSheetView>
    <customSheetView guid="{7FE57256-D437-42BF-8A0F-4C221865038B}">
      <selection activeCell="I26" sqref="I26:J31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N25"/>
  <sheetViews>
    <sheetView workbookViewId="0">
      <selection activeCell="K40" sqref="K40"/>
    </sheetView>
  </sheetViews>
  <sheetFormatPr baseColWidth="10" defaultRowHeight="12.75" x14ac:dyDescent="0.2"/>
  <cols>
    <col min="1" max="1" width="27.7109375" customWidth="1"/>
  </cols>
  <sheetData>
    <row r="1" spans="1:14" x14ac:dyDescent="0.2">
      <c r="A1" s="492"/>
      <c r="B1" s="474" t="s">
        <v>27</v>
      </c>
      <c r="C1" s="475" t="s">
        <v>28</v>
      </c>
      <c r="D1" s="476" t="s">
        <v>29</v>
      </c>
      <c r="E1" s="475" t="s">
        <v>30</v>
      </c>
      <c r="F1" s="476" t="s">
        <v>31</v>
      </c>
      <c r="G1" s="475" t="s">
        <v>32</v>
      </c>
      <c r="H1" s="476" t="s">
        <v>33</v>
      </c>
      <c r="I1" s="475" t="s">
        <v>34</v>
      </c>
      <c r="J1" s="476" t="s">
        <v>35</v>
      </c>
      <c r="K1" s="475" t="s">
        <v>36</v>
      </c>
      <c r="L1" s="476" t="s">
        <v>37</v>
      </c>
      <c r="M1" s="477" t="s">
        <v>38</v>
      </c>
      <c r="N1" s="500" t="s">
        <v>39</v>
      </c>
    </row>
    <row r="2" spans="1:14" x14ac:dyDescent="0.2">
      <c r="A2" s="493" t="s">
        <v>40</v>
      </c>
      <c r="B2" s="478">
        <f>SUM(Januar!$C$4:$P$4)</f>
        <v>0</v>
      </c>
      <c r="C2" s="470">
        <f>SUM(Februar!$C$4:$P$4)</f>
        <v>0</v>
      </c>
      <c r="D2" s="470">
        <f>SUM(März!$C$4:$P$4)</f>
        <v>0</v>
      </c>
      <c r="E2" s="470">
        <f>SUM(April!$C$4:$P$4)</f>
        <v>0</v>
      </c>
      <c r="F2" s="470">
        <f>SUM(Mai!$C$4:$P$4)</f>
        <v>0</v>
      </c>
      <c r="G2" s="470">
        <f>SUM(Juni!$C$4:$P$4)</f>
        <v>0</v>
      </c>
      <c r="H2" s="470">
        <f>SUM(Juli!$C$4:$P$4)</f>
        <v>0</v>
      </c>
      <c r="I2" s="470">
        <f>SUM(August!$C$4:$P$4)</f>
        <v>0</v>
      </c>
      <c r="J2" s="470">
        <f>SUM(September!$C$4:$P$4)</f>
        <v>0</v>
      </c>
      <c r="K2" s="470">
        <f>SUM(Oktober!$C$4:$P$4)</f>
        <v>0</v>
      </c>
      <c r="L2" s="470">
        <f>SUM(November!$C$4:$P$4)</f>
        <v>0</v>
      </c>
      <c r="M2" s="479">
        <f>SUM(Dezember!$C$4:$P$4)</f>
        <v>0</v>
      </c>
      <c r="N2" s="501">
        <f>SUM(B2:M2)</f>
        <v>0</v>
      </c>
    </row>
    <row r="3" spans="1:14" x14ac:dyDescent="0.2">
      <c r="A3" s="494"/>
      <c r="B3" s="480"/>
      <c r="C3" s="32"/>
      <c r="D3" s="32"/>
      <c r="E3" s="32"/>
      <c r="F3" s="32"/>
      <c r="G3" s="32"/>
      <c r="H3" s="32"/>
      <c r="I3" s="32"/>
      <c r="J3" s="32"/>
      <c r="K3" s="32"/>
      <c r="L3" s="32"/>
      <c r="M3" s="481"/>
      <c r="N3" s="481"/>
    </row>
    <row r="4" spans="1:14" x14ac:dyDescent="0.2">
      <c r="A4" s="493" t="s">
        <v>41</v>
      </c>
      <c r="B4" s="478">
        <f>SUM(Januar!$C$7:$P$7)</f>
        <v>0</v>
      </c>
      <c r="C4" s="470">
        <f>SUM(Februar!$C$7:$P$7)</f>
        <v>0</v>
      </c>
      <c r="D4" s="470">
        <f>SUM(März!$C$7:$P$7)</f>
        <v>0</v>
      </c>
      <c r="E4" s="470">
        <f>SUM(April!$C$7:$P$7)</f>
        <v>0</v>
      </c>
      <c r="F4" s="470">
        <f>SUM(Mai!$C$7:$P$7)</f>
        <v>0</v>
      </c>
      <c r="G4" s="470">
        <f>SUM(Juni!$C$7:$P$7)</f>
        <v>0</v>
      </c>
      <c r="H4" s="470">
        <f>SUM(Juli!$C$7:$P$7)</f>
        <v>0</v>
      </c>
      <c r="I4" s="470">
        <f>SUM(August!$C$7:$P$7)</f>
        <v>0</v>
      </c>
      <c r="J4" s="470">
        <f>SUM(September!$C$7:$P$7)</f>
        <v>0</v>
      </c>
      <c r="K4" s="470">
        <f>SUM(Oktober!$C$7:$P$7)</f>
        <v>0</v>
      </c>
      <c r="L4" s="470">
        <f>SUM(November!$C$7:$P$7)</f>
        <v>0</v>
      </c>
      <c r="M4" s="479">
        <f>SUM(Dezember!$C$7:$P$7)</f>
        <v>0</v>
      </c>
      <c r="N4" s="501">
        <f>SUM(B4:M4)</f>
        <v>0</v>
      </c>
    </row>
    <row r="5" spans="1:14" ht="13.5" thickBot="1" x14ac:dyDescent="0.25">
      <c r="A5" s="502"/>
      <c r="B5" s="503"/>
      <c r="C5" s="504"/>
      <c r="D5" s="504"/>
      <c r="E5" s="504"/>
      <c r="F5" s="504"/>
      <c r="G5" s="504"/>
      <c r="H5" s="504"/>
      <c r="I5" s="504"/>
      <c r="J5" s="504"/>
      <c r="K5" s="504"/>
      <c r="L5" s="504"/>
      <c r="M5" s="505"/>
      <c r="N5" s="505"/>
    </row>
    <row r="6" spans="1:14" ht="12.75" customHeight="1" x14ac:dyDescent="0.2">
      <c r="A6" s="506" t="str">
        <f>Januar!C10</f>
        <v>Telefon</v>
      </c>
      <c r="B6" s="507">
        <f>Januar!$C$41</f>
        <v>0</v>
      </c>
      <c r="C6" s="508">
        <f>Februar!$C$41</f>
        <v>0</v>
      </c>
      <c r="D6" s="508">
        <f>März!$C$41</f>
        <v>0</v>
      </c>
      <c r="E6" s="508">
        <f>April!$C$41</f>
        <v>0</v>
      </c>
      <c r="F6" s="508">
        <f>Mai!$C$43</f>
        <v>0</v>
      </c>
      <c r="G6" s="508">
        <f>Juni!$C$41</f>
        <v>0</v>
      </c>
      <c r="H6" s="508">
        <f>Juli!$C$41</f>
        <v>0</v>
      </c>
      <c r="I6" s="508">
        <f>August!$C$41</f>
        <v>0</v>
      </c>
      <c r="J6" s="508">
        <f>September!$C$41</f>
        <v>0</v>
      </c>
      <c r="K6" s="508">
        <f>Oktober!$C$42</f>
        <v>0</v>
      </c>
      <c r="L6" s="508">
        <f>November!$C$41</f>
        <v>0</v>
      </c>
      <c r="M6" s="509">
        <f>Dezember!$C$41</f>
        <v>0</v>
      </c>
      <c r="N6" s="510">
        <f t="shared" ref="N6:N19" si="0">SUM(B6:M6)</f>
        <v>0</v>
      </c>
    </row>
    <row r="7" spans="1:14" ht="12.75" customHeight="1" x14ac:dyDescent="0.2">
      <c r="A7" s="493" t="str">
        <f>Januar!D10</f>
        <v>Lebensmittel</v>
      </c>
      <c r="B7" s="478">
        <f>Januar!$D$41</f>
        <v>0</v>
      </c>
      <c r="C7" s="470">
        <f>Februar!$D$41</f>
        <v>0</v>
      </c>
      <c r="D7" s="470">
        <f>März!$D$41</f>
        <v>0</v>
      </c>
      <c r="E7" s="470">
        <f>April!$D$41</f>
        <v>0</v>
      </c>
      <c r="F7" s="470">
        <f>Mai!$D$43</f>
        <v>0</v>
      </c>
      <c r="G7" s="470">
        <f>Juni!$D$41</f>
        <v>0</v>
      </c>
      <c r="H7" s="470">
        <f>Juli!$D$41</f>
        <v>0</v>
      </c>
      <c r="I7" s="470">
        <f>August!$D$41</f>
        <v>0</v>
      </c>
      <c r="J7" s="470">
        <f>September!$D$41</f>
        <v>0</v>
      </c>
      <c r="K7" s="470">
        <f>Oktober!$D$42</f>
        <v>0</v>
      </c>
      <c r="L7" s="470">
        <f>November!$D$41</f>
        <v>0</v>
      </c>
      <c r="M7" s="479">
        <f>Dezember!$D$41</f>
        <v>0</v>
      </c>
      <c r="N7" s="501">
        <f t="shared" si="0"/>
        <v>0</v>
      </c>
    </row>
    <row r="8" spans="1:14" ht="12.75" customHeight="1" x14ac:dyDescent="0.2">
      <c r="A8" s="495" t="str">
        <f>Januar!E10</f>
        <v>Kleidung</v>
      </c>
      <c r="B8" s="478">
        <f>Januar!$E$41</f>
        <v>0</v>
      </c>
      <c r="C8" s="470">
        <f>Februar!$E$41</f>
        <v>0</v>
      </c>
      <c r="D8" s="470">
        <f>März!$E$41</f>
        <v>0</v>
      </c>
      <c r="E8" s="470">
        <f>April!$E$41</f>
        <v>0</v>
      </c>
      <c r="F8" s="470">
        <f>Mai!$E$43</f>
        <v>0</v>
      </c>
      <c r="G8" s="470">
        <f>Juni!$E$41</f>
        <v>0</v>
      </c>
      <c r="H8" s="470">
        <f>Juli!$E$41</f>
        <v>0</v>
      </c>
      <c r="I8" s="470">
        <f>August!$E$41</f>
        <v>0</v>
      </c>
      <c r="J8" s="470">
        <f>September!$E$41</f>
        <v>0</v>
      </c>
      <c r="K8" s="470">
        <f>Oktober!$E$42</f>
        <v>0</v>
      </c>
      <c r="L8" s="470">
        <f>November!$E$41</f>
        <v>0</v>
      </c>
      <c r="M8" s="479">
        <f>Dezember!$E$41</f>
        <v>0</v>
      </c>
      <c r="N8" s="501">
        <f t="shared" si="0"/>
        <v>0</v>
      </c>
    </row>
    <row r="9" spans="1:14" ht="12.75" customHeight="1" x14ac:dyDescent="0.2">
      <c r="A9" s="493" t="str">
        <f>Januar!F10</f>
        <v>Auto/ÖPV</v>
      </c>
      <c r="B9" s="478">
        <f>Januar!$F$41</f>
        <v>0</v>
      </c>
      <c r="C9" s="470">
        <f>Februar!$F$41</f>
        <v>0</v>
      </c>
      <c r="D9" s="470">
        <f>März!$F$41</f>
        <v>0</v>
      </c>
      <c r="E9" s="470">
        <f>April!$F$41</f>
        <v>0</v>
      </c>
      <c r="F9" s="470">
        <f>Mai!$F$43</f>
        <v>0</v>
      </c>
      <c r="G9" s="470">
        <f>Juni!$F$41</f>
        <v>0</v>
      </c>
      <c r="H9" s="470">
        <f>Juli!F$41</f>
        <v>0</v>
      </c>
      <c r="I9" s="470">
        <f>August!$F$41</f>
        <v>0</v>
      </c>
      <c r="J9" s="470">
        <f>September!$F$41</f>
        <v>0</v>
      </c>
      <c r="K9" s="470">
        <f>Oktober!$F$42</f>
        <v>0</v>
      </c>
      <c r="L9" s="470">
        <f>November!$F$41</f>
        <v>0</v>
      </c>
      <c r="M9" s="479">
        <f>Dezember!$F$41</f>
        <v>0</v>
      </c>
      <c r="N9" s="501">
        <f t="shared" si="0"/>
        <v>0</v>
      </c>
    </row>
    <row r="10" spans="1:14" ht="12.75" customHeight="1" x14ac:dyDescent="0.2">
      <c r="A10" s="493" t="str">
        <f>Januar!G10</f>
        <v>Hygiene</v>
      </c>
      <c r="B10" s="478">
        <f>Januar!$G$41</f>
        <v>0</v>
      </c>
      <c r="C10" s="470">
        <f>Februar!$G$41</f>
        <v>0</v>
      </c>
      <c r="D10" s="470">
        <f>März!$G$41</f>
        <v>0</v>
      </c>
      <c r="E10" s="470">
        <f>April!$G$41</f>
        <v>0</v>
      </c>
      <c r="F10" s="470">
        <f>Mai!$G$43</f>
        <v>0</v>
      </c>
      <c r="G10" s="470">
        <f>Juni!$G$41</f>
        <v>0</v>
      </c>
      <c r="H10" s="470">
        <f>Juli!G$41</f>
        <v>0</v>
      </c>
      <c r="I10" s="470">
        <f>August!$G$41</f>
        <v>0</v>
      </c>
      <c r="J10" s="470">
        <f>September!$G$41</f>
        <v>0</v>
      </c>
      <c r="K10" s="470">
        <f>Oktober!$G$42</f>
        <v>0</v>
      </c>
      <c r="L10" s="470">
        <f>November!$G$41</f>
        <v>0</v>
      </c>
      <c r="M10" s="479">
        <f>Dezember!$G$41</f>
        <v>0</v>
      </c>
      <c r="N10" s="501">
        <f t="shared" si="0"/>
        <v>0</v>
      </c>
    </row>
    <row r="11" spans="1:14" ht="12.75" customHeight="1" x14ac:dyDescent="0.2">
      <c r="A11" s="493" t="str">
        <f>Januar!H10</f>
        <v>Literatur</v>
      </c>
      <c r="B11" s="478">
        <f>Januar!$H$41</f>
        <v>0</v>
      </c>
      <c r="C11" s="470">
        <f>Februar!$H$41</f>
        <v>0</v>
      </c>
      <c r="D11" s="470">
        <f>März!$H$41</f>
        <v>0</v>
      </c>
      <c r="E11" s="470">
        <f>April!$H$41</f>
        <v>0</v>
      </c>
      <c r="F11" s="470">
        <f>Mai!$H$43</f>
        <v>0</v>
      </c>
      <c r="G11" s="470">
        <f>Juni!$H$41</f>
        <v>0</v>
      </c>
      <c r="H11" s="470">
        <f>Juli!H$41</f>
        <v>0</v>
      </c>
      <c r="I11" s="470">
        <f>August!$H$41</f>
        <v>0</v>
      </c>
      <c r="J11" s="470">
        <f>September!$H$41</f>
        <v>0</v>
      </c>
      <c r="K11" s="470">
        <f>Oktober!$H$42</f>
        <v>0</v>
      </c>
      <c r="L11" s="470">
        <f>November!$H$41</f>
        <v>0</v>
      </c>
      <c r="M11" s="479">
        <f>Dezember!$H$41</f>
        <v>0</v>
      </c>
      <c r="N11" s="501">
        <f t="shared" si="0"/>
        <v>0</v>
      </c>
    </row>
    <row r="12" spans="1:14" ht="12.75" customHeight="1" x14ac:dyDescent="0.2">
      <c r="A12" s="493" t="str">
        <f>Januar!I10</f>
        <v>Freizeit</v>
      </c>
      <c r="B12" s="478">
        <f>Januar!$I$41</f>
        <v>0</v>
      </c>
      <c r="C12" s="470">
        <f>Februar!$I$41</f>
        <v>0</v>
      </c>
      <c r="D12" s="470">
        <f>März!$I$41</f>
        <v>0</v>
      </c>
      <c r="E12" s="470">
        <f>April!$I$41</f>
        <v>0</v>
      </c>
      <c r="F12" s="470">
        <f>Mai!$I$43</f>
        <v>0</v>
      </c>
      <c r="G12" s="470">
        <f>Juni!$I$41</f>
        <v>0</v>
      </c>
      <c r="H12" s="470">
        <f>Juli!I$41</f>
        <v>0</v>
      </c>
      <c r="I12" s="470">
        <f>August!$I$41</f>
        <v>0</v>
      </c>
      <c r="J12" s="470">
        <f>September!$I$41</f>
        <v>0</v>
      </c>
      <c r="K12" s="470">
        <f>Oktober!$I$42</f>
        <v>0</v>
      </c>
      <c r="L12" s="470">
        <f>November!$I$41</f>
        <v>0</v>
      </c>
      <c r="M12" s="479">
        <f>Dezember!$I$41</f>
        <v>0</v>
      </c>
      <c r="N12" s="501">
        <f t="shared" si="0"/>
        <v>0</v>
      </c>
    </row>
    <row r="13" spans="1:14" ht="12.75" customHeight="1" x14ac:dyDescent="0.2">
      <c r="A13" s="495" t="str">
        <f>Januar!J10</f>
        <v>Anschaffungen</v>
      </c>
      <c r="B13" s="478">
        <f>Januar!$J$41</f>
        <v>0</v>
      </c>
      <c r="C13" s="470">
        <f>Februar!$J$41</f>
        <v>0</v>
      </c>
      <c r="D13" s="470">
        <f>März!$J$41</f>
        <v>0</v>
      </c>
      <c r="E13" s="470">
        <f>April!$J$41</f>
        <v>0</v>
      </c>
      <c r="F13" s="470">
        <f>Mai!$J$43</f>
        <v>0</v>
      </c>
      <c r="G13" s="470">
        <f>Juni!$J$41</f>
        <v>0</v>
      </c>
      <c r="H13" s="470">
        <f>Juli!J$41</f>
        <v>0</v>
      </c>
      <c r="I13" s="470">
        <f>August!$J$41</f>
        <v>0</v>
      </c>
      <c r="J13" s="470">
        <f>September!$J$41</f>
        <v>0</v>
      </c>
      <c r="K13" s="470">
        <f>Oktober!$J$42</f>
        <v>0</v>
      </c>
      <c r="L13" s="470">
        <f>November!$J$41</f>
        <v>0</v>
      </c>
      <c r="M13" s="479">
        <f>Dezember!$J$41</f>
        <v>0</v>
      </c>
      <c r="N13" s="501">
        <f t="shared" si="0"/>
        <v>0</v>
      </c>
    </row>
    <row r="14" spans="1:14" ht="12.75" customHeight="1" x14ac:dyDescent="0.2">
      <c r="A14" s="493" t="str">
        <f>Januar!K10</f>
        <v>Arzt/Apo</v>
      </c>
      <c r="B14" s="478">
        <f>Januar!$K$41</f>
        <v>0</v>
      </c>
      <c r="C14" s="470">
        <f>Februar!$K$41</f>
        <v>0</v>
      </c>
      <c r="D14" s="470">
        <f>März!$K$41</f>
        <v>0</v>
      </c>
      <c r="E14" s="470">
        <f>April!$K$41</f>
        <v>0</v>
      </c>
      <c r="F14" s="470">
        <f>Mai!$K$43</f>
        <v>0</v>
      </c>
      <c r="G14" s="470">
        <f>Juni!$K$41</f>
        <v>0</v>
      </c>
      <c r="H14" s="470">
        <f>Juli!K$41</f>
        <v>0</v>
      </c>
      <c r="I14" s="470">
        <f>August!$K$41</f>
        <v>0</v>
      </c>
      <c r="J14" s="470">
        <f>September!$K$41</f>
        <v>0</v>
      </c>
      <c r="K14" s="470">
        <f>Oktober!$K$42</f>
        <v>0</v>
      </c>
      <c r="L14" s="470">
        <f>November!$K$41</f>
        <v>0</v>
      </c>
      <c r="M14" s="479">
        <f>Dezember!$K$41</f>
        <v>0</v>
      </c>
      <c r="N14" s="501">
        <f t="shared" si="0"/>
        <v>0</v>
      </c>
    </row>
    <row r="15" spans="1:14" ht="12.75" customHeight="1" x14ac:dyDescent="0.2">
      <c r="A15" s="495" t="str">
        <f>Januar!L10</f>
        <v>Versicherungen</v>
      </c>
      <c r="B15" s="478">
        <f>Januar!$L$41</f>
        <v>0</v>
      </c>
      <c r="C15" s="470">
        <f>Februar!$L$41</f>
        <v>0</v>
      </c>
      <c r="D15" s="470">
        <f>März!$L$41</f>
        <v>0</v>
      </c>
      <c r="E15" s="470">
        <f>April!$L$41</f>
        <v>0</v>
      </c>
      <c r="F15" s="470">
        <f>Mai!$L$43</f>
        <v>0</v>
      </c>
      <c r="G15" s="470">
        <f>Juni!$L$41</f>
        <v>0</v>
      </c>
      <c r="H15" s="470">
        <f>Juli!L$41</f>
        <v>0</v>
      </c>
      <c r="I15" s="470">
        <f>August!$L$41</f>
        <v>0</v>
      </c>
      <c r="J15" s="470">
        <f>September!$L$41</f>
        <v>0</v>
      </c>
      <c r="K15" s="470">
        <f>Oktober!$L$42</f>
        <v>0</v>
      </c>
      <c r="L15" s="470">
        <f>November!$L$41</f>
        <v>0</v>
      </c>
      <c r="M15" s="479">
        <f>Dezember!$L$41</f>
        <v>0</v>
      </c>
      <c r="N15" s="501">
        <f t="shared" si="0"/>
        <v>0</v>
      </c>
    </row>
    <row r="16" spans="1:14" ht="12.75" customHeight="1" x14ac:dyDescent="0.2">
      <c r="A16" s="493" t="s">
        <v>65</v>
      </c>
      <c r="B16" s="478">
        <f>Januar!$M$41</f>
        <v>0</v>
      </c>
      <c r="C16" s="470">
        <f>Februar!$M$41</f>
        <v>0</v>
      </c>
      <c r="D16" s="470">
        <f>März!$M$41</f>
        <v>0</v>
      </c>
      <c r="E16" s="470">
        <f>April!$M$41</f>
        <v>0</v>
      </c>
      <c r="F16" s="470">
        <f>Mai!$M$43</f>
        <v>0</v>
      </c>
      <c r="G16" s="470">
        <f>Juni!$M$41</f>
        <v>0</v>
      </c>
      <c r="H16" s="470">
        <f>Juli!M$41</f>
        <v>0</v>
      </c>
      <c r="I16" s="470">
        <f>August!$M$41</f>
        <v>0</v>
      </c>
      <c r="J16" s="470">
        <f>September!$M$41</f>
        <v>0</v>
      </c>
      <c r="K16" s="470">
        <f>Oktober!$M$42</f>
        <v>0</v>
      </c>
      <c r="L16" s="470">
        <f>November!$M$41</f>
        <v>0</v>
      </c>
      <c r="M16" s="479">
        <f>Dezember!$M$41</f>
        <v>0</v>
      </c>
      <c r="N16" s="501">
        <f t="shared" si="0"/>
        <v>0</v>
      </c>
    </row>
    <row r="17" spans="1:14" ht="12.75" customHeight="1" x14ac:dyDescent="0.2">
      <c r="A17" s="493" t="s">
        <v>66</v>
      </c>
      <c r="B17" s="478">
        <f>Januar!$N$41</f>
        <v>0</v>
      </c>
      <c r="C17" s="470">
        <f>Februar!$N$41</f>
        <v>0</v>
      </c>
      <c r="D17" s="470">
        <f>März!$N$41</f>
        <v>0</v>
      </c>
      <c r="E17" s="470">
        <f>April!$N$41</f>
        <v>0</v>
      </c>
      <c r="F17" s="470">
        <f>Mai!$N$43</f>
        <v>0</v>
      </c>
      <c r="G17" s="470">
        <f>Juni!$N$41</f>
        <v>0</v>
      </c>
      <c r="H17" s="470">
        <f>Juli!N$41</f>
        <v>0</v>
      </c>
      <c r="I17" s="470">
        <f>August!$N$41</f>
        <v>0</v>
      </c>
      <c r="J17" s="470">
        <f>September!$N$41</f>
        <v>0</v>
      </c>
      <c r="K17" s="470">
        <f>Oktober!$N$42</f>
        <v>0</v>
      </c>
      <c r="L17" s="470">
        <f>November!$N$41</f>
        <v>0</v>
      </c>
      <c r="M17" s="479">
        <f>Dezember!$N$41</f>
        <v>0</v>
      </c>
      <c r="N17" s="501">
        <f t="shared" si="0"/>
        <v>0</v>
      </c>
    </row>
    <row r="18" spans="1:14" ht="12.75" customHeight="1" x14ac:dyDescent="0.2">
      <c r="A18" s="493" t="s">
        <v>47</v>
      </c>
      <c r="B18" s="478">
        <f>Januar!$O$41</f>
        <v>0</v>
      </c>
      <c r="C18" s="470">
        <f>Februar!$O$41</f>
        <v>0</v>
      </c>
      <c r="D18" s="470">
        <f>März!$O$41</f>
        <v>0</v>
      </c>
      <c r="E18" s="470">
        <f>April!$O$41</f>
        <v>0</v>
      </c>
      <c r="F18" s="470">
        <f>Mai!$O$43</f>
        <v>0</v>
      </c>
      <c r="G18" s="470">
        <f>Juni!$O$41</f>
        <v>0</v>
      </c>
      <c r="H18" s="470">
        <f>Juli!O$41</f>
        <v>0</v>
      </c>
      <c r="I18" s="470">
        <f>August!$O$41</f>
        <v>0</v>
      </c>
      <c r="J18" s="470">
        <f>September!$O$41</f>
        <v>0</v>
      </c>
      <c r="K18" s="470">
        <f>Oktober!$O$42</f>
        <v>0</v>
      </c>
      <c r="L18" s="470">
        <f>November!$O$41</f>
        <v>0</v>
      </c>
      <c r="M18" s="479">
        <f>Dezember!$O$41</f>
        <v>0</v>
      </c>
      <c r="N18" s="501">
        <f t="shared" si="0"/>
        <v>0</v>
      </c>
    </row>
    <row r="19" spans="1:14" ht="13.5" thickBot="1" x14ac:dyDescent="0.25">
      <c r="A19" s="511" t="s">
        <v>47</v>
      </c>
      <c r="B19" s="512">
        <f>Januar!$P$41</f>
        <v>0</v>
      </c>
      <c r="C19" s="513">
        <f>Februar!$P$41</f>
        <v>0</v>
      </c>
      <c r="D19" s="513">
        <f>März!$P$41</f>
        <v>0</v>
      </c>
      <c r="E19" s="513">
        <f>April!$P$41</f>
        <v>0</v>
      </c>
      <c r="F19" s="513">
        <f>Mai!$P$43</f>
        <v>0</v>
      </c>
      <c r="G19" s="513">
        <f>Juni!$P$41</f>
        <v>0</v>
      </c>
      <c r="H19" s="513">
        <f>Juli!P$41</f>
        <v>0</v>
      </c>
      <c r="I19" s="513">
        <f>August!$P$41</f>
        <v>0</v>
      </c>
      <c r="J19" s="513">
        <f>September!$P$41</f>
        <v>0</v>
      </c>
      <c r="K19" s="513">
        <f>Oktober!$P$42</f>
        <v>0</v>
      </c>
      <c r="L19" s="513">
        <f>November!$P$41</f>
        <v>0</v>
      </c>
      <c r="M19" s="514">
        <f>Dezember!$P$41</f>
        <v>0</v>
      </c>
      <c r="N19" s="515">
        <f t="shared" si="0"/>
        <v>0</v>
      </c>
    </row>
    <row r="20" spans="1:14" ht="13.5" thickBot="1" x14ac:dyDescent="0.25">
      <c r="A20" s="496"/>
      <c r="B20" s="482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4"/>
      <c r="N20" s="473"/>
    </row>
    <row r="21" spans="1:14" x14ac:dyDescent="0.2">
      <c r="A21" s="516" t="s">
        <v>42</v>
      </c>
      <c r="B21" s="517"/>
      <c r="C21" s="518"/>
      <c r="D21" s="518"/>
      <c r="E21" s="518"/>
      <c r="F21" s="518"/>
      <c r="G21" s="518"/>
      <c r="H21" s="518"/>
      <c r="I21" s="518"/>
      <c r="J21" s="518"/>
      <c r="K21" s="518"/>
      <c r="L21" s="518"/>
      <c r="M21" s="519"/>
      <c r="N21" s="519"/>
    </row>
    <row r="22" spans="1:14" x14ac:dyDescent="0.2">
      <c r="A22" s="497" t="s">
        <v>40</v>
      </c>
      <c r="B22" s="485">
        <f t="shared" ref="B22:M22" si="1">SUM(B2:B2)</f>
        <v>0</v>
      </c>
      <c r="C22" s="471">
        <f t="shared" si="1"/>
        <v>0</v>
      </c>
      <c r="D22" s="471">
        <f t="shared" si="1"/>
        <v>0</v>
      </c>
      <c r="E22" s="471">
        <f t="shared" si="1"/>
        <v>0</v>
      </c>
      <c r="F22" s="471">
        <f t="shared" si="1"/>
        <v>0</v>
      </c>
      <c r="G22" s="471">
        <f t="shared" si="1"/>
        <v>0</v>
      </c>
      <c r="H22" s="471">
        <f t="shared" si="1"/>
        <v>0</v>
      </c>
      <c r="I22" s="471">
        <f t="shared" si="1"/>
        <v>0</v>
      </c>
      <c r="J22" s="471">
        <f t="shared" si="1"/>
        <v>0</v>
      </c>
      <c r="K22" s="471">
        <f t="shared" si="1"/>
        <v>0</v>
      </c>
      <c r="L22" s="471">
        <f t="shared" si="1"/>
        <v>0</v>
      </c>
      <c r="M22" s="486">
        <f t="shared" si="1"/>
        <v>0</v>
      </c>
      <c r="N22" s="520">
        <f>SUM(B22:M22)</f>
        <v>0</v>
      </c>
    </row>
    <row r="23" spans="1:14" x14ac:dyDescent="0.2">
      <c r="A23" s="498" t="s">
        <v>43</v>
      </c>
      <c r="B23" s="487">
        <f t="shared" ref="B23:M23" si="2">SUM(B4:B4)</f>
        <v>0</v>
      </c>
      <c r="C23" s="472">
        <f t="shared" si="2"/>
        <v>0</v>
      </c>
      <c r="D23" s="472">
        <f t="shared" si="2"/>
        <v>0</v>
      </c>
      <c r="E23" s="472">
        <f t="shared" si="2"/>
        <v>0</v>
      </c>
      <c r="F23" s="472">
        <f t="shared" si="2"/>
        <v>0</v>
      </c>
      <c r="G23" s="472">
        <f t="shared" si="2"/>
        <v>0</v>
      </c>
      <c r="H23" s="472">
        <f t="shared" si="2"/>
        <v>0</v>
      </c>
      <c r="I23" s="472">
        <f t="shared" si="2"/>
        <v>0</v>
      </c>
      <c r="J23" s="472">
        <f t="shared" si="2"/>
        <v>0</v>
      </c>
      <c r="K23" s="472">
        <f t="shared" si="2"/>
        <v>0</v>
      </c>
      <c r="L23" s="472">
        <f t="shared" si="2"/>
        <v>0</v>
      </c>
      <c r="M23" s="488">
        <f t="shared" si="2"/>
        <v>0</v>
      </c>
      <c r="N23" s="521">
        <f>SUM(B23:M23)</f>
        <v>0</v>
      </c>
    </row>
    <row r="24" spans="1:14" x14ac:dyDescent="0.2">
      <c r="A24" s="498" t="s">
        <v>44</v>
      </c>
      <c r="B24" s="487">
        <f t="shared" ref="B24:M24" si="3">SUM(B6:B19)</f>
        <v>0</v>
      </c>
      <c r="C24" s="472">
        <f t="shared" si="3"/>
        <v>0</v>
      </c>
      <c r="D24" s="472">
        <f t="shared" si="3"/>
        <v>0</v>
      </c>
      <c r="E24" s="472">
        <f t="shared" si="3"/>
        <v>0</v>
      </c>
      <c r="F24" s="472">
        <f t="shared" si="3"/>
        <v>0</v>
      </c>
      <c r="G24" s="472">
        <f t="shared" si="3"/>
        <v>0</v>
      </c>
      <c r="H24" s="472">
        <f t="shared" si="3"/>
        <v>0</v>
      </c>
      <c r="I24" s="472">
        <f t="shared" si="3"/>
        <v>0</v>
      </c>
      <c r="J24" s="472">
        <f t="shared" si="3"/>
        <v>0</v>
      </c>
      <c r="K24" s="472">
        <f t="shared" si="3"/>
        <v>0</v>
      </c>
      <c r="L24" s="472">
        <f t="shared" si="3"/>
        <v>0</v>
      </c>
      <c r="M24" s="488">
        <f t="shared" si="3"/>
        <v>0</v>
      </c>
      <c r="N24" s="521">
        <f>SUM(B24:M24)</f>
        <v>0</v>
      </c>
    </row>
    <row r="25" spans="1:14" ht="13.5" thickBot="1" x14ac:dyDescent="0.25">
      <c r="A25" s="499" t="s">
        <v>45</v>
      </c>
      <c r="B25" s="489">
        <f t="shared" ref="B25:M25" si="4">B22-B23-B24</f>
        <v>0</v>
      </c>
      <c r="C25" s="490">
        <f t="shared" si="4"/>
        <v>0</v>
      </c>
      <c r="D25" s="490">
        <f t="shared" si="4"/>
        <v>0</v>
      </c>
      <c r="E25" s="490">
        <f t="shared" si="4"/>
        <v>0</v>
      </c>
      <c r="F25" s="490">
        <f t="shared" si="4"/>
        <v>0</v>
      </c>
      <c r="G25" s="490">
        <f t="shared" si="4"/>
        <v>0</v>
      </c>
      <c r="H25" s="490">
        <f t="shared" si="4"/>
        <v>0</v>
      </c>
      <c r="I25" s="490">
        <f t="shared" si="4"/>
        <v>0</v>
      </c>
      <c r="J25" s="490">
        <f t="shared" si="4"/>
        <v>0</v>
      </c>
      <c r="K25" s="490">
        <f t="shared" si="4"/>
        <v>0</v>
      </c>
      <c r="L25" s="490">
        <f t="shared" si="4"/>
        <v>0</v>
      </c>
      <c r="M25" s="491">
        <f t="shared" si="4"/>
        <v>0</v>
      </c>
      <c r="N25" s="522">
        <f>SUM(B25:M25)</f>
        <v>0</v>
      </c>
    </row>
  </sheetData>
  <customSheetViews>
    <customSheetView guid="{25DC4F91-A91C-4C3F-9681-9209750ABBEA}">
      <selection activeCell="D31" sqref="D31"/>
      <pageMargins left="0.7" right="0.7" top="0.78740157499999996" bottom="0.78740157499999996" header="0.3" footer="0.3"/>
    </customSheetView>
    <customSheetView guid="{CFE9FE8C-9075-4CDC-A3CC-05601E4600C1}">
      <pageMargins left="0.7" right="0.7" top="0.78740157499999996" bottom="0.78740157499999996" header="0.3" footer="0.3"/>
    </customSheetView>
    <customSheetView guid="{C21A97DE-3F4E-441C-9EE1-180F872F0921}">
      <selection activeCell="D23" sqref="D23"/>
      <pageMargins left="0.7" right="0.7" top="0.78740157499999996" bottom="0.78740157499999996" header="0.3" footer="0.3"/>
    </customSheetView>
    <customSheetView guid="{32010A6E-0F0E-4D6E-BDEC-7BF6D197330C}">
      <selection activeCell="D23" sqref="D23"/>
      <pageMargins left="0.7" right="0.7" top="0.78740157499999996" bottom="0.78740157499999996" header="0.3" footer="0.3"/>
    </customSheetView>
    <customSheetView guid="{77AA5D6B-183E-4B34-9A26-D8BDC7AB4A8B}">
      <selection activeCell="D23" sqref="D23"/>
      <pageMargins left="0.7" right="0.7" top="0.78740157499999996" bottom="0.78740157499999996" header="0.3" footer="0.3"/>
    </customSheetView>
    <customSheetView guid="{476E9108-F970-4ED5-B615-D5EA1D6F5C1C}">
      <selection activeCell="D23" sqref="D23"/>
      <pageMargins left="0.7" right="0.7" top="0.78740157499999996" bottom="0.78740157499999996" header="0.3" footer="0.3"/>
    </customSheetView>
    <customSheetView guid="{09202BB1-255A-4EDA-B63F-9E0CA30B36C5}">
      <selection activeCell="D31" sqref="D31"/>
      <pageMargins left="0.7" right="0.7" top="0.78740157499999996" bottom="0.78740157499999996" header="0.3" footer="0.3"/>
    </customSheetView>
    <customSheetView guid="{CD87C90D-3024-4E69-ABDD-891676803401}">
      <selection activeCell="D31" sqref="D31"/>
      <pageMargins left="0.7" right="0.7" top="0.78740157499999996" bottom="0.78740157499999996" header="0.3" footer="0.3"/>
    </customSheetView>
    <customSheetView guid="{2FCDEDCE-A041-4FA8-BFB2-1CA8CD8915F4}">
      <selection activeCell="D31" sqref="D31"/>
      <pageMargins left="0.7" right="0.7" top="0.78740157499999996" bottom="0.78740157499999996" header="0.3" footer="0.3"/>
    </customSheetView>
    <customSheetView guid="{7FE57256-D437-42BF-8A0F-4C221865038B}">
      <selection activeCell="D31" sqref="D31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P179"/>
  <sheetViews>
    <sheetView tabSelected="1" workbookViewId="0">
      <selection activeCell="E23" sqref="E23"/>
    </sheetView>
  </sheetViews>
  <sheetFormatPr baseColWidth="10" defaultRowHeight="12.75" x14ac:dyDescent="0.2"/>
  <cols>
    <col min="2" max="2" width="18.7109375" customWidth="1"/>
    <col min="6" max="6" width="11.42578125" style="38"/>
    <col min="10" max="10" width="13.28515625" bestFit="1" customWidth="1"/>
    <col min="11" max="11" width="11.42578125" customWidth="1"/>
    <col min="12" max="12" width="14" bestFit="1" customWidth="1"/>
  </cols>
  <sheetData>
    <row r="1" spans="1:16" ht="18" x14ac:dyDescent="0.25">
      <c r="A1" s="101" t="s">
        <v>27</v>
      </c>
      <c r="B1" s="102"/>
      <c r="C1" s="103"/>
      <c r="D1" s="104"/>
      <c r="E1" s="104"/>
      <c r="F1" s="105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11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524" t="s">
        <v>40</v>
      </c>
      <c r="B3" s="525"/>
      <c r="C3" s="281" t="s">
        <v>46</v>
      </c>
      <c r="D3" s="316" t="s">
        <v>70</v>
      </c>
      <c r="E3" s="278" t="s">
        <v>70</v>
      </c>
      <c r="F3" s="279" t="s">
        <v>70</v>
      </c>
      <c r="G3" s="278" t="s">
        <v>70</v>
      </c>
      <c r="H3" s="316" t="s">
        <v>70</v>
      </c>
      <c r="I3" s="278" t="s">
        <v>70</v>
      </c>
      <c r="J3" s="278" t="s">
        <v>70</v>
      </c>
      <c r="K3" s="278" t="s">
        <v>70</v>
      </c>
      <c r="L3" s="278" t="s">
        <v>70</v>
      </c>
      <c r="M3" s="278" t="s">
        <v>70</v>
      </c>
      <c r="N3" s="278" t="s">
        <v>70</v>
      </c>
      <c r="O3" s="278" t="s">
        <v>70</v>
      </c>
      <c r="P3" s="284" t="s">
        <v>70</v>
      </c>
    </row>
    <row r="4" spans="1:16" ht="13.5" thickBot="1" x14ac:dyDescent="0.25">
      <c r="A4" s="317"/>
      <c r="B4" s="318"/>
      <c r="C4" s="319">
        <v>0</v>
      </c>
      <c r="D4" s="320">
        <v>0</v>
      </c>
      <c r="E4" s="321">
        <v>0</v>
      </c>
      <c r="F4" s="322">
        <v>0</v>
      </c>
      <c r="G4" s="321">
        <v>0</v>
      </c>
      <c r="H4" s="321">
        <v>0</v>
      </c>
      <c r="I4" s="321">
        <v>0</v>
      </c>
      <c r="J4" s="321">
        <v>0</v>
      </c>
      <c r="K4" s="321">
        <v>0</v>
      </c>
      <c r="L4" s="321">
        <v>0</v>
      </c>
      <c r="M4" s="321">
        <v>0</v>
      </c>
      <c r="N4" s="321">
        <v>0</v>
      </c>
      <c r="O4" s="321">
        <v>0</v>
      </c>
      <c r="P4" s="323">
        <v>0</v>
      </c>
    </row>
    <row r="5" spans="1:16" ht="13.5" thickBot="1" x14ac:dyDescent="0.25">
      <c r="A5" s="114"/>
      <c r="B5" s="115"/>
      <c r="C5" s="109"/>
      <c r="D5" s="109"/>
      <c r="E5" s="109"/>
      <c r="F5" s="111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526" t="s">
        <v>48</v>
      </c>
      <c r="B6" s="527"/>
      <c r="C6" s="281" t="s">
        <v>73</v>
      </c>
      <c r="D6" s="316" t="s">
        <v>74</v>
      </c>
      <c r="E6" s="278" t="s">
        <v>75</v>
      </c>
      <c r="F6" s="279" t="s">
        <v>70</v>
      </c>
      <c r="G6" s="278" t="s">
        <v>70</v>
      </c>
      <c r="H6" s="316" t="s">
        <v>70</v>
      </c>
      <c r="I6" s="278" t="s">
        <v>70</v>
      </c>
      <c r="J6" s="278" t="s">
        <v>70</v>
      </c>
      <c r="K6" s="278" t="s">
        <v>70</v>
      </c>
      <c r="L6" s="316" t="s">
        <v>70</v>
      </c>
      <c r="M6" s="278" t="s">
        <v>70</v>
      </c>
      <c r="N6" s="278" t="s">
        <v>70</v>
      </c>
      <c r="O6" s="316" t="s">
        <v>70</v>
      </c>
      <c r="P6" s="284" t="s">
        <v>70</v>
      </c>
    </row>
    <row r="7" spans="1:16" ht="13.5" thickBot="1" x14ac:dyDescent="0.25">
      <c r="A7" s="326"/>
      <c r="B7" s="327"/>
      <c r="C7" s="319">
        <v>0</v>
      </c>
      <c r="D7" s="320">
        <v>0</v>
      </c>
      <c r="E7" s="321">
        <v>0</v>
      </c>
      <c r="F7" s="322">
        <v>0</v>
      </c>
      <c r="G7" s="321">
        <v>0</v>
      </c>
      <c r="H7" s="321">
        <v>0</v>
      </c>
      <c r="I7" s="321">
        <v>0</v>
      </c>
      <c r="J7" s="321">
        <v>0</v>
      </c>
      <c r="K7" s="321">
        <v>0</v>
      </c>
      <c r="L7" s="321">
        <v>0</v>
      </c>
      <c r="M7" s="321">
        <v>0</v>
      </c>
      <c r="N7" s="321">
        <v>0</v>
      </c>
      <c r="O7" s="321">
        <v>0</v>
      </c>
      <c r="P7" s="323">
        <v>0</v>
      </c>
    </row>
    <row r="8" spans="1:16" x14ac:dyDescent="0.2">
      <c r="A8" s="108"/>
      <c r="B8" s="109"/>
      <c r="C8" s="109"/>
      <c r="D8" s="109"/>
      <c r="E8" s="109"/>
      <c r="F8" s="111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268"/>
      <c r="G9" s="48"/>
      <c r="H9" s="48"/>
      <c r="I9" s="48"/>
      <c r="J9" s="48"/>
      <c r="K9" s="48"/>
      <c r="L9" s="48"/>
      <c r="M9" s="48"/>
      <c r="N9" s="48"/>
      <c r="O9" s="48"/>
      <c r="P9" s="269"/>
    </row>
    <row r="10" spans="1:16" ht="24" x14ac:dyDescent="0.2">
      <c r="A10" s="85" t="s">
        <v>50</v>
      </c>
      <c r="B10" s="86" t="s">
        <v>51</v>
      </c>
      <c r="C10" s="277" t="s">
        <v>63</v>
      </c>
      <c r="D10" s="278" t="s">
        <v>62</v>
      </c>
      <c r="E10" s="278" t="s">
        <v>76</v>
      </c>
      <c r="F10" s="279" t="s">
        <v>79</v>
      </c>
      <c r="G10" s="280" t="s">
        <v>52</v>
      </c>
      <c r="H10" s="281" t="s">
        <v>78</v>
      </c>
      <c r="I10" s="282" t="s">
        <v>53</v>
      </c>
      <c r="J10" s="283" t="s">
        <v>67</v>
      </c>
      <c r="K10" s="278" t="s">
        <v>54</v>
      </c>
      <c r="L10" s="283" t="s">
        <v>68</v>
      </c>
      <c r="M10" s="281" t="s">
        <v>65</v>
      </c>
      <c r="N10" s="281" t="s">
        <v>66</v>
      </c>
      <c r="O10" s="281" t="s">
        <v>47</v>
      </c>
      <c r="P10" s="284" t="s">
        <v>47</v>
      </c>
    </row>
    <row r="11" spans="1:16" x14ac:dyDescent="0.2">
      <c r="A11" s="87"/>
      <c r="B11" s="88"/>
      <c r="C11" s="285"/>
      <c r="D11" s="51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6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3"/>
      <c r="O15" s="55"/>
      <c r="P15" s="118"/>
    </row>
    <row r="16" spans="1:16" x14ac:dyDescent="0.2">
      <c r="A16" s="89"/>
      <c r="B16" s="90"/>
      <c r="C16" s="286"/>
      <c r="D16" s="54"/>
      <c r="E16" s="54"/>
      <c r="F16" s="56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91"/>
      <c r="B17" s="90"/>
      <c r="C17" s="286"/>
      <c r="D17" s="54"/>
      <c r="E17" s="54"/>
      <c r="F17" s="56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6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6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6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6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92"/>
      <c r="B23" s="93"/>
      <c r="C23" s="286"/>
      <c r="D23" s="54"/>
      <c r="E23" s="54"/>
      <c r="F23" s="56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6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6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6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6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6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89"/>
      <c r="B29" s="90"/>
      <c r="C29" s="286"/>
      <c r="D29" s="54"/>
      <c r="E29" s="54"/>
      <c r="F29" s="56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6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6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6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6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6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6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6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6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6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6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9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N41" si="0">SUM(C11:C40)</f>
        <v>0</v>
      </c>
      <c r="D41" s="369">
        <f t="shared" si="0"/>
        <v>0</v>
      </c>
      <c r="E41" s="369">
        <f t="shared" si="0"/>
        <v>0</v>
      </c>
      <c r="F41" s="370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/>
      <c r="P41" s="371">
        <f>SUM(P11:P40)</f>
        <v>0</v>
      </c>
    </row>
    <row r="42" spans="1:16" ht="13.5" thickBot="1" x14ac:dyDescent="0.25">
      <c r="A42" s="372"/>
      <c r="B42" s="373"/>
      <c r="C42" s="374"/>
      <c r="D42" s="375"/>
      <c r="E42" s="375"/>
      <c r="F42" s="376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1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Januar</v>
      </c>
      <c r="E44" s="79"/>
      <c r="F44" s="121"/>
      <c r="G44" s="79"/>
      <c r="H44" s="79"/>
      <c r="I44" s="79"/>
      <c r="J44" s="79"/>
      <c r="K44" s="79"/>
      <c r="L44" s="7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21"/>
      <c r="G45" s="79"/>
      <c r="H45" s="79"/>
      <c r="I45" s="79"/>
      <c r="J45" s="79"/>
      <c r="K45" s="79"/>
      <c r="L45" s="79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21"/>
      <c r="G46" s="79"/>
      <c r="H46" s="79"/>
      <c r="I46" s="79"/>
      <c r="J46" s="79"/>
      <c r="K46" s="79"/>
      <c r="L46" s="79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30"/>
      <c r="G47" s="129"/>
      <c r="H47" s="129"/>
      <c r="I47" s="129"/>
      <c r="J47" s="129"/>
      <c r="K47" s="129"/>
      <c r="L47" s="129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33"/>
      <c r="G48" s="132"/>
      <c r="H48" s="132"/>
      <c r="I48" s="132"/>
      <c r="J48" s="132"/>
      <c r="K48" s="132"/>
      <c r="L48" s="132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121"/>
      <c r="G49" s="79"/>
      <c r="H49" s="79"/>
      <c r="I49" s="79"/>
      <c r="J49" s="79"/>
      <c r="K49" s="79"/>
      <c r="L49" s="79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121"/>
      <c r="G50" s="79"/>
      <c r="H50" s="79"/>
      <c r="I50" s="79"/>
      <c r="J50" s="79"/>
      <c r="K50" s="79"/>
      <c r="L50" s="79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8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</row>
    <row r="53" spans="1:16" x14ac:dyDescent="0.2">
      <c r="A53" s="35"/>
      <c r="B53" s="35"/>
    </row>
    <row r="54" spans="1:16" x14ac:dyDescent="0.2">
      <c r="A54" s="35"/>
      <c r="B54" s="35"/>
    </row>
    <row r="55" spans="1:16" x14ac:dyDescent="0.2">
      <c r="A55" s="35"/>
      <c r="B55" s="35"/>
    </row>
    <row r="56" spans="1:16" x14ac:dyDescent="0.2">
      <c r="A56" s="35"/>
      <c r="B56" s="35"/>
      <c r="E56" s="36"/>
    </row>
    <row r="57" spans="1:16" x14ac:dyDescent="0.2">
      <c r="A57" s="35"/>
      <c r="B57" s="35"/>
    </row>
    <row r="58" spans="1:16" x14ac:dyDescent="0.2">
      <c r="A58" s="35"/>
      <c r="B58" s="35"/>
    </row>
    <row r="59" spans="1:16" x14ac:dyDescent="0.2">
      <c r="A59" s="35"/>
      <c r="B59" s="35"/>
    </row>
    <row r="60" spans="1:16" x14ac:dyDescent="0.2">
      <c r="A60" s="35"/>
      <c r="B60" s="35"/>
    </row>
    <row r="61" spans="1:16" x14ac:dyDescent="0.2">
      <c r="A61" s="35"/>
      <c r="B61" s="35"/>
    </row>
    <row r="62" spans="1:16" x14ac:dyDescent="0.2">
      <c r="A62" s="35"/>
      <c r="B62" s="35"/>
    </row>
    <row r="63" spans="1:16" x14ac:dyDescent="0.2">
      <c r="A63" s="35"/>
      <c r="B63" s="35"/>
    </row>
    <row r="64" spans="1:16" x14ac:dyDescent="0.2">
      <c r="A64" s="35"/>
      <c r="B64" s="35"/>
    </row>
    <row r="65" spans="1:2" x14ac:dyDescent="0.2">
      <c r="A65" s="35"/>
      <c r="B65" s="35"/>
    </row>
    <row r="66" spans="1:2" x14ac:dyDescent="0.2">
      <c r="A66" s="35"/>
      <c r="B66" s="35"/>
    </row>
    <row r="67" spans="1:2" x14ac:dyDescent="0.2">
      <c r="A67" s="35"/>
      <c r="B67" s="35"/>
    </row>
    <row r="68" spans="1:2" x14ac:dyDescent="0.2">
      <c r="A68" s="35"/>
      <c r="B68" s="35"/>
    </row>
    <row r="69" spans="1:2" x14ac:dyDescent="0.2">
      <c r="A69" s="35"/>
      <c r="B69" s="35"/>
    </row>
    <row r="70" spans="1:2" x14ac:dyDescent="0.2">
      <c r="A70" s="35"/>
      <c r="B70" s="35"/>
    </row>
    <row r="71" spans="1:2" x14ac:dyDescent="0.2">
      <c r="A71" s="35"/>
      <c r="B71" s="35"/>
    </row>
    <row r="72" spans="1:2" x14ac:dyDescent="0.2">
      <c r="A72" s="35"/>
      <c r="B72" s="35"/>
    </row>
    <row r="73" spans="1:2" x14ac:dyDescent="0.2">
      <c r="A73" s="35"/>
      <c r="B73" s="35"/>
    </row>
    <row r="74" spans="1:2" x14ac:dyDescent="0.2">
      <c r="A74" s="35"/>
      <c r="B74" s="35"/>
    </row>
    <row r="75" spans="1:2" x14ac:dyDescent="0.2">
      <c r="A75" s="35"/>
      <c r="B75" s="35"/>
    </row>
    <row r="76" spans="1:2" x14ac:dyDescent="0.2">
      <c r="A76" s="35"/>
      <c r="B76" s="35"/>
    </row>
    <row r="77" spans="1:2" x14ac:dyDescent="0.2">
      <c r="A77" s="35"/>
      <c r="B77" s="35"/>
    </row>
    <row r="78" spans="1:2" x14ac:dyDescent="0.2">
      <c r="A78" s="35"/>
      <c r="B78" s="35"/>
    </row>
    <row r="79" spans="1:2" x14ac:dyDescent="0.2">
      <c r="A79" s="35"/>
      <c r="B79" s="35"/>
    </row>
    <row r="80" spans="1:2" x14ac:dyDescent="0.2">
      <c r="A80" s="35"/>
      <c r="B80" s="35"/>
    </row>
    <row r="81" spans="1:2" x14ac:dyDescent="0.2">
      <c r="A81" s="35"/>
      <c r="B81" s="35"/>
    </row>
    <row r="82" spans="1:2" x14ac:dyDescent="0.2">
      <c r="A82" s="35"/>
      <c r="B82" s="35"/>
    </row>
    <row r="83" spans="1:2" x14ac:dyDescent="0.2">
      <c r="A83" s="35"/>
      <c r="B83" s="35"/>
    </row>
    <row r="84" spans="1:2" x14ac:dyDescent="0.2">
      <c r="A84" s="35"/>
      <c r="B84" s="35"/>
    </row>
    <row r="85" spans="1:2" x14ac:dyDescent="0.2">
      <c r="A85" s="35"/>
      <c r="B85" s="35"/>
    </row>
    <row r="86" spans="1:2" x14ac:dyDescent="0.2">
      <c r="A86" s="35"/>
      <c r="B86" s="35"/>
    </row>
    <row r="87" spans="1:2" x14ac:dyDescent="0.2">
      <c r="A87" s="35"/>
      <c r="B87" s="35"/>
    </row>
    <row r="88" spans="1:2" x14ac:dyDescent="0.2">
      <c r="A88" s="35"/>
      <c r="B88" s="35"/>
    </row>
    <row r="89" spans="1:2" x14ac:dyDescent="0.2">
      <c r="A89" s="35"/>
      <c r="B89" s="35"/>
    </row>
    <row r="90" spans="1:2" x14ac:dyDescent="0.2">
      <c r="A90" s="35"/>
      <c r="B90" s="35"/>
    </row>
    <row r="91" spans="1:2" x14ac:dyDescent="0.2">
      <c r="A91" s="35"/>
      <c r="B91" s="35"/>
    </row>
    <row r="92" spans="1:2" x14ac:dyDescent="0.2">
      <c r="A92" s="35"/>
      <c r="B92" s="35"/>
    </row>
    <row r="93" spans="1:2" x14ac:dyDescent="0.2">
      <c r="A93" s="35"/>
      <c r="B93" s="35"/>
    </row>
    <row r="94" spans="1:2" x14ac:dyDescent="0.2">
      <c r="A94" s="35"/>
      <c r="B94" s="35"/>
    </row>
    <row r="95" spans="1:2" x14ac:dyDescent="0.2">
      <c r="A95" s="35"/>
      <c r="B95" s="35"/>
    </row>
    <row r="96" spans="1:2" x14ac:dyDescent="0.2">
      <c r="A96" s="35"/>
      <c r="B96" s="35"/>
    </row>
    <row r="97" spans="1:2" x14ac:dyDescent="0.2">
      <c r="A97" s="35"/>
      <c r="B97" s="35"/>
    </row>
    <row r="98" spans="1:2" x14ac:dyDescent="0.2">
      <c r="A98" s="35"/>
      <c r="B98" s="35"/>
    </row>
    <row r="99" spans="1:2" x14ac:dyDescent="0.2">
      <c r="A99" s="35"/>
      <c r="B99" s="35"/>
    </row>
    <row r="100" spans="1:2" x14ac:dyDescent="0.2">
      <c r="A100" s="35"/>
      <c r="B100" s="35"/>
    </row>
    <row r="101" spans="1:2" x14ac:dyDescent="0.2">
      <c r="A101" s="35"/>
      <c r="B101" s="35"/>
    </row>
    <row r="102" spans="1:2" x14ac:dyDescent="0.2">
      <c r="A102" s="35"/>
      <c r="B102" s="35"/>
    </row>
    <row r="103" spans="1:2" x14ac:dyDescent="0.2">
      <c r="A103" s="35"/>
      <c r="B103" s="35"/>
    </row>
    <row r="104" spans="1:2" x14ac:dyDescent="0.2">
      <c r="A104" s="35"/>
      <c r="B104" s="35"/>
    </row>
    <row r="105" spans="1:2" x14ac:dyDescent="0.2">
      <c r="A105" s="35"/>
      <c r="B105" s="35"/>
    </row>
    <row r="106" spans="1:2" x14ac:dyDescent="0.2">
      <c r="A106" s="35"/>
      <c r="B106" s="35"/>
    </row>
    <row r="107" spans="1:2" x14ac:dyDescent="0.2">
      <c r="A107" s="35"/>
      <c r="B107" s="35"/>
    </row>
    <row r="108" spans="1:2" x14ac:dyDescent="0.2">
      <c r="A108" s="35"/>
      <c r="B108" s="35"/>
    </row>
    <row r="109" spans="1:2" x14ac:dyDescent="0.2">
      <c r="A109" s="35"/>
      <c r="B109" s="35"/>
    </row>
    <row r="110" spans="1:2" x14ac:dyDescent="0.2">
      <c r="A110" s="35"/>
      <c r="B110" s="35"/>
    </row>
    <row r="111" spans="1:2" x14ac:dyDescent="0.2">
      <c r="A111" s="35"/>
      <c r="B111" s="35"/>
    </row>
    <row r="112" spans="1:2" x14ac:dyDescent="0.2">
      <c r="A112" s="35"/>
      <c r="B112" s="35"/>
    </row>
    <row r="113" spans="1:2" x14ac:dyDescent="0.2">
      <c r="A113" s="35"/>
      <c r="B113" s="35"/>
    </row>
    <row r="114" spans="1:2" x14ac:dyDescent="0.2">
      <c r="A114" s="35"/>
      <c r="B114" s="35"/>
    </row>
    <row r="115" spans="1:2" x14ac:dyDescent="0.2">
      <c r="A115" s="35"/>
      <c r="B115" s="35"/>
    </row>
    <row r="116" spans="1:2" x14ac:dyDescent="0.2">
      <c r="A116" s="35"/>
      <c r="B116" s="35"/>
    </row>
    <row r="117" spans="1:2" x14ac:dyDescent="0.2">
      <c r="A117" s="35"/>
      <c r="B117" s="35"/>
    </row>
    <row r="118" spans="1:2" x14ac:dyDescent="0.2">
      <c r="A118" s="35"/>
      <c r="B118" s="35"/>
    </row>
    <row r="119" spans="1:2" x14ac:dyDescent="0.2">
      <c r="A119" s="35"/>
      <c r="B119" s="35"/>
    </row>
    <row r="120" spans="1:2" x14ac:dyDescent="0.2">
      <c r="A120" s="35"/>
      <c r="B120" s="35"/>
    </row>
    <row r="121" spans="1:2" x14ac:dyDescent="0.2">
      <c r="A121" s="35"/>
      <c r="B121" s="35"/>
    </row>
    <row r="122" spans="1:2" x14ac:dyDescent="0.2">
      <c r="A122" s="35"/>
      <c r="B122" s="35"/>
    </row>
    <row r="123" spans="1:2" x14ac:dyDescent="0.2">
      <c r="A123" s="35"/>
      <c r="B123" s="35"/>
    </row>
    <row r="124" spans="1:2" x14ac:dyDescent="0.2">
      <c r="A124" s="35"/>
      <c r="B124" s="35"/>
    </row>
    <row r="125" spans="1:2" x14ac:dyDescent="0.2">
      <c r="A125" s="35"/>
      <c r="B125" s="35"/>
    </row>
    <row r="126" spans="1:2" x14ac:dyDescent="0.2">
      <c r="A126" s="35"/>
      <c r="B126" s="35"/>
    </row>
    <row r="127" spans="1:2" x14ac:dyDescent="0.2">
      <c r="A127" s="35"/>
      <c r="B127" s="35"/>
    </row>
    <row r="128" spans="1:2" x14ac:dyDescent="0.2">
      <c r="A128" s="35"/>
      <c r="B128" s="35"/>
    </row>
    <row r="129" spans="1:2" x14ac:dyDescent="0.2">
      <c r="A129" s="35"/>
      <c r="B129" s="35"/>
    </row>
    <row r="130" spans="1:2" x14ac:dyDescent="0.2">
      <c r="A130" s="35"/>
      <c r="B130" s="35"/>
    </row>
    <row r="131" spans="1:2" x14ac:dyDescent="0.2">
      <c r="A131" s="35"/>
      <c r="B131" s="35"/>
    </row>
    <row r="132" spans="1:2" x14ac:dyDescent="0.2">
      <c r="A132" s="35"/>
      <c r="B132" s="35"/>
    </row>
    <row r="133" spans="1:2" x14ac:dyDescent="0.2">
      <c r="A133" s="35"/>
      <c r="B133" s="35"/>
    </row>
    <row r="134" spans="1:2" x14ac:dyDescent="0.2">
      <c r="A134" s="35"/>
      <c r="B134" s="35"/>
    </row>
    <row r="135" spans="1:2" x14ac:dyDescent="0.2">
      <c r="A135" s="35"/>
      <c r="B135" s="35"/>
    </row>
    <row r="136" spans="1:2" x14ac:dyDescent="0.2">
      <c r="A136" s="35"/>
      <c r="B136" s="35"/>
    </row>
    <row r="137" spans="1:2" x14ac:dyDescent="0.2">
      <c r="A137" s="35"/>
      <c r="B137" s="35"/>
    </row>
    <row r="138" spans="1:2" x14ac:dyDescent="0.2">
      <c r="A138" s="35"/>
      <c r="B138" s="35"/>
    </row>
    <row r="139" spans="1:2" x14ac:dyDescent="0.2">
      <c r="A139" s="35"/>
      <c r="B139" s="35"/>
    </row>
    <row r="140" spans="1:2" x14ac:dyDescent="0.2">
      <c r="A140" s="35"/>
      <c r="B140" s="35"/>
    </row>
    <row r="141" spans="1:2" x14ac:dyDescent="0.2">
      <c r="A141" s="35"/>
      <c r="B141" s="35"/>
    </row>
    <row r="142" spans="1:2" x14ac:dyDescent="0.2">
      <c r="A142" s="35"/>
      <c r="B142" s="35"/>
    </row>
    <row r="143" spans="1:2" x14ac:dyDescent="0.2">
      <c r="A143" s="35"/>
      <c r="B143" s="35"/>
    </row>
    <row r="144" spans="1:2" x14ac:dyDescent="0.2">
      <c r="A144" s="35"/>
      <c r="B144" s="35"/>
    </row>
    <row r="145" spans="1:2" x14ac:dyDescent="0.2">
      <c r="A145" s="35"/>
      <c r="B145" s="35"/>
    </row>
    <row r="146" spans="1:2" x14ac:dyDescent="0.2">
      <c r="A146" s="35"/>
      <c r="B146" s="35"/>
    </row>
    <row r="147" spans="1:2" x14ac:dyDescent="0.2">
      <c r="A147" s="35"/>
      <c r="B147" s="35"/>
    </row>
    <row r="148" spans="1:2" x14ac:dyDescent="0.2">
      <c r="A148" s="35"/>
      <c r="B148" s="35"/>
    </row>
    <row r="149" spans="1:2" x14ac:dyDescent="0.2">
      <c r="A149" s="35"/>
      <c r="B149" s="35"/>
    </row>
    <row r="150" spans="1:2" x14ac:dyDescent="0.2">
      <c r="A150" s="35"/>
      <c r="B150" s="35"/>
    </row>
    <row r="151" spans="1:2" x14ac:dyDescent="0.2">
      <c r="A151" s="35"/>
      <c r="B151" s="35"/>
    </row>
    <row r="152" spans="1:2" x14ac:dyDescent="0.2">
      <c r="A152" s="35"/>
      <c r="B152" s="35"/>
    </row>
    <row r="153" spans="1:2" x14ac:dyDescent="0.2">
      <c r="A153" s="35"/>
      <c r="B153" s="35"/>
    </row>
    <row r="154" spans="1:2" x14ac:dyDescent="0.2">
      <c r="A154" s="35"/>
      <c r="B154" s="35"/>
    </row>
    <row r="155" spans="1:2" x14ac:dyDescent="0.2">
      <c r="A155" s="35"/>
      <c r="B155" s="35"/>
    </row>
    <row r="156" spans="1:2" x14ac:dyDescent="0.2">
      <c r="A156" s="35"/>
      <c r="B156" s="35"/>
    </row>
    <row r="157" spans="1:2" x14ac:dyDescent="0.2">
      <c r="A157" s="35"/>
      <c r="B157" s="35"/>
    </row>
    <row r="158" spans="1:2" x14ac:dyDescent="0.2">
      <c r="A158" s="35"/>
      <c r="B158" s="35"/>
    </row>
    <row r="159" spans="1:2" x14ac:dyDescent="0.2">
      <c r="A159" s="35"/>
      <c r="B159" s="35"/>
    </row>
    <row r="160" spans="1:2" x14ac:dyDescent="0.2">
      <c r="A160" s="35"/>
      <c r="B160" s="35"/>
    </row>
    <row r="161" spans="1:2" x14ac:dyDescent="0.2">
      <c r="A161" s="35"/>
      <c r="B161" s="35"/>
    </row>
    <row r="162" spans="1:2" x14ac:dyDescent="0.2">
      <c r="A162" s="35"/>
      <c r="B162" s="35"/>
    </row>
    <row r="163" spans="1:2" x14ac:dyDescent="0.2">
      <c r="A163" s="35"/>
      <c r="B163" s="35"/>
    </row>
    <row r="164" spans="1:2" x14ac:dyDescent="0.2">
      <c r="A164" s="35"/>
      <c r="B164" s="35"/>
    </row>
    <row r="165" spans="1:2" x14ac:dyDescent="0.2">
      <c r="A165" s="35"/>
      <c r="B165" s="35"/>
    </row>
    <row r="166" spans="1:2" x14ac:dyDescent="0.2">
      <c r="A166" s="35"/>
      <c r="B166" s="35"/>
    </row>
    <row r="167" spans="1:2" x14ac:dyDescent="0.2">
      <c r="A167" s="35"/>
      <c r="B167" s="35"/>
    </row>
    <row r="168" spans="1:2" x14ac:dyDescent="0.2">
      <c r="A168" s="35"/>
      <c r="B168" s="35"/>
    </row>
    <row r="169" spans="1:2" x14ac:dyDescent="0.2">
      <c r="A169" s="35"/>
      <c r="B169" s="35"/>
    </row>
    <row r="170" spans="1:2" x14ac:dyDescent="0.2">
      <c r="A170" s="35"/>
      <c r="B170" s="35"/>
    </row>
    <row r="171" spans="1:2" x14ac:dyDescent="0.2">
      <c r="A171" s="35"/>
      <c r="B171" s="35"/>
    </row>
    <row r="172" spans="1:2" x14ac:dyDescent="0.2">
      <c r="A172" s="35"/>
      <c r="B172" s="35"/>
    </row>
    <row r="173" spans="1:2" x14ac:dyDescent="0.2">
      <c r="A173" s="35"/>
      <c r="B173" s="35"/>
    </row>
    <row r="174" spans="1:2" x14ac:dyDescent="0.2">
      <c r="A174" s="35"/>
      <c r="B174" s="35"/>
    </row>
    <row r="175" spans="1:2" x14ac:dyDescent="0.2">
      <c r="A175" s="35"/>
      <c r="B175" s="35"/>
    </row>
    <row r="176" spans="1:2" x14ac:dyDescent="0.2">
      <c r="A176" s="35"/>
      <c r="B176" s="35"/>
    </row>
    <row r="177" spans="1:2" x14ac:dyDescent="0.2">
      <c r="A177" s="35"/>
      <c r="B177" s="35"/>
    </row>
    <row r="178" spans="1:2" x14ac:dyDescent="0.2">
      <c r="A178" s="35"/>
      <c r="B178" s="35"/>
    </row>
    <row r="179" spans="1:2" x14ac:dyDescent="0.2">
      <c r="A179" s="35"/>
      <c r="B179" s="35"/>
    </row>
  </sheetData>
  <sortState xmlns:xlrd2="http://schemas.microsoft.com/office/spreadsheetml/2017/richdata2" ref="A11:O23">
    <sortCondition ref="A11:A23"/>
  </sortState>
  <customSheetViews>
    <customSheetView guid="{25DC4F91-A91C-4C3F-9681-9209750ABBEA}">
      <selection activeCell="O28" sqref="O28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 topLeftCell="A31">
      <selection activeCell="K6" sqref="K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 topLeftCell="A31">
      <selection activeCell="K6" sqref="K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 topLeftCell="A31">
      <selection activeCell="K6" sqref="K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F7" sqref="F7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G11" sqref="G11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E40" sqref="E40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 topLeftCell="A59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33" sqref="A33"/>
      <pageMargins left="0.7" right="0.7" top="0.78740157499999996" bottom="0.78740157499999996" header="0.3" footer="0.3"/>
      <pageSetup paperSize="9" orientation="portrait" r:id="rId10"/>
    </customSheetView>
  </customSheetViews>
  <mergeCells count="2">
    <mergeCell ref="A3:B3"/>
    <mergeCell ref="A6:B6"/>
  </mergeCells>
  <pageMargins left="0.7" right="0.7" top="0.78740157499999996" bottom="0.78740157499999996" header="0.3" footer="0.3"/>
  <pageSetup paperSize="9" orientation="portrait"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P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28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15" t="s">
        <v>40</v>
      </c>
      <c r="B3" s="348"/>
      <c r="C3" s="330" t="str">
        <f>Januar!C3</f>
        <v>Gehalt 1</v>
      </c>
      <c r="D3" s="330" t="str">
        <f>Januar!D3</f>
        <v>xxx</v>
      </c>
      <c r="E3" s="330" t="str">
        <f>Januar!E3</f>
        <v>xxx</v>
      </c>
      <c r="F3" s="330" t="str">
        <f>Januar!F3</f>
        <v>xxx</v>
      </c>
      <c r="G3" s="330" t="str">
        <f>Januar!G3</f>
        <v>xxx</v>
      </c>
      <c r="H3" s="330" t="str">
        <f>Januar!H3</f>
        <v>xxx</v>
      </c>
      <c r="I3" s="330" t="str">
        <f>Januar!I3</f>
        <v>xxx</v>
      </c>
      <c r="J3" s="278" t="str">
        <f>Januar!J3</f>
        <v>xxx</v>
      </c>
      <c r="K3" s="278" t="str">
        <f>Januar!K3</f>
        <v>xxx</v>
      </c>
      <c r="L3" s="330" t="str">
        <f>Januar!L3</f>
        <v>xxx</v>
      </c>
      <c r="M3" s="330" t="str">
        <f>Januar!M3</f>
        <v>xxx</v>
      </c>
      <c r="N3" s="330" t="str">
        <f>Januar!N3</f>
        <v>xxx</v>
      </c>
      <c r="O3" s="330" t="str">
        <f>Januar!O3</f>
        <v>xxx</v>
      </c>
      <c r="P3" s="331" t="str">
        <f>Januar!P3</f>
        <v>xxx</v>
      </c>
    </row>
    <row r="4" spans="1:16" ht="13.5" thickBot="1" x14ac:dyDescent="0.25">
      <c r="A4" s="326"/>
      <c r="B4" s="327"/>
      <c r="C4" s="319">
        <v>0</v>
      </c>
      <c r="D4" s="319">
        <f>Januar!D4</f>
        <v>0</v>
      </c>
      <c r="E4" s="319">
        <f>Januar!E4</f>
        <v>0</v>
      </c>
      <c r="F4" s="319">
        <f>Januar!F4</f>
        <v>0</v>
      </c>
      <c r="G4" s="319">
        <f>Januar!G4</f>
        <v>0</v>
      </c>
      <c r="H4" s="319">
        <f>Januar!H4</f>
        <v>0</v>
      </c>
      <c r="I4" s="319">
        <f>Januar!I4</f>
        <v>0</v>
      </c>
      <c r="J4" s="319">
        <f>Januar!J4</f>
        <v>0</v>
      </c>
      <c r="K4" s="319">
        <f>Januar!K4</f>
        <v>0</v>
      </c>
      <c r="L4" s="319">
        <f>Januar!L4</f>
        <v>0</v>
      </c>
      <c r="M4" s="319">
        <f>Januar!M4</f>
        <v>0</v>
      </c>
      <c r="N4" s="319">
        <f>Januar!N4</f>
        <v>0</v>
      </c>
      <c r="O4" s="319">
        <f>Januar!O4</f>
        <v>0</v>
      </c>
      <c r="P4" s="328">
        <f>Januar!P4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526" t="s">
        <v>48</v>
      </c>
      <c r="B6" s="528"/>
      <c r="C6" s="355" t="str">
        <f>Januar!C6</f>
        <v>Gas</v>
      </c>
      <c r="D6" s="355" t="str">
        <f>Januar!D6</f>
        <v>Strom</v>
      </c>
      <c r="E6" s="355" t="str">
        <f>Januar!E6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Januar!P6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Januar!P7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Januar!C10</f>
        <v>Telefon</v>
      </c>
      <c r="D10" s="295" t="str">
        <f>Januar!D10</f>
        <v>Lebensmittel</v>
      </c>
      <c r="E10" s="295" t="s">
        <v>76</v>
      </c>
      <c r="F10" s="295" t="s">
        <v>77</v>
      </c>
      <c r="G10" s="295" t="str">
        <f>Januar!G10</f>
        <v>Hygiene</v>
      </c>
      <c r="H10" s="295" t="s">
        <v>78</v>
      </c>
      <c r="I10" s="295" t="str">
        <f>Januar!I10</f>
        <v>Freizeit</v>
      </c>
      <c r="J10" s="295" t="str">
        <f>Januar!J10</f>
        <v>Anschaffungen</v>
      </c>
      <c r="K10" s="295" t="str">
        <f>Januar!K10</f>
        <v>Arzt/Apo</v>
      </c>
      <c r="L10" s="295" t="str">
        <f>Januar!L10</f>
        <v>Versicherungen</v>
      </c>
      <c r="M10" s="295" t="str">
        <f>Januar!M10</f>
        <v>Abfall</v>
      </c>
      <c r="N10" s="295" t="str">
        <f>Januar!N10</f>
        <v>Tabak</v>
      </c>
      <c r="O10" s="295" t="str">
        <f>Januar!O10</f>
        <v>Sonstiges</v>
      </c>
      <c r="P10" s="296" t="str">
        <f>Januar!P10</f>
        <v>Sonstiges</v>
      </c>
    </row>
    <row r="11" spans="1:16" x14ac:dyDescent="0.2">
      <c r="A11" s="89"/>
      <c r="B11" s="88"/>
      <c r="C11" s="285"/>
      <c r="D11" s="51"/>
      <c r="E11" s="51"/>
      <c r="F11" s="67"/>
      <c r="G11" s="51"/>
      <c r="H11" s="51"/>
      <c r="I11" s="51"/>
      <c r="J11" s="54"/>
      <c r="K11" s="54"/>
      <c r="L11" s="51"/>
      <c r="M11" s="51"/>
      <c r="N11" s="53"/>
      <c r="O11" s="53"/>
      <c r="P11" s="117"/>
    </row>
    <row r="12" spans="1:16" x14ac:dyDescent="0.2">
      <c r="A12" s="89"/>
      <c r="B12" s="88"/>
      <c r="C12" s="285"/>
      <c r="D12" s="51"/>
      <c r="E12" s="51"/>
      <c r="F12" s="67"/>
      <c r="G12" s="51"/>
      <c r="H12" s="51"/>
      <c r="I12" s="51"/>
      <c r="J12" s="54"/>
      <c r="K12" s="54"/>
      <c r="L12" s="51"/>
      <c r="M12" s="51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6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6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6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6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6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6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96"/>
      <c r="B19" s="90"/>
      <c r="C19" s="286"/>
      <c r="D19" s="54"/>
      <c r="E19" s="54"/>
      <c r="F19" s="56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92"/>
      <c r="B20" s="93"/>
      <c r="C20" s="286"/>
      <c r="D20" s="54"/>
      <c r="E20" s="54"/>
      <c r="F20" s="56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6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6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90"/>
      <c r="C23" s="286"/>
      <c r="D23" s="54"/>
      <c r="E23" s="54"/>
      <c r="F23" s="56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6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6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6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6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6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92"/>
      <c r="B29" s="93"/>
      <c r="C29" s="286"/>
      <c r="D29" s="54"/>
      <c r="E29" s="54"/>
      <c r="F29" s="56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6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6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92"/>
      <c r="B32" s="93"/>
      <c r="C32" s="286"/>
      <c r="D32" s="54"/>
      <c r="E32" s="54"/>
      <c r="F32" s="56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6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6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6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6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6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6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6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9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>SUM(C11:C40)</f>
        <v>0</v>
      </c>
      <c r="D41" s="369">
        <f t="shared" ref="D41:P41" si="0">SUM(D11:D40)</f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Februar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N17">
    <sortCondition ref="A11:A17"/>
  </sortState>
  <customSheetViews>
    <customSheetView guid="{25DC4F91-A91C-4C3F-9681-9209750ABBEA}">
      <selection activeCell="A29" sqref="A29"/>
      <pageMargins left="0.7" right="0.7" top="0.78740157499999996" bottom="0.78740157499999996" header="0.3" footer="0.3"/>
    </customSheetView>
    <customSheetView guid="{CFE9FE8C-9075-4CDC-A3CC-05601E4600C1}">
      <pageMargins left="0.7" right="0.7" top="0.78740157499999996" bottom="0.78740157499999996" header="0.3" footer="0.3"/>
    </customSheetView>
    <customSheetView guid="{C21A97DE-3F4E-441C-9EE1-180F872F0921}" topLeftCell="A7">
      <selection activeCell="K6" sqref="K6:L6"/>
      <pageMargins left="0.7" right="0.7" top="0.78740157499999996" bottom="0.78740157499999996" header="0.3" footer="0.3"/>
    </customSheetView>
    <customSheetView guid="{32010A6E-0F0E-4D6E-BDEC-7BF6D197330C}" topLeftCell="A7">
      <selection activeCell="K6" sqref="K6:L6"/>
      <pageMargins left="0.7" right="0.7" top="0.78740157499999996" bottom="0.78740157499999996" header="0.3" footer="0.3"/>
    </customSheetView>
    <customSheetView guid="{77AA5D6B-183E-4B34-9A26-D8BDC7AB4A8B}" topLeftCell="A7">
      <selection activeCell="K6" sqref="K6:L6"/>
      <pageMargins left="0.7" right="0.7" top="0.78740157499999996" bottom="0.78740157499999996" header="0.3" footer="0.3"/>
    </customSheetView>
    <customSheetView guid="{476E9108-F970-4ED5-B615-D5EA1D6F5C1C}">
      <selection activeCell="F8" sqref="F8"/>
      <pageMargins left="0.7" right="0.7" top="0.78740157499999996" bottom="0.78740157499999996" header="0.3" footer="0.3"/>
    </customSheetView>
    <customSheetView guid="{09202BB1-255A-4EDA-B63F-9E0CA30B36C5}">
      <selection activeCell="J26" sqref="J26"/>
      <pageMargins left="0.7" right="0.7" top="0.78740157499999996" bottom="0.78740157499999996" header="0.3" footer="0.3"/>
    </customSheetView>
    <customSheetView guid="{CD87C90D-3024-4E69-ABDD-891676803401}">
      <selection activeCell="A11" sqref="A11:O31"/>
      <pageMargins left="0.7" right="0.7" top="0.78740157499999996" bottom="0.78740157499999996" header="0.3" footer="0.3"/>
    </customSheetView>
    <customSheetView guid="{2FCDEDCE-A041-4FA8-BFB2-1CA8CD8915F4}">
      <selection activeCell="A11" sqref="A11:O24"/>
      <pageMargins left="0.7" right="0.7" top="0.78740157499999996" bottom="0.78740157499999996" header="0.3" footer="0.3"/>
    </customSheetView>
    <customSheetView guid="{7FE57256-D437-42BF-8A0F-4C221865038B}">
      <selection activeCell="A25" sqref="A25"/>
      <pageMargins left="0.7" right="0.7" top="0.78740157499999996" bottom="0.78740157499999996" header="0.3" footer="0.3"/>
    </customSheetView>
  </customSheetViews>
  <mergeCells count="1">
    <mergeCell ref="A6:B6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P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29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Februar!C3</f>
        <v>Gehalt 1</v>
      </c>
      <c r="D3" s="330" t="str">
        <f>Februar!D3</f>
        <v>xxx</v>
      </c>
      <c r="E3" s="330" t="str">
        <f>Februar!E3</f>
        <v>xxx</v>
      </c>
      <c r="F3" s="330" t="str">
        <f>Februar!F3</f>
        <v>xxx</v>
      </c>
      <c r="G3" s="330" t="str">
        <f>Februar!G3</f>
        <v>xxx</v>
      </c>
      <c r="H3" s="330" t="str">
        <f>Februar!H3</f>
        <v>xxx</v>
      </c>
      <c r="I3" s="330" t="str">
        <f>Februar!I3</f>
        <v>xxx</v>
      </c>
      <c r="J3" s="330" t="str">
        <f>Februar!J3</f>
        <v>xxx</v>
      </c>
      <c r="K3" s="330" t="str">
        <f>Februar!K3</f>
        <v>xxx</v>
      </c>
      <c r="L3" s="330" t="str">
        <f>Februar!L3</f>
        <v>xxx</v>
      </c>
      <c r="M3" s="330" t="str">
        <f>Februar!M3</f>
        <v>xxx</v>
      </c>
      <c r="N3" s="330" t="str">
        <f>Februar!N3</f>
        <v>xxx</v>
      </c>
      <c r="O3" s="330" t="str">
        <f>Februar!O3</f>
        <v>xxx</v>
      </c>
      <c r="P3" s="331" t="str">
        <f>Februar!P3</f>
        <v>xxx</v>
      </c>
    </row>
    <row r="4" spans="1:16" ht="13.5" thickBot="1" x14ac:dyDescent="0.25">
      <c r="A4" s="326"/>
      <c r="B4" s="327"/>
      <c r="C4" s="319">
        <v>0</v>
      </c>
      <c r="D4" s="319">
        <f>Februar!D4</f>
        <v>0</v>
      </c>
      <c r="E4" s="319">
        <f>Februar!E4</f>
        <v>0</v>
      </c>
      <c r="F4" s="319">
        <f>Februar!F4</f>
        <v>0</v>
      </c>
      <c r="G4" s="319">
        <f>Februar!G4</f>
        <v>0</v>
      </c>
      <c r="H4" s="319">
        <f>Februar!H4</f>
        <v>0</v>
      </c>
      <c r="I4" s="319">
        <f>Februar!I4</f>
        <v>0</v>
      </c>
      <c r="J4" s="319">
        <f>Februar!J4</f>
        <v>0</v>
      </c>
      <c r="K4" s="319">
        <f>Februar!K4</f>
        <v>0</v>
      </c>
      <c r="L4" s="319">
        <f>Februar!L4</f>
        <v>0</v>
      </c>
      <c r="M4" s="319">
        <f>Februar!M4</f>
        <v>0</v>
      </c>
      <c r="N4" s="319">
        <f>Februar!N4</f>
        <v>0</v>
      </c>
      <c r="O4" s="319">
        <f>Februar!O4</f>
        <v>0</v>
      </c>
      <c r="P4" s="328">
        <f>Februar!P4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Februar!C6</f>
        <v>Gas</v>
      </c>
      <c r="D6" s="355" t="str">
        <f>Februar!D6</f>
        <v>Strom</v>
      </c>
      <c r="E6" s="355" t="str">
        <f>Februar!E6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Februar!P6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Februar!P7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Februar!C10</f>
        <v>Telefon</v>
      </c>
      <c r="D10" s="295" t="str">
        <f>Februar!D10</f>
        <v>Lebensmittel</v>
      </c>
      <c r="E10" s="295" t="s">
        <v>76</v>
      </c>
      <c r="F10" s="295" t="s">
        <v>77</v>
      </c>
      <c r="G10" s="295" t="str">
        <f>Februar!G10</f>
        <v>Hygiene</v>
      </c>
      <c r="H10" s="295" t="s">
        <v>78</v>
      </c>
      <c r="I10" s="295" t="str">
        <f>Februar!I10</f>
        <v>Freizeit</v>
      </c>
      <c r="J10" s="295" t="str">
        <f>Februar!J10</f>
        <v>Anschaffungen</v>
      </c>
      <c r="K10" s="295" t="str">
        <f>Februar!K10</f>
        <v>Arzt/Apo</v>
      </c>
      <c r="L10" s="295" t="str">
        <f>Februar!L10</f>
        <v>Versicherungen</v>
      </c>
      <c r="M10" s="295" t="str">
        <f>Februar!M10</f>
        <v>Abfall</v>
      </c>
      <c r="N10" s="295" t="str">
        <f>Februar!N10</f>
        <v>Tabak</v>
      </c>
      <c r="O10" s="295" t="str">
        <f>Februar!O10</f>
        <v>Sonstiges</v>
      </c>
      <c r="P10" s="296" t="str">
        <f>Februar!P10</f>
        <v>Sonstiges</v>
      </c>
    </row>
    <row r="11" spans="1:16" x14ac:dyDescent="0.2">
      <c r="A11" s="87"/>
      <c r="B11" s="88"/>
      <c r="C11" s="285"/>
      <c r="D11" s="51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91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265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91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P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März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IF(D48=0,D45*-1,D48-D47)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J21">
    <sortCondition ref="A11:A21"/>
  </sortState>
  <customSheetViews>
    <customSheetView guid="{25DC4F91-A91C-4C3F-9681-9209750ABBEA}" topLeftCell="A25">
      <selection activeCell="N47" sqref="A11:N47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A34" sqref="A34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 topLeftCell="A78">
      <selection activeCell="A34" sqref="A34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 topLeftCell="A78">
      <selection activeCell="A34" sqref="A34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D5" sqref="D5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A37" sqref="A37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C5" sqref="C5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A11" sqref="A11:O34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35" sqref="A35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P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30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März!C3</f>
        <v>Gehalt 1</v>
      </c>
      <c r="D3" s="330" t="str">
        <f>März!D3</f>
        <v>xxx</v>
      </c>
      <c r="E3" s="330" t="str">
        <f>März!E3</f>
        <v>xxx</v>
      </c>
      <c r="F3" s="330" t="str">
        <f>März!F3</f>
        <v>xxx</v>
      </c>
      <c r="G3" s="330" t="str">
        <f>März!G3</f>
        <v>xxx</v>
      </c>
      <c r="H3" s="330" t="str">
        <f>März!H3</f>
        <v>xxx</v>
      </c>
      <c r="I3" s="330" t="str">
        <f>März!I3</f>
        <v>xxx</v>
      </c>
      <c r="J3" s="330" t="str">
        <f>März!J3</f>
        <v>xxx</v>
      </c>
      <c r="K3" s="330" t="str">
        <f>März!K3</f>
        <v>xxx</v>
      </c>
      <c r="L3" s="330" t="str">
        <f>März!L3</f>
        <v>xxx</v>
      </c>
      <c r="M3" s="330" t="str">
        <f>März!M3</f>
        <v>xxx</v>
      </c>
      <c r="N3" s="330" t="str">
        <f>März!N3</f>
        <v>xxx</v>
      </c>
      <c r="O3" s="330" t="str">
        <f>März!O3</f>
        <v>xxx</v>
      </c>
      <c r="P3" s="331" t="str">
        <f>März!P3</f>
        <v>xxx</v>
      </c>
    </row>
    <row r="4" spans="1:16" ht="13.5" thickBot="1" x14ac:dyDescent="0.25">
      <c r="A4" s="326"/>
      <c r="B4" s="327"/>
      <c r="C4" s="319">
        <v>0</v>
      </c>
      <c r="D4" s="319">
        <f>März!D4</f>
        <v>0</v>
      </c>
      <c r="E4" s="319">
        <f>März!E4</f>
        <v>0</v>
      </c>
      <c r="F4" s="319">
        <f>März!F4</f>
        <v>0</v>
      </c>
      <c r="G4" s="319">
        <f>März!G4</f>
        <v>0</v>
      </c>
      <c r="H4" s="319">
        <f>März!H4</f>
        <v>0</v>
      </c>
      <c r="I4" s="319">
        <f>März!I4</f>
        <v>0</v>
      </c>
      <c r="J4" s="319">
        <f>März!J4</f>
        <v>0</v>
      </c>
      <c r="K4" s="319">
        <f>März!K4</f>
        <v>0</v>
      </c>
      <c r="L4" s="319">
        <f>März!L4</f>
        <v>0</v>
      </c>
      <c r="M4" s="319">
        <f>März!M4</f>
        <v>0</v>
      </c>
      <c r="N4" s="319">
        <f>März!N4</f>
        <v>0</v>
      </c>
      <c r="O4" s="319">
        <f>März!O4</f>
        <v>0</v>
      </c>
      <c r="P4" s="328">
        <f>März!P4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März!C6</f>
        <v>Gas</v>
      </c>
      <c r="D6" s="355" t="str">
        <f>März!D6</f>
        <v>Strom</v>
      </c>
      <c r="E6" s="355" t="str">
        <f>März!E6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März!P6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März!P7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März!C10</f>
        <v>Telefon</v>
      </c>
      <c r="D10" s="295" t="str">
        <f>März!D10</f>
        <v>Lebensmittel</v>
      </c>
      <c r="E10" s="295" t="s">
        <v>76</v>
      </c>
      <c r="F10" s="295" t="s">
        <v>77</v>
      </c>
      <c r="G10" s="295" t="str">
        <f>März!G10</f>
        <v>Hygiene</v>
      </c>
      <c r="H10" s="295" t="s">
        <v>78</v>
      </c>
      <c r="I10" s="295" t="str">
        <f>März!I10</f>
        <v>Freizeit</v>
      </c>
      <c r="J10" s="295" t="str">
        <f>März!J10</f>
        <v>Anschaffungen</v>
      </c>
      <c r="K10" s="295" t="str">
        <f>März!K10</f>
        <v>Arzt/Apo</v>
      </c>
      <c r="L10" s="295" t="str">
        <f>März!L10</f>
        <v>Versicherungen</v>
      </c>
      <c r="M10" s="295" t="str">
        <f>März!M10</f>
        <v>Abfall</v>
      </c>
      <c r="N10" s="295" t="str">
        <f>März!N10</f>
        <v>Tabak</v>
      </c>
      <c r="O10" s="295" t="str">
        <f>März!O10</f>
        <v>Sonstiges</v>
      </c>
      <c r="P10" s="296" t="str">
        <f>März!P10</f>
        <v>Sonstiges</v>
      </c>
    </row>
    <row r="11" spans="1:16" x14ac:dyDescent="0.2">
      <c r="A11" s="87"/>
      <c r="B11" s="88"/>
      <c r="C11" s="285"/>
      <c r="D11" s="51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91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91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91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90"/>
      <c r="C23" s="285"/>
      <c r="D23" s="51"/>
      <c r="E23" s="51"/>
      <c r="F23" s="51"/>
      <c r="G23" s="51"/>
      <c r="H23" s="51"/>
      <c r="I23" s="51"/>
      <c r="J23" s="54"/>
      <c r="K23" s="54"/>
      <c r="L23" s="51"/>
      <c r="M23" s="51"/>
      <c r="N23" s="53"/>
      <c r="O23" s="53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92"/>
      <c r="B34" s="93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O41" si="0">SUM(C21:C40)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>SUM(P11:P40)</f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April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N25">
    <sortCondition ref="A11:A25"/>
  </sortState>
  <customSheetViews>
    <customSheetView guid="{25DC4F91-A91C-4C3F-9681-9209750ABBEA}" topLeftCell="A16">
      <selection activeCell="A47" sqref="A47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 topLeftCell="A76">
      <selection activeCell="A23" sqref="A23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 printArea="1" topLeftCell="A13">
      <selection activeCell="K37" sqref="K37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11" sqref="A11:J24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A20" sqref="A20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A11" sqref="A11:O52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D18" sqref="D18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32" sqref="A32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P181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31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April!C3</f>
        <v>Gehalt 1</v>
      </c>
      <c r="D3" s="330" t="str">
        <f>April!D3</f>
        <v>xxx</v>
      </c>
      <c r="E3" s="330" t="str">
        <f>April!E3</f>
        <v>xxx</v>
      </c>
      <c r="F3" s="330" t="str">
        <f>April!F3</f>
        <v>xxx</v>
      </c>
      <c r="G3" s="330" t="str">
        <f>April!G3</f>
        <v>xxx</v>
      </c>
      <c r="H3" s="330" t="str">
        <f>April!H3</f>
        <v>xxx</v>
      </c>
      <c r="I3" s="330" t="str">
        <f>April!I3</f>
        <v>xxx</v>
      </c>
      <c r="J3" s="330" t="str">
        <f>April!J3</f>
        <v>xxx</v>
      </c>
      <c r="K3" s="330" t="str">
        <f>April!K3</f>
        <v>xxx</v>
      </c>
      <c r="L3" s="330" t="str">
        <f>April!L3</f>
        <v>xxx</v>
      </c>
      <c r="M3" s="330" t="str">
        <f>April!M3</f>
        <v>xxx</v>
      </c>
      <c r="N3" s="330" t="str">
        <f>April!N3</f>
        <v>xxx</v>
      </c>
      <c r="O3" s="330" t="str">
        <f>April!O3</f>
        <v>xxx</v>
      </c>
      <c r="P3" s="331" t="str">
        <f>April!P3</f>
        <v>xxx</v>
      </c>
    </row>
    <row r="4" spans="1:16" ht="13.5" thickBot="1" x14ac:dyDescent="0.25">
      <c r="A4" s="326"/>
      <c r="B4" s="327"/>
      <c r="C4" s="319">
        <v>0</v>
      </c>
      <c r="D4" s="319">
        <f>April!D4</f>
        <v>0</v>
      </c>
      <c r="E4" s="319">
        <f>April!E4</f>
        <v>0</v>
      </c>
      <c r="F4" s="319">
        <f>April!F4</f>
        <v>0</v>
      </c>
      <c r="G4" s="319">
        <f>April!G4</f>
        <v>0</v>
      </c>
      <c r="H4" s="319">
        <f>April!H4</f>
        <v>0</v>
      </c>
      <c r="I4" s="319">
        <f>April!I4</f>
        <v>0</v>
      </c>
      <c r="J4" s="319">
        <f>April!J4</f>
        <v>0</v>
      </c>
      <c r="K4" s="319">
        <f>April!K4</f>
        <v>0</v>
      </c>
      <c r="L4" s="319">
        <f>April!L4</f>
        <v>0</v>
      </c>
      <c r="M4" s="319">
        <f>April!M4</f>
        <v>0</v>
      </c>
      <c r="N4" s="319">
        <f>April!N4</f>
        <v>0</v>
      </c>
      <c r="O4" s="319">
        <f>April!O4</f>
        <v>0</v>
      </c>
      <c r="P4" s="328">
        <f>April!P4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April!C6</f>
        <v>Gas</v>
      </c>
      <c r="D6" s="355" t="str">
        <f>April!D6</f>
        <v>Strom</v>
      </c>
      <c r="E6" s="355" t="str">
        <f>April!E6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April!P6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April!P7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266" t="s">
        <v>50</v>
      </c>
      <c r="B10" s="267" t="s">
        <v>51</v>
      </c>
      <c r="C10" s="266" t="str">
        <f>April!C10</f>
        <v>Telefon</v>
      </c>
      <c r="D10" s="295" t="str">
        <f>April!D10</f>
        <v>Lebensmittel</v>
      </c>
      <c r="E10" s="295" t="s">
        <v>64</v>
      </c>
      <c r="F10" s="295" t="s">
        <v>77</v>
      </c>
      <c r="G10" s="295" t="str">
        <f>April!G10</f>
        <v>Hygiene</v>
      </c>
      <c r="H10" s="295" t="s">
        <v>78</v>
      </c>
      <c r="I10" s="295" t="str">
        <f>April!I10</f>
        <v>Freizeit</v>
      </c>
      <c r="J10" s="295" t="str">
        <f>April!J10</f>
        <v>Anschaffungen</v>
      </c>
      <c r="K10" s="295" t="str">
        <f>April!K10</f>
        <v>Arzt/Apo</v>
      </c>
      <c r="L10" s="295" t="str">
        <f>April!L10</f>
        <v>Versicherungen</v>
      </c>
      <c r="M10" s="295" t="str">
        <f>April!M10</f>
        <v>Abfall</v>
      </c>
      <c r="N10" s="295" t="str">
        <f>April!N10</f>
        <v>Tabak</v>
      </c>
      <c r="O10" s="295" t="str">
        <f>April!O10</f>
        <v>Sonstiges</v>
      </c>
      <c r="P10" s="296" t="str">
        <f>April!P10</f>
        <v>Sonstiges</v>
      </c>
    </row>
    <row r="11" spans="1:16" x14ac:dyDescent="0.2">
      <c r="A11" s="89"/>
      <c r="B11" s="90"/>
      <c r="C11" s="286"/>
      <c r="D11" s="54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5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3"/>
      <c r="O12" s="53"/>
      <c r="P12" s="117"/>
    </row>
    <row r="13" spans="1:16" x14ac:dyDescent="0.2">
      <c r="A13" s="89"/>
      <c r="B13" s="90"/>
      <c r="C13" s="285"/>
      <c r="D13" s="51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5"/>
      <c r="D14" s="51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90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93"/>
      <c r="B41" s="394"/>
      <c r="C41" s="395"/>
      <c r="D41" s="396"/>
      <c r="E41" s="396"/>
      <c r="F41" s="396"/>
      <c r="G41" s="396"/>
      <c r="H41" s="396"/>
      <c r="I41" s="396"/>
      <c r="J41" s="396"/>
      <c r="K41" s="396"/>
      <c r="L41" s="396"/>
      <c r="M41" s="396"/>
      <c r="N41" s="397"/>
      <c r="O41" s="397"/>
      <c r="P41" s="398"/>
    </row>
    <row r="42" spans="1:16" ht="13.5" thickBot="1" x14ac:dyDescent="0.25">
      <c r="A42" s="399"/>
      <c r="B42" s="400"/>
      <c r="C42" s="401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3"/>
      <c r="O42" s="403"/>
      <c r="P42" s="404"/>
    </row>
    <row r="43" spans="1:16" ht="13.5" thickBot="1" x14ac:dyDescent="0.25">
      <c r="A43" s="119" t="s">
        <v>55</v>
      </c>
      <c r="B43" s="78"/>
      <c r="C43" s="120">
        <f>SUM(C13:C42)</f>
        <v>0</v>
      </c>
      <c r="D43" s="120">
        <f>SUM(D13:D42)</f>
        <v>0</v>
      </c>
      <c r="E43" s="120">
        <f t="shared" ref="E43:P43" si="0">SUM(E11:E42)</f>
        <v>0</v>
      </c>
      <c r="F43" s="120">
        <f t="shared" si="0"/>
        <v>0</v>
      </c>
      <c r="G43" s="120">
        <f t="shared" si="0"/>
        <v>0</v>
      </c>
      <c r="H43" s="120">
        <f t="shared" si="0"/>
        <v>0</v>
      </c>
      <c r="I43" s="120">
        <f t="shared" si="0"/>
        <v>0</v>
      </c>
      <c r="J43" s="120">
        <f t="shared" si="0"/>
        <v>0</v>
      </c>
      <c r="K43" s="120">
        <f t="shared" si="0"/>
        <v>0</v>
      </c>
      <c r="L43" s="120">
        <f t="shared" si="0"/>
        <v>0</v>
      </c>
      <c r="M43" s="120">
        <f t="shared" si="0"/>
        <v>0</v>
      </c>
      <c r="N43" s="120">
        <f t="shared" si="0"/>
        <v>0</v>
      </c>
      <c r="O43" s="120">
        <f t="shared" si="0"/>
        <v>0</v>
      </c>
      <c r="P43" s="122">
        <f t="shared" si="0"/>
        <v>0</v>
      </c>
    </row>
    <row r="44" spans="1:16" x14ac:dyDescent="0.2">
      <c r="A44" s="435" t="s">
        <v>72</v>
      </c>
      <c r="B44" s="436"/>
      <c r="C44" s="437"/>
      <c r="D44" s="438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247"/>
    </row>
    <row r="45" spans="1:16" x14ac:dyDescent="0.2">
      <c r="A45" s="248"/>
      <c r="B45" s="249"/>
      <c r="C45" s="250"/>
      <c r="D45" s="439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2"/>
    </row>
    <row r="46" spans="1:16" ht="15.75" x14ac:dyDescent="0.25">
      <c r="A46" s="123" t="s">
        <v>56</v>
      </c>
      <c r="B46" s="68"/>
      <c r="C46" s="69"/>
      <c r="D46" s="440" t="str">
        <f>A1</f>
        <v>Mai</v>
      </c>
      <c r="E46" s="79"/>
      <c r="F46" s="129"/>
      <c r="G46" s="129"/>
      <c r="H46" s="129"/>
      <c r="I46" s="129"/>
      <c r="J46" s="79"/>
      <c r="K46" s="79"/>
      <c r="L46" s="129"/>
      <c r="M46" s="79"/>
      <c r="N46" s="79"/>
      <c r="O46" s="79"/>
      <c r="P46" s="124"/>
    </row>
    <row r="47" spans="1:16" x14ac:dyDescent="0.2">
      <c r="A47" s="125" t="s">
        <v>57</v>
      </c>
      <c r="B47" s="126"/>
      <c r="C47" s="70"/>
      <c r="D47" s="409">
        <f>SUM(C43:P43)</f>
        <v>0</v>
      </c>
      <c r="E47" s="79"/>
      <c r="F47" s="165"/>
      <c r="G47" s="165"/>
      <c r="H47" s="132"/>
      <c r="I47" s="166"/>
      <c r="J47" s="79"/>
      <c r="K47" s="79"/>
      <c r="L47" s="166"/>
      <c r="M47" s="79"/>
      <c r="N47" s="79"/>
      <c r="O47" s="79"/>
      <c r="P47" s="124"/>
    </row>
    <row r="48" spans="1:16" x14ac:dyDescent="0.2">
      <c r="A48" s="125" t="s">
        <v>58</v>
      </c>
      <c r="B48" s="126"/>
      <c r="C48" s="70"/>
      <c r="D48" s="410">
        <f>SUM(C7:P7)</f>
        <v>0</v>
      </c>
      <c r="E48" s="79"/>
      <c r="F48" s="165"/>
      <c r="G48" s="165"/>
      <c r="H48" s="132"/>
      <c r="I48" s="166"/>
      <c r="J48" s="79"/>
      <c r="K48" s="79"/>
      <c r="L48" s="166"/>
      <c r="M48" s="79"/>
      <c r="N48" s="79"/>
      <c r="O48" s="79"/>
      <c r="P48" s="124"/>
    </row>
    <row r="49" spans="1:16" ht="13.5" thickBot="1" x14ac:dyDescent="0.25">
      <c r="A49" s="441" t="s">
        <v>59</v>
      </c>
      <c r="B49" s="442"/>
      <c r="C49" s="443"/>
      <c r="D49" s="444">
        <f>D48+D47</f>
        <v>0</v>
      </c>
      <c r="E49" s="129"/>
      <c r="F49" s="167"/>
      <c r="G49" s="167"/>
      <c r="H49" s="129"/>
      <c r="I49" s="168"/>
      <c r="J49" s="129"/>
      <c r="K49" s="129"/>
      <c r="L49" s="168"/>
      <c r="M49" s="129"/>
      <c r="N49" s="129"/>
      <c r="O49" s="129"/>
      <c r="P49" s="131"/>
    </row>
    <row r="50" spans="1:16" ht="13.5" thickBot="1" x14ac:dyDescent="0.25">
      <c r="A50" s="441" t="s">
        <v>60</v>
      </c>
      <c r="B50" s="442"/>
      <c r="C50" s="443"/>
      <c r="D50" s="444">
        <f>SUM(C4:P4)</f>
        <v>0</v>
      </c>
      <c r="E50" s="132"/>
      <c r="F50" s="167"/>
      <c r="G50" s="167"/>
      <c r="H50" s="129"/>
      <c r="I50" s="168"/>
      <c r="J50" s="132"/>
      <c r="K50" s="132"/>
      <c r="L50" s="168"/>
      <c r="M50" s="132"/>
      <c r="N50" s="132"/>
      <c r="O50" s="132"/>
      <c r="P50" s="134"/>
    </row>
    <row r="51" spans="1:16" ht="13.5" thickBot="1" x14ac:dyDescent="0.25">
      <c r="A51" s="251"/>
      <c r="B51" s="252"/>
      <c r="C51" s="253"/>
      <c r="D51" s="254"/>
      <c r="E51" s="137"/>
      <c r="F51" s="136"/>
      <c r="G51" s="136"/>
      <c r="H51" s="137"/>
      <c r="I51" s="255"/>
      <c r="J51" s="137"/>
      <c r="K51" s="137"/>
      <c r="L51" s="255"/>
      <c r="M51" s="137"/>
      <c r="N51" s="137"/>
      <c r="O51" s="137"/>
      <c r="P51" s="139"/>
    </row>
    <row r="52" spans="1:16" ht="16.5" thickBot="1" x14ac:dyDescent="0.3">
      <c r="A52" s="97" t="s">
        <v>61</v>
      </c>
      <c r="B52" s="98"/>
      <c r="C52" s="99"/>
      <c r="D52" s="100">
        <f>D50-D49</f>
        <v>0</v>
      </c>
      <c r="E52" s="79"/>
      <c r="F52" s="80"/>
      <c r="G52" s="80"/>
      <c r="H52" s="81"/>
      <c r="I52" s="82"/>
      <c r="J52" s="79"/>
      <c r="K52" s="79"/>
      <c r="L52" s="82"/>
      <c r="M52" s="79"/>
      <c r="N52" s="79"/>
      <c r="O52" s="79"/>
      <c r="P52" s="79"/>
    </row>
    <row r="53" spans="1:16" x14ac:dyDescent="0.2">
      <c r="A53" s="78"/>
      <c r="B53" s="78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E58" s="37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  <row r="180" spans="1:11" x14ac:dyDescent="0.2">
      <c r="A180" s="35"/>
      <c r="B180" s="35"/>
      <c r="J180" s="33"/>
      <c r="K180" s="33"/>
    </row>
    <row r="181" spans="1:11" x14ac:dyDescent="0.2">
      <c r="A181" s="35"/>
      <c r="B181" s="35"/>
      <c r="J181" s="33"/>
      <c r="K181" s="33"/>
    </row>
  </sheetData>
  <sortState xmlns:xlrd2="http://schemas.microsoft.com/office/spreadsheetml/2017/richdata2" ref="A11:N19">
    <sortCondition ref="A11:A19"/>
  </sortState>
  <customSheetViews>
    <customSheetView guid="{25DC4F91-A91C-4C3F-9681-9209750ABBEA}" topLeftCell="A16">
      <selection activeCell="K21" sqref="K21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 printArea="1">
      <selection activeCell="A16" sqref="A1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47" sqref="A47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 topLeftCell="A7">
      <pane ySplit="4" topLeftCell="A23" activePane="bottomLeft" state="frozen"/>
      <selection pane="bottomLeft" activeCell="F54" sqref="F54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 topLeftCell="A4">
      <selection activeCell="A43" sqref="A43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34" sqref="A34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P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32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Mai!C3</f>
        <v>Gehalt 1</v>
      </c>
      <c r="D3" s="330" t="str">
        <f>Mai!D3</f>
        <v>xxx</v>
      </c>
      <c r="E3" s="330" t="str">
        <f>Mai!E3</f>
        <v>xxx</v>
      </c>
      <c r="F3" s="330" t="str">
        <f>Mai!F3</f>
        <v>xxx</v>
      </c>
      <c r="G3" s="330" t="str">
        <f>Mai!G3</f>
        <v>xxx</v>
      </c>
      <c r="H3" s="330" t="str">
        <f>Mai!H3</f>
        <v>xxx</v>
      </c>
      <c r="I3" s="330" t="str">
        <f>Mai!I3</f>
        <v>xxx</v>
      </c>
      <c r="J3" s="330" t="str">
        <f>Mai!J3</f>
        <v>xxx</v>
      </c>
      <c r="K3" s="330" t="str">
        <f>Mai!K3</f>
        <v>xxx</v>
      </c>
      <c r="L3" s="330" t="str">
        <f>Mai!L3</f>
        <v>xxx</v>
      </c>
      <c r="M3" s="330" t="str">
        <f>Mai!M3</f>
        <v>xxx</v>
      </c>
      <c r="N3" s="330" t="str">
        <f>Mai!N3</f>
        <v>xxx</v>
      </c>
      <c r="O3" s="330" t="str">
        <f>Mai!O3</f>
        <v>xxx</v>
      </c>
      <c r="P3" s="331" t="str">
        <f>Mai!P3</f>
        <v>xxx</v>
      </c>
    </row>
    <row r="4" spans="1:16" ht="13.5" thickBot="1" x14ac:dyDescent="0.25">
      <c r="A4" s="326"/>
      <c r="B4" s="327"/>
      <c r="C4" s="319">
        <v>0</v>
      </c>
      <c r="D4" s="319">
        <f>Mai!D4</f>
        <v>0</v>
      </c>
      <c r="E4" s="319">
        <f>Mai!E4</f>
        <v>0</v>
      </c>
      <c r="F4" s="319">
        <f>Mai!F4</f>
        <v>0</v>
      </c>
      <c r="G4" s="319">
        <f>Mai!G4</f>
        <v>0</v>
      </c>
      <c r="H4" s="319">
        <f>Mai!H4</f>
        <v>0</v>
      </c>
      <c r="I4" s="319">
        <f>Mai!I4</f>
        <v>0</v>
      </c>
      <c r="J4" s="319">
        <f>Mai!J4</f>
        <v>0</v>
      </c>
      <c r="K4" s="319">
        <f>Mai!K4</f>
        <v>0</v>
      </c>
      <c r="L4" s="319">
        <f>Mai!L4</f>
        <v>0</v>
      </c>
      <c r="M4" s="319">
        <f>Mai!M4</f>
        <v>0</v>
      </c>
      <c r="N4" s="319">
        <f>Mai!N4</f>
        <v>0</v>
      </c>
      <c r="O4" s="319">
        <f>Mai!O4</f>
        <v>0</v>
      </c>
      <c r="P4" s="328">
        <f>Mai!P4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Mai!C6</f>
        <v>Gas</v>
      </c>
      <c r="D6" s="355" t="str">
        <f>Mai!D6</f>
        <v>Strom</v>
      </c>
      <c r="E6" s="355" t="str">
        <f>Mai!E6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Mai!P6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Mai!P7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Mai!C10</f>
        <v>Telefon</v>
      </c>
      <c r="D10" s="295" t="str">
        <f>Mai!D10</f>
        <v>Lebensmittel</v>
      </c>
      <c r="E10" s="295" t="s">
        <v>76</v>
      </c>
      <c r="F10" s="295" t="s">
        <v>77</v>
      </c>
      <c r="G10" s="295" t="str">
        <f>Mai!G10</f>
        <v>Hygiene</v>
      </c>
      <c r="H10" s="295" t="s">
        <v>78</v>
      </c>
      <c r="I10" s="295" t="str">
        <f>Mai!I10</f>
        <v>Freizeit</v>
      </c>
      <c r="J10" s="295" t="str">
        <f>Mai!J10</f>
        <v>Anschaffungen</v>
      </c>
      <c r="K10" s="295" t="str">
        <f>Mai!K10</f>
        <v>Arzt/Apo</v>
      </c>
      <c r="L10" s="295" t="str">
        <f>Mai!L10</f>
        <v>Versicherungen</v>
      </c>
      <c r="M10" s="295" t="str">
        <f>Mai!M10</f>
        <v>Abfall</v>
      </c>
      <c r="N10" s="295" t="str">
        <f>Mai!N10</f>
        <v>Tabak</v>
      </c>
      <c r="O10" s="295" t="str">
        <f>Mai!O10</f>
        <v>Sonstiges</v>
      </c>
      <c r="P10" s="296" t="str">
        <f>Mai!P10</f>
        <v>Sonstiges</v>
      </c>
    </row>
    <row r="11" spans="1:16" x14ac:dyDescent="0.2">
      <c r="A11" s="89"/>
      <c r="B11" s="90"/>
      <c r="C11" s="286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5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92"/>
      <c r="B23" s="93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265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J41" si="0">SUM(C12:C40)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ref="K41:P41" si="1">SUM(K11:K40)</f>
        <v>0</v>
      </c>
      <c r="L41" s="369">
        <f t="shared" si="1"/>
        <v>0</v>
      </c>
      <c r="M41" s="369">
        <f t="shared" si="1"/>
        <v>0</v>
      </c>
      <c r="N41" s="369">
        <f t="shared" si="1"/>
        <v>0</v>
      </c>
      <c r="O41" s="369">
        <f t="shared" si="1"/>
        <v>0</v>
      </c>
      <c r="P41" s="371">
        <f t="shared" si="1"/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Juni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N21">
    <sortCondition ref="A11:A21"/>
  </sortState>
  <customSheetViews>
    <customSheetView guid="{25DC4F91-A91C-4C3F-9681-9209750ABBEA}">
      <selection activeCell="G12" sqref="G12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 topLeftCell="A79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 topLeftCell="A67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 topLeftCell="A67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 topLeftCell="A67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11" sqref="A11:O38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F34" sqref="F34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 topLeftCell="A61">
      <selection activeCell="G86" sqref="G86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26" sqref="A26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P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33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Juni!C3</f>
        <v>Gehalt 1</v>
      </c>
      <c r="D3" s="330" t="str">
        <f>Juni!D3</f>
        <v>xxx</v>
      </c>
      <c r="E3" s="330" t="str">
        <f>Juni!E3</f>
        <v>xxx</v>
      </c>
      <c r="F3" s="330" t="str">
        <f>Juni!F3</f>
        <v>xxx</v>
      </c>
      <c r="G3" s="330" t="str">
        <f>Juni!G3</f>
        <v>xxx</v>
      </c>
      <c r="H3" s="330" t="str">
        <f>Juni!H3</f>
        <v>xxx</v>
      </c>
      <c r="I3" s="330" t="str">
        <f>Juni!I3</f>
        <v>xxx</v>
      </c>
      <c r="J3" s="330" t="str">
        <f>Juni!J3</f>
        <v>xxx</v>
      </c>
      <c r="K3" s="330" t="str">
        <f>Juni!K3</f>
        <v>xxx</v>
      </c>
      <c r="L3" s="330" t="str">
        <f>Juni!L3</f>
        <v>xxx</v>
      </c>
      <c r="M3" s="330" t="str">
        <f>Juni!M3</f>
        <v>xxx</v>
      </c>
      <c r="N3" s="330" t="str">
        <f>Juni!N3</f>
        <v>xxx</v>
      </c>
      <c r="O3" s="330" t="str">
        <f>Juni!O3</f>
        <v>xxx</v>
      </c>
      <c r="P3" s="331" t="str">
        <f>Juni!P3</f>
        <v>xxx</v>
      </c>
    </row>
    <row r="4" spans="1:16" ht="13.5" thickBot="1" x14ac:dyDescent="0.25">
      <c r="A4" s="326"/>
      <c r="B4" s="327"/>
      <c r="C4" s="319">
        <v>0</v>
      </c>
      <c r="D4" s="319">
        <f>Juni!D4</f>
        <v>0</v>
      </c>
      <c r="E4" s="319">
        <f>Juni!E4</f>
        <v>0</v>
      </c>
      <c r="F4" s="319">
        <f>Juni!F4</f>
        <v>0</v>
      </c>
      <c r="G4" s="319">
        <f>Juni!G4</f>
        <v>0</v>
      </c>
      <c r="H4" s="319">
        <f>Juni!H4</f>
        <v>0</v>
      </c>
      <c r="I4" s="319">
        <f>Juni!I4</f>
        <v>0</v>
      </c>
      <c r="J4" s="319">
        <f>Juni!J4</f>
        <v>0</v>
      </c>
      <c r="K4" s="319">
        <f>Juni!K4</f>
        <v>0</v>
      </c>
      <c r="L4" s="319">
        <f>Juni!L4</f>
        <v>0</v>
      </c>
      <c r="M4" s="319">
        <f>Juni!M4</f>
        <v>0</v>
      </c>
      <c r="N4" s="319">
        <f>Juni!N4</f>
        <v>0</v>
      </c>
      <c r="O4" s="319">
        <f>Juni!O4</f>
        <v>0</v>
      </c>
      <c r="P4" s="328">
        <f>Juni!P4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Juni!C6</f>
        <v>Gas</v>
      </c>
      <c r="D6" s="355" t="str">
        <f>Juni!D6</f>
        <v>Strom</v>
      </c>
      <c r="E6" s="355" t="str">
        <f>Juni!E6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Juni!P6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Juni!P7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Juni!C10</f>
        <v>Telefon</v>
      </c>
      <c r="D10" s="295" t="str">
        <f>Juni!D10</f>
        <v>Lebensmittel</v>
      </c>
      <c r="E10" s="295" t="s">
        <v>76</v>
      </c>
      <c r="F10" s="295" t="s">
        <v>77</v>
      </c>
      <c r="G10" s="295" t="str">
        <f>Juni!G10</f>
        <v>Hygiene</v>
      </c>
      <c r="H10" s="295" t="s">
        <v>78</v>
      </c>
      <c r="I10" s="295" t="str">
        <f>Juni!I10</f>
        <v>Freizeit</v>
      </c>
      <c r="J10" s="295" t="str">
        <f>Juni!J10</f>
        <v>Anschaffungen</v>
      </c>
      <c r="K10" s="295" t="str">
        <f>Juni!K10</f>
        <v>Arzt/Apo</v>
      </c>
      <c r="L10" s="295" t="str">
        <f>Juni!L10</f>
        <v>Versicherungen</v>
      </c>
      <c r="M10" s="295" t="str">
        <f>Juni!M10</f>
        <v>Abfall</v>
      </c>
      <c r="N10" s="295" t="str">
        <f>Juni!N10</f>
        <v>Tabak</v>
      </c>
      <c r="O10" s="295" t="str">
        <f>Juni!O10</f>
        <v>Sonstiges</v>
      </c>
      <c r="P10" s="296" t="str">
        <f>Juni!P10</f>
        <v>Sonstiges</v>
      </c>
    </row>
    <row r="11" spans="1:16" x14ac:dyDescent="0.2">
      <c r="A11" s="89"/>
      <c r="B11" s="90"/>
      <c r="C11" s="286"/>
      <c r="D11" s="54"/>
      <c r="E11" s="54"/>
      <c r="F11" s="54"/>
      <c r="G11" s="54"/>
      <c r="H11" s="54"/>
      <c r="I11" s="54"/>
      <c r="J11" s="54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220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90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265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P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Juli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O28">
    <sortCondition ref="A11:A28"/>
  </sortState>
  <customSheetViews>
    <customSheetView guid="{25DC4F91-A91C-4C3F-9681-9209750ABBEA}">
      <selection activeCell="O8" sqref="O8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 topLeftCell="A82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 topLeftCell="A4">
      <selection activeCell="G13" sqref="G13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A30" sqref="A30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 topLeftCell="A7">
      <selection activeCell="E35" sqref="E35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H35" sqref="H35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179"/>
  <sheetViews>
    <sheetView zoomScaleNormal="100" workbookViewId="0">
      <selection activeCell="E23" sqref="E23"/>
    </sheetView>
  </sheetViews>
  <sheetFormatPr baseColWidth="10" defaultRowHeight="12.75" x14ac:dyDescent="0.2"/>
  <cols>
    <col min="1" max="1" width="11.42578125" style="43"/>
    <col min="2" max="2" width="18.7109375" style="43" customWidth="1"/>
    <col min="3" max="9" width="11.42578125" style="43"/>
    <col min="10" max="10" width="13.28515625" style="43" bestFit="1" customWidth="1"/>
    <col min="11" max="11" width="11.42578125" style="43"/>
    <col min="12" max="12" width="14" style="43" bestFit="1" customWidth="1"/>
    <col min="13" max="16384" width="11.42578125" style="43"/>
  </cols>
  <sheetData>
    <row r="1" spans="1:16" ht="18" x14ac:dyDescent="0.25">
      <c r="A1" s="101" t="s">
        <v>34</v>
      </c>
      <c r="B1" s="207"/>
      <c r="C1" s="208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10"/>
      <c r="O1" s="210"/>
      <c r="P1" s="211"/>
    </row>
    <row r="2" spans="1:16" ht="13.5" thickBot="1" x14ac:dyDescent="0.25">
      <c r="A2" s="212"/>
      <c r="B2" s="213"/>
      <c r="C2" s="214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5"/>
      <c r="O2" s="215"/>
      <c r="P2" s="216"/>
    </row>
    <row r="3" spans="1:16" x14ac:dyDescent="0.2">
      <c r="A3" s="340" t="s">
        <v>40</v>
      </c>
      <c r="B3" s="341"/>
      <c r="C3" s="342" t="str">
        <f>Juli!C3</f>
        <v>Gehalt 1</v>
      </c>
      <c r="D3" s="342" t="str">
        <f>Juli!D3</f>
        <v>xxx</v>
      </c>
      <c r="E3" s="342" t="str">
        <f>Juli!E3</f>
        <v>xxx</v>
      </c>
      <c r="F3" s="342" t="str">
        <f>Juli!F3</f>
        <v>xxx</v>
      </c>
      <c r="G3" s="342" t="str">
        <f>Juli!G3</f>
        <v>xxx</v>
      </c>
      <c r="H3" s="342" t="str">
        <f>Juli!H3</f>
        <v>xxx</v>
      </c>
      <c r="I3" s="342" t="str">
        <f>Juli!I3</f>
        <v>xxx</v>
      </c>
      <c r="J3" s="342" t="str">
        <f>Juli!J3</f>
        <v>xxx</v>
      </c>
      <c r="K3" s="342" t="str">
        <f>Juli!K3</f>
        <v>xxx</v>
      </c>
      <c r="L3" s="342" t="str">
        <f>Juli!L3</f>
        <v>xxx</v>
      </c>
      <c r="M3" s="342" t="str">
        <f>Juli!M3</f>
        <v>xxx</v>
      </c>
      <c r="N3" s="342" t="str">
        <f>Juli!N3</f>
        <v>xxx</v>
      </c>
      <c r="O3" s="342" t="str">
        <f>Juli!O3</f>
        <v>xxx</v>
      </c>
      <c r="P3" s="343" t="str">
        <f>Juli!P3</f>
        <v>xxx</v>
      </c>
    </row>
    <row r="4" spans="1:16" ht="13.5" thickBot="1" x14ac:dyDescent="0.25">
      <c r="A4" s="344"/>
      <c r="B4" s="345"/>
      <c r="C4" s="346">
        <v>0</v>
      </c>
      <c r="D4" s="346">
        <f>Juli!D4</f>
        <v>0</v>
      </c>
      <c r="E4" s="346">
        <f>Juli!E4</f>
        <v>0</v>
      </c>
      <c r="F4" s="346">
        <f>Juli!F4</f>
        <v>0</v>
      </c>
      <c r="G4" s="346">
        <f>Juli!G4</f>
        <v>0</v>
      </c>
      <c r="H4" s="346">
        <f>Juli!H4</f>
        <v>0</v>
      </c>
      <c r="I4" s="346">
        <f>Juli!I4</f>
        <v>0</v>
      </c>
      <c r="J4" s="346">
        <f>Juli!J4</f>
        <v>0</v>
      </c>
      <c r="K4" s="346">
        <f>Juli!K4</f>
        <v>0</v>
      </c>
      <c r="L4" s="346">
        <f>Juli!L4</f>
        <v>0</v>
      </c>
      <c r="M4" s="346">
        <f>Juli!M4</f>
        <v>0</v>
      </c>
      <c r="N4" s="346">
        <f>Juli!N4</f>
        <v>0</v>
      </c>
      <c r="O4" s="346">
        <f>Juli!O4</f>
        <v>0</v>
      </c>
      <c r="P4" s="347">
        <f>Juli!P4</f>
        <v>0</v>
      </c>
    </row>
    <row r="5" spans="1:16" ht="13.5" thickBot="1" x14ac:dyDescent="0.25">
      <c r="A5" s="212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6"/>
    </row>
    <row r="6" spans="1:16" ht="24" x14ac:dyDescent="0.2">
      <c r="A6" s="306" t="s">
        <v>48</v>
      </c>
      <c r="B6" s="362"/>
      <c r="C6" s="363" t="str">
        <f>Juli!C6</f>
        <v>Gas</v>
      </c>
      <c r="D6" s="363" t="str">
        <f>Juli!D6</f>
        <v>Strom</v>
      </c>
      <c r="E6" s="363" t="str">
        <f>Juli!E6</f>
        <v>Wasser
Abwasser</v>
      </c>
      <c r="F6" s="363" t="s">
        <v>70</v>
      </c>
      <c r="G6" s="363" t="s">
        <v>70</v>
      </c>
      <c r="H6" s="363" t="s">
        <v>70</v>
      </c>
      <c r="I6" s="363" t="s">
        <v>70</v>
      </c>
      <c r="J6" s="363" t="s">
        <v>70</v>
      </c>
      <c r="K6" s="363" t="s">
        <v>70</v>
      </c>
      <c r="L6" s="363" t="s">
        <v>70</v>
      </c>
      <c r="M6" s="363" t="s">
        <v>70</v>
      </c>
      <c r="N6" s="363" t="s">
        <v>70</v>
      </c>
      <c r="O6" s="363" t="s">
        <v>70</v>
      </c>
      <c r="P6" s="364" t="str">
        <f>Juli!P6</f>
        <v>xxx</v>
      </c>
    </row>
    <row r="7" spans="1:16" ht="13.5" thickBot="1" x14ac:dyDescent="0.25">
      <c r="A7" s="344"/>
      <c r="B7" s="345"/>
      <c r="C7" s="365">
        <v>0</v>
      </c>
      <c r="D7" s="365">
        <v>0</v>
      </c>
      <c r="E7" s="365">
        <v>0</v>
      </c>
      <c r="F7" s="365">
        <v>0</v>
      </c>
      <c r="G7" s="365">
        <v>0</v>
      </c>
      <c r="H7" s="365">
        <v>0</v>
      </c>
      <c r="I7" s="365">
        <v>0</v>
      </c>
      <c r="J7" s="365">
        <v>0</v>
      </c>
      <c r="K7" s="365">
        <v>0</v>
      </c>
      <c r="L7" s="365">
        <v>0</v>
      </c>
      <c r="M7" s="365">
        <v>0</v>
      </c>
      <c r="N7" s="365">
        <v>0</v>
      </c>
      <c r="O7" s="365">
        <v>0</v>
      </c>
      <c r="P7" s="366">
        <f>Juli!P7</f>
        <v>0</v>
      </c>
    </row>
    <row r="8" spans="1:16" x14ac:dyDescent="0.2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6"/>
    </row>
    <row r="9" spans="1:16" ht="13.5" thickBot="1" x14ac:dyDescent="0.25">
      <c r="A9" s="217" t="s">
        <v>49</v>
      </c>
      <c r="B9" s="50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6"/>
    </row>
    <row r="10" spans="1:16" ht="24" x14ac:dyDescent="0.2">
      <c r="A10" s="260" t="s">
        <v>50</v>
      </c>
      <c r="B10" s="261" t="s">
        <v>51</v>
      </c>
      <c r="C10" s="306" t="str">
        <f>Juli!C10</f>
        <v>Telefon</v>
      </c>
      <c r="D10" s="307" t="str">
        <f>Juli!D10</f>
        <v>Lebensmittel</v>
      </c>
      <c r="E10" s="307" t="s">
        <v>76</v>
      </c>
      <c r="F10" s="307" t="s">
        <v>77</v>
      </c>
      <c r="G10" s="295" t="s">
        <v>64</v>
      </c>
      <c r="H10" s="307" t="s">
        <v>78</v>
      </c>
      <c r="I10" s="307" t="str">
        <f>Juli!I10</f>
        <v>Freizeit</v>
      </c>
      <c r="J10" s="307" t="str">
        <f>Juli!J10</f>
        <v>Anschaffungen</v>
      </c>
      <c r="K10" s="307" t="str">
        <f>Juli!K10</f>
        <v>Arzt/Apo</v>
      </c>
      <c r="L10" s="307" t="str">
        <f>Juli!L10</f>
        <v>Versicherungen</v>
      </c>
      <c r="M10" s="307" t="str">
        <f>Juli!M10</f>
        <v>Abfall</v>
      </c>
      <c r="N10" s="307" t="str">
        <f>Juli!N10</f>
        <v>Tabak</v>
      </c>
      <c r="O10" s="307" t="str">
        <f>Juli!O10</f>
        <v>Sonstiges</v>
      </c>
      <c r="P10" s="308" t="str">
        <f>Juli!P10</f>
        <v>Sonstiges</v>
      </c>
    </row>
    <row r="11" spans="1:16" x14ac:dyDescent="0.2">
      <c r="A11" s="87"/>
      <c r="B11" s="88"/>
      <c r="C11" s="309"/>
      <c r="D11" s="62"/>
      <c r="E11" s="62"/>
      <c r="F11" s="62"/>
      <c r="G11" s="62"/>
      <c r="H11" s="62"/>
      <c r="I11" s="63"/>
      <c r="J11" s="64"/>
      <c r="K11" s="64"/>
      <c r="L11" s="62"/>
      <c r="M11" s="62"/>
      <c r="N11" s="65"/>
      <c r="O11" s="65"/>
      <c r="P11" s="218"/>
    </row>
    <row r="12" spans="1:16" x14ac:dyDescent="0.2">
      <c r="A12" s="89"/>
      <c r="B12" s="88"/>
      <c r="C12" s="309"/>
      <c r="D12" s="62"/>
      <c r="E12" s="62"/>
      <c r="F12" s="62"/>
      <c r="G12" s="62"/>
      <c r="H12" s="63"/>
      <c r="I12" s="63"/>
      <c r="J12" s="63"/>
      <c r="K12" s="63"/>
      <c r="L12" s="63"/>
      <c r="M12" s="63"/>
      <c r="N12" s="66"/>
      <c r="O12" s="66"/>
      <c r="P12" s="219"/>
    </row>
    <row r="13" spans="1:16" x14ac:dyDescent="0.2">
      <c r="A13" s="220"/>
      <c r="B13" s="90"/>
      <c r="C13" s="310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6"/>
      <c r="O13" s="66"/>
      <c r="P13" s="219"/>
    </row>
    <row r="14" spans="1:16" x14ac:dyDescent="0.2">
      <c r="A14" s="89"/>
      <c r="B14" s="90"/>
      <c r="C14" s="310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6"/>
      <c r="O14" s="66"/>
      <c r="P14" s="219"/>
    </row>
    <row r="15" spans="1:16" x14ac:dyDescent="0.2">
      <c r="A15" s="89"/>
      <c r="B15" s="90"/>
      <c r="C15" s="310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6"/>
      <c r="O15" s="66"/>
      <c r="P15" s="219"/>
    </row>
    <row r="16" spans="1:16" x14ac:dyDescent="0.2">
      <c r="A16" s="89"/>
      <c r="B16" s="90"/>
      <c r="C16" s="310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6"/>
      <c r="O16" s="66"/>
      <c r="P16" s="219"/>
    </row>
    <row r="17" spans="1:16" x14ac:dyDescent="0.2">
      <c r="A17" s="89"/>
      <c r="B17" s="90"/>
      <c r="C17" s="310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6"/>
      <c r="O17" s="66"/>
      <c r="P17" s="219"/>
    </row>
    <row r="18" spans="1:16" x14ac:dyDescent="0.2">
      <c r="A18" s="89"/>
      <c r="B18" s="90"/>
      <c r="C18" s="310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6"/>
      <c r="O18" s="66"/>
      <c r="P18" s="219"/>
    </row>
    <row r="19" spans="1:16" x14ac:dyDescent="0.2">
      <c r="A19" s="89"/>
      <c r="B19" s="90"/>
      <c r="C19" s="310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6"/>
      <c r="O19" s="66"/>
      <c r="P19" s="219"/>
    </row>
    <row r="20" spans="1:16" x14ac:dyDescent="0.2">
      <c r="A20" s="89"/>
      <c r="B20" s="90"/>
      <c r="C20" s="310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6"/>
      <c r="O20" s="66"/>
      <c r="P20" s="219"/>
    </row>
    <row r="21" spans="1:16" x14ac:dyDescent="0.2">
      <c r="A21" s="89"/>
      <c r="B21" s="90"/>
      <c r="C21" s="310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6"/>
      <c r="O21" s="66"/>
      <c r="P21" s="219"/>
    </row>
    <row r="22" spans="1:16" x14ac:dyDescent="0.2">
      <c r="A22" s="89"/>
      <c r="B22" s="90"/>
      <c r="C22" s="310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6"/>
      <c r="O22" s="66"/>
      <c r="P22" s="219"/>
    </row>
    <row r="23" spans="1:16" x14ac:dyDescent="0.2">
      <c r="A23" s="89"/>
      <c r="B23" s="90"/>
      <c r="C23" s="310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6"/>
      <c r="O23" s="66"/>
      <c r="P23" s="219"/>
    </row>
    <row r="24" spans="1:16" x14ac:dyDescent="0.2">
      <c r="A24" s="89"/>
      <c r="B24" s="90"/>
      <c r="C24" s="310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6"/>
      <c r="O24" s="66"/>
      <c r="P24" s="219"/>
    </row>
    <row r="25" spans="1:16" x14ac:dyDescent="0.2">
      <c r="A25" s="89"/>
      <c r="B25" s="90"/>
      <c r="C25" s="310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6"/>
      <c r="O25" s="66"/>
      <c r="P25" s="219"/>
    </row>
    <row r="26" spans="1:16" x14ac:dyDescent="0.2">
      <c r="A26" s="89"/>
      <c r="B26" s="90"/>
      <c r="C26" s="310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6"/>
      <c r="O26" s="66"/>
      <c r="P26" s="219"/>
    </row>
    <row r="27" spans="1:16" x14ac:dyDescent="0.2">
      <c r="A27" s="89"/>
      <c r="B27" s="90"/>
      <c r="C27" s="310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6"/>
      <c r="O27" s="66"/>
      <c r="P27" s="219"/>
    </row>
    <row r="28" spans="1:16" x14ac:dyDescent="0.2">
      <c r="A28" s="89"/>
      <c r="B28" s="90"/>
      <c r="C28" s="310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6"/>
      <c r="P28" s="219"/>
    </row>
    <row r="29" spans="1:16" x14ac:dyDescent="0.2">
      <c r="A29" s="89"/>
      <c r="B29" s="90"/>
      <c r="C29" s="310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6"/>
      <c r="O29" s="66"/>
      <c r="P29" s="219"/>
    </row>
    <row r="30" spans="1:16" x14ac:dyDescent="0.2">
      <c r="A30" s="89"/>
      <c r="B30" s="90"/>
      <c r="C30" s="310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6"/>
      <c r="O30" s="66"/>
      <c r="P30" s="219"/>
    </row>
    <row r="31" spans="1:16" x14ac:dyDescent="0.2">
      <c r="A31" s="89"/>
      <c r="B31" s="90"/>
      <c r="C31" s="310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6"/>
      <c r="O31" s="66"/>
      <c r="P31" s="219"/>
    </row>
    <row r="32" spans="1:16" x14ac:dyDescent="0.2">
      <c r="A32" s="89"/>
      <c r="B32" s="90"/>
      <c r="C32" s="310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6"/>
      <c r="O32" s="66"/>
      <c r="P32" s="219"/>
    </row>
    <row r="33" spans="1:16" x14ac:dyDescent="0.2">
      <c r="A33" s="89"/>
      <c r="B33" s="90"/>
      <c r="C33" s="310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6"/>
      <c r="O33" s="66"/>
      <c r="P33" s="219"/>
    </row>
    <row r="34" spans="1:16" x14ac:dyDescent="0.2">
      <c r="A34" s="89"/>
      <c r="B34" s="90"/>
      <c r="C34" s="310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6"/>
      <c r="O34" s="66"/>
      <c r="P34" s="219"/>
    </row>
    <row r="35" spans="1:16" x14ac:dyDescent="0.2">
      <c r="A35" s="89"/>
      <c r="B35" s="90"/>
      <c r="C35" s="310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6"/>
      <c r="O35" s="66"/>
      <c r="P35" s="219"/>
    </row>
    <row r="36" spans="1:16" x14ac:dyDescent="0.2">
      <c r="A36" s="89"/>
      <c r="B36" s="90"/>
      <c r="C36" s="310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6"/>
      <c r="O36" s="66"/>
      <c r="P36" s="219"/>
    </row>
    <row r="37" spans="1:16" x14ac:dyDescent="0.2">
      <c r="A37" s="221"/>
      <c r="B37" s="262"/>
      <c r="C37" s="310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6"/>
      <c r="O37" s="66"/>
      <c r="P37" s="219"/>
    </row>
    <row r="38" spans="1:16" x14ac:dyDescent="0.2">
      <c r="A38" s="221"/>
      <c r="B38" s="262"/>
      <c r="C38" s="310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6"/>
      <c r="O38" s="66"/>
      <c r="P38" s="219"/>
    </row>
    <row r="39" spans="1:16" x14ac:dyDescent="0.2">
      <c r="A39" s="221"/>
      <c r="B39" s="262"/>
      <c r="C39" s="310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6"/>
      <c r="O39" s="66"/>
      <c r="P39" s="219"/>
    </row>
    <row r="40" spans="1:16" ht="13.5" thickBot="1" x14ac:dyDescent="0.25">
      <c r="A40" s="263"/>
      <c r="B40" s="264"/>
      <c r="C40" s="311"/>
      <c r="D40" s="312"/>
      <c r="E40" s="312"/>
      <c r="F40" s="312"/>
      <c r="G40" s="312"/>
      <c r="H40" s="312"/>
      <c r="I40" s="312"/>
      <c r="J40" s="312"/>
      <c r="K40" s="312"/>
      <c r="L40" s="312"/>
      <c r="M40" s="312"/>
      <c r="N40" s="313"/>
      <c r="O40" s="313"/>
      <c r="P40" s="314"/>
    </row>
    <row r="41" spans="1:16" x14ac:dyDescent="0.2">
      <c r="A41" s="367" t="s">
        <v>71</v>
      </c>
      <c r="B41" s="368"/>
      <c r="C41" s="369">
        <f t="shared" ref="C41:P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88"/>
      <c r="B42" s="389"/>
      <c r="C42" s="390"/>
      <c r="D42" s="391"/>
      <c r="E42" s="391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2"/>
    </row>
    <row r="43" spans="1:16" ht="13.5" thickBot="1" x14ac:dyDescent="0.25">
      <c r="A43" s="222"/>
      <c r="B43" s="223"/>
      <c r="C43" s="224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6"/>
    </row>
    <row r="44" spans="1:16" ht="15.75" x14ac:dyDescent="0.25">
      <c r="A44" s="427" t="s">
        <v>72</v>
      </c>
      <c r="B44" s="428"/>
      <c r="C44" s="429"/>
      <c r="D44" s="430" t="str">
        <f>A1</f>
        <v>August</v>
      </c>
      <c r="E44" s="224"/>
      <c r="F44" s="227"/>
      <c r="G44" s="227"/>
      <c r="H44" s="227"/>
      <c r="I44" s="227"/>
      <c r="J44" s="224"/>
      <c r="K44" s="224"/>
      <c r="L44" s="227"/>
      <c r="M44" s="224"/>
      <c r="N44" s="224"/>
      <c r="O44" s="224"/>
      <c r="P44" s="228"/>
    </row>
    <row r="45" spans="1:16" x14ac:dyDescent="0.2">
      <c r="A45" s="229" t="s">
        <v>57</v>
      </c>
      <c r="B45" s="230"/>
      <c r="C45" s="76"/>
      <c r="D45" s="431">
        <f>SUM(C41:P41)</f>
        <v>0</v>
      </c>
      <c r="E45" s="224"/>
      <c r="F45" s="231"/>
      <c r="G45" s="231"/>
      <c r="H45" s="232"/>
      <c r="I45" s="233"/>
      <c r="J45" s="224"/>
      <c r="K45" s="224"/>
      <c r="L45" s="233"/>
      <c r="M45" s="224"/>
      <c r="N45" s="224"/>
      <c r="O45" s="224"/>
      <c r="P45" s="228"/>
    </row>
    <row r="46" spans="1:16" x14ac:dyDescent="0.2">
      <c r="A46" s="229" t="s">
        <v>58</v>
      </c>
      <c r="B46" s="230"/>
      <c r="C46" s="76"/>
      <c r="D46" s="432">
        <f>SUM(C7:P7)</f>
        <v>0</v>
      </c>
      <c r="E46" s="224"/>
      <c r="F46" s="231"/>
      <c r="G46" s="231"/>
      <c r="H46" s="232"/>
      <c r="I46" s="233"/>
      <c r="J46" s="224"/>
      <c r="K46" s="224"/>
      <c r="L46" s="233"/>
      <c r="M46" s="224"/>
      <c r="N46" s="224"/>
      <c r="O46" s="224"/>
      <c r="P46" s="228"/>
    </row>
    <row r="47" spans="1:16" x14ac:dyDescent="0.2">
      <c r="A47" s="234" t="s">
        <v>59</v>
      </c>
      <c r="B47" s="235"/>
      <c r="C47" s="77"/>
      <c r="D47" s="433">
        <f>D46+D45</f>
        <v>0</v>
      </c>
      <c r="E47" s="227"/>
      <c r="F47" s="236"/>
      <c r="G47" s="236"/>
      <c r="H47" s="227"/>
      <c r="I47" s="237"/>
      <c r="J47" s="227"/>
      <c r="K47" s="227"/>
      <c r="L47" s="237"/>
      <c r="M47" s="227"/>
      <c r="N47" s="227"/>
      <c r="O47" s="227"/>
      <c r="P47" s="238"/>
    </row>
    <row r="48" spans="1:16" x14ac:dyDescent="0.2">
      <c r="A48" s="234" t="s">
        <v>60</v>
      </c>
      <c r="B48" s="235"/>
      <c r="C48" s="77"/>
      <c r="D48" s="434">
        <f>SUM(C4:P4)</f>
        <v>0</v>
      </c>
      <c r="E48" s="232"/>
      <c r="F48" s="236"/>
      <c r="G48" s="236"/>
      <c r="H48" s="227"/>
      <c r="I48" s="237"/>
      <c r="J48" s="232"/>
      <c r="K48" s="232"/>
      <c r="L48" s="237"/>
      <c r="M48" s="232"/>
      <c r="N48" s="232"/>
      <c r="O48" s="232"/>
      <c r="P48" s="239"/>
    </row>
    <row r="49" spans="1:16" ht="13.5" thickBot="1" x14ac:dyDescent="0.25">
      <c r="A49" s="466"/>
      <c r="B49" s="467"/>
      <c r="C49" s="468"/>
      <c r="D49" s="469"/>
      <c r="E49" s="224"/>
      <c r="F49" s="223"/>
      <c r="G49" s="223"/>
      <c r="H49" s="224"/>
      <c r="I49" s="225"/>
      <c r="J49" s="224"/>
      <c r="K49" s="224"/>
      <c r="L49" s="225"/>
      <c r="M49" s="224"/>
      <c r="N49" s="224"/>
      <c r="O49" s="224"/>
      <c r="P49" s="228"/>
    </row>
    <row r="50" spans="1:16" ht="16.5" thickBot="1" x14ac:dyDescent="0.3">
      <c r="A50" s="455" t="s">
        <v>61</v>
      </c>
      <c r="B50" s="456"/>
      <c r="C50" s="457"/>
      <c r="D50" s="458">
        <f>D48-D47</f>
        <v>0</v>
      </c>
      <c r="E50" s="224"/>
      <c r="F50" s="240"/>
      <c r="G50" s="240"/>
      <c r="H50" s="241"/>
      <c r="I50" s="242"/>
      <c r="J50" s="224"/>
      <c r="K50" s="224"/>
      <c r="L50" s="242"/>
      <c r="M50" s="224"/>
      <c r="N50" s="224"/>
      <c r="O50" s="224"/>
      <c r="P50" s="228"/>
    </row>
    <row r="51" spans="1:16" ht="13.5" thickBot="1" x14ac:dyDescent="0.25">
      <c r="A51" s="243"/>
      <c r="B51" s="244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6"/>
    </row>
    <row r="52" spans="1:16" x14ac:dyDescent="0.2">
      <c r="A52" s="44"/>
      <c r="B52" s="44"/>
      <c r="J52" s="45"/>
      <c r="K52" s="45"/>
    </row>
    <row r="53" spans="1:16" x14ac:dyDescent="0.2">
      <c r="A53" s="44"/>
      <c r="B53" s="44"/>
      <c r="J53" s="45"/>
      <c r="K53" s="45"/>
    </row>
    <row r="54" spans="1:16" x14ac:dyDescent="0.2">
      <c r="A54" s="44"/>
      <c r="B54" s="44"/>
      <c r="J54" s="45"/>
      <c r="K54" s="45"/>
    </row>
    <row r="55" spans="1:16" x14ac:dyDescent="0.2">
      <c r="A55" s="44"/>
      <c r="B55" s="44"/>
      <c r="J55" s="45"/>
      <c r="K55" s="45"/>
    </row>
    <row r="56" spans="1:16" x14ac:dyDescent="0.2">
      <c r="A56" s="44"/>
      <c r="B56" s="44"/>
      <c r="E56" s="46"/>
      <c r="J56" s="45"/>
      <c r="K56" s="45"/>
    </row>
    <row r="57" spans="1:16" x14ac:dyDescent="0.2">
      <c r="A57" s="44"/>
      <c r="B57" s="44"/>
      <c r="J57" s="45"/>
      <c r="K57" s="45"/>
    </row>
    <row r="58" spans="1:16" x14ac:dyDescent="0.2">
      <c r="A58" s="44"/>
      <c r="B58" s="44"/>
      <c r="J58" s="45"/>
      <c r="K58" s="45"/>
    </row>
    <row r="59" spans="1:16" x14ac:dyDescent="0.2">
      <c r="A59" s="44"/>
      <c r="B59" s="44"/>
      <c r="J59" s="45"/>
      <c r="K59" s="45"/>
    </row>
    <row r="60" spans="1:16" x14ac:dyDescent="0.2">
      <c r="A60" s="44"/>
      <c r="B60" s="44"/>
      <c r="J60" s="45"/>
      <c r="K60" s="45"/>
    </row>
    <row r="61" spans="1:16" x14ac:dyDescent="0.2">
      <c r="A61" s="44"/>
      <c r="B61" s="44"/>
      <c r="J61" s="45"/>
      <c r="K61" s="45"/>
    </row>
    <row r="62" spans="1:16" x14ac:dyDescent="0.2">
      <c r="A62" s="44"/>
      <c r="B62" s="44"/>
      <c r="J62" s="45"/>
      <c r="K62" s="45"/>
    </row>
    <row r="63" spans="1:16" x14ac:dyDescent="0.2">
      <c r="A63" s="44"/>
      <c r="B63" s="44"/>
      <c r="J63" s="45"/>
      <c r="K63" s="45"/>
    </row>
    <row r="64" spans="1:16" x14ac:dyDescent="0.2">
      <c r="A64" s="44"/>
      <c r="B64" s="44"/>
      <c r="J64" s="45"/>
      <c r="K64" s="45"/>
    </row>
    <row r="65" spans="1:11" x14ac:dyDescent="0.2">
      <c r="A65" s="44"/>
      <c r="B65" s="44"/>
      <c r="J65" s="45"/>
      <c r="K65" s="45"/>
    </row>
    <row r="66" spans="1:11" x14ac:dyDescent="0.2">
      <c r="A66" s="44"/>
      <c r="B66" s="44"/>
      <c r="J66" s="45"/>
      <c r="K66" s="45"/>
    </row>
    <row r="67" spans="1:11" x14ac:dyDescent="0.2">
      <c r="A67" s="44"/>
      <c r="B67" s="44"/>
      <c r="J67" s="45"/>
      <c r="K67" s="45"/>
    </row>
    <row r="68" spans="1:11" x14ac:dyDescent="0.2">
      <c r="A68" s="44"/>
      <c r="B68" s="44"/>
      <c r="J68" s="45"/>
      <c r="K68" s="45"/>
    </row>
    <row r="69" spans="1:11" x14ac:dyDescent="0.2">
      <c r="A69" s="44"/>
      <c r="B69" s="44"/>
      <c r="J69" s="45"/>
      <c r="K69" s="45"/>
    </row>
    <row r="70" spans="1:11" x14ac:dyDescent="0.2">
      <c r="A70" s="44"/>
      <c r="B70" s="44"/>
      <c r="J70" s="45"/>
      <c r="K70" s="45"/>
    </row>
    <row r="71" spans="1:11" x14ac:dyDescent="0.2">
      <c r="A71" s="44"/>
      <c r="B71" s="44"/>
      <c r="J71" s="45"/>
      <c r="K71" s="45"/>
    </row>
    <row r="72" spans="1:11" x14ac:dyDescent="0.2">
      <c r="A72" s="44"/>
      <c r="B72" s="44"/>
      <c r="J72" s="45"/>
      <c r="K72" s="45"/>
    </row>
    <row r="73" spans="1:11" x14ac:dyDescent="0.2">
      <c r="A73" s="44"/>
      <c r="B73" s="44"/>
      <c r="J73" s="45"/>
      <c r="K73" s="45"/>
    </row>
    <row r="74" spans="1:11" x14ac:dyDescent="0.2">
      <c r="A74" s="44"/>
      <c r="B74" s="44"/>
      <c r="J74" s="45"/>
      <c r="K74" s="45"/>
    </row>
    <row r="75" spans="1:11" x14ac:dyDescent="0.2">
      <c r="A75" s="44"/>
      <c r="B75" s="44"/>
      <c r="J75" s="45"/>
      <c r="K75" s="45"/>
    </row>
    <row r="76" spans="1:11" x14ac:dyDescent="0.2">
      <c r="A76" s="44"/>
      <c r="B76" s="44"/>
      <c r="J76" s="45"/>
      <c r="K76" s="45"/>
    </row>
    <row r="77" spans="1:11" x14ac:dyDescent="0.2">
      <c r="A77" s="44"/>
      <c r="B77" s="44"/>
      <c r="J77" s="45"/>
      <c r="K77" s="45"/>
    </row>
    <row r="78" spans="1:11" x14ac:dyDescent="0.2">
      <c r="A78" s="44"/>
      <c r="B78" s="44"/>
      <c r="J78" s="45"/>
      <c r="K78" s="45"/>
    </row>
    <row r="79" spans="1:11" x14ac:dyDescent="0.2">
      <c r="A79" s="44"/>
      <c r="B79" s="44"/>
      <c r="J79" s="45"/>
      <c r="K79" s="45"/>
    </row>
    <row r="80" spans="1:11" x14ac:dyDescent="0.2">
      <c r="A80" s="44"/>
      <c r="B80" s="44"/>
      <c r="J80" s="45"/>
      <c r="K80" s="45"/>
    </row>
    <row r="81" spans="1:11" x14ac:dyDescent="0.2">
      <c r="A81" s="44"/>
      <c r="B81" s="44"/>
      <c r="J81" s="45"/>
      <c r="K81" s="45"/>
    </row>
    <row r="82" spans="1:11" x14ac:dyDescent="0.2">
      <c r="A82" s="44"/>
      <c r="B82" s="44"/>
      <c r="J82" s="45"/>
      <c r="K82" s="45"/>
    </row>
    <row r="83" spans="1:11" x14ac:dyDescent="0.2">
      <c r="A83" s="44"/>
      <c r="B83" s="44"/>
      <c r="J83" s="45"/>
      <c r="K83" s="45"/>
    </row>
    <row r="84" spans="1:11" x14ac:dyDescent="0.2">
      <c r="A84" s="44"/>
      <c r="B84" s="44"/>
      <c r="J84" s="45"/>
      <c r="K84" s="45"/>
    </row>
    <row r="85" spans="1:11" x14ac:dyDescent="0.2">
      <c r="A85" s="44"/>
      <c r="B85" s="44"/>
      <c r="J85" s="45"/>
      <c r="K85" s="45"/>
    </row>
    <row r="86" spans="1:11" x14ac:dyDescent="0.2">
      <c r="A86" s="44"/>
      <c r="B86" s="44"/>
      <c r="J86" s="45"/>
      <c r="K86" s="45"/>
    </row>
    <row r="87" spans="1:11" x14ac:dyDescent="0.2">
      <c r="A87" s="44"/>
      <c r="B87" s="44"/>
      <c r="J87" s="45"/>
      <c r="K87" s="45"/>
    </row>
    <row r="88" spans="1:11" x14ac:dyDescent="0.2">
      <c r="A88" s="44"/>
      <c r="B88" s="44"/>
      <c r="J88" s="45"/>
      <c r="K88" s="45"/>
    </row>
    <row r="89" spans="1:11" x14ac:dyDescent="0.2">
      <c r="A89" s="44"/>
      <c r="B89" s="44"/>
      <c r="J89" s="45"/>
      <c r="K89" s="45"/>
    </row>
    <row r="90" spans="1:11" x14ac:dyDescent="0.2">
      <c r="A90" s="44"/>
      <c r="B90" s="44"/>
      <c r="J90" s="45"/>
      <c r="K90" s="45"/>
    </row>
    <row r="91" spans="1:11" x14ac:dyDescent="0.2">
      <c r="A91" s="44"/>
      <c r="B91" s="44"/>
      <c r="J91" s="45"/>
      <c r="K91" s="45"/>
    </row>
    <row r="92" spans="1:11" x14ac:dyDescent="0.2">
      <c r="A92" s="44"/>
      <c r="B92" s="44"/>
      <c r="J92" s="45"/>
      <c r="K92" s="45"/>
    </row>
    <row r="93" spans="1:11" x14ac:dyDescent="0.2">
      <c r="A93" s="44"/>
      <c r="B93" s="44"/>
      <c r="J93" s="45"/>
      <c r="K93" s="45"/>
    </row>
    <row r="94" spans="1:11" x14ac:dyDescent="0.2">
      <c r="A94" s="44"/>
      <c r="B94" s="44"/>
      <c r="J94" s="45"/>
      <c r="K94" s="45"/>
    </row>
    <row r="95" spans="1:11" x14ac:dyDescent="0.2">
      <c r="A95" s="44"/>
      <c r="B95" s="44"/>
      <c r="J95" s="45"/>
      <c r="K95" s="45"/>
    </row>
    <row r="96" spans="1:11" x14ac:dyDescent="0.2">
      <c r="A96" s="44"/>
      <c r="B96" s="44"/>
      <c r="J96" s="45"/>
      <c r="K96" s="45"/>
    </row>
    <row r="97" spans="1:11" x14ac:dyDescent="0.2">
      <c r="A97" s="44"/>
      <c r="B97" s="44"/>
      <c r="J97" s="45"/>
      <c r="K97" s="45"/>
    </row>
    <row r="98" spans="1:11" x14ac:dyDescent="0.2">
      <c r="A98" s="44"/>
      <c r="B98" s="44"/>
      <c r="J98" s="45"/>
      <c r="K98" s="45"/>
    </row>
    <row r="99" spans="1:11" x14ac:dyDescent="0.2">
      <c r="A99" s="44"/>
      <c r="B99" s="44"/>
      <c r="J99" s="45"/>
      <c r="K99" s="45"/>
    </row>
    <row r="100" spans="1:11" x14ac:dyDescent="0.2">
      <c r="A100" s="44"/>
      <c r="B100" s="44"/>
      <c r="J100" s="45"/>
      <c r="K100" s="45"/>
    </row>
    <row r="101" spans="1:11" x14ac:dyDescent="0.2">
      <c r="A101" s="44"/>
      <c r="B101" s="44"/>
      <c r="J101" s="45"/>
      <c r="K101" s="45"/>
    </row>
    <row r="102" spans="1:11" x14ac:dyDescent="0.2">
      <c r="A102" s="44"/>
      <c r="B102" s="44"/>
      <c r="J102" s="45"/>
      <c r="K102" s="45"/>
    </row>
    <row r="103" spans="1:11" x14ac:dyDescent="0.2">
      <c r="A103" s="44"/>
      <c r="B103" s="44"/>
      <c r="J103" s="45"/>
      <c r="K103" s="45"/>
    </row>
    <row r="104" spans="1:11" x14ac:dyDescent="0.2">
      <c r="A104" s="44"/>
      <c r="B104" s="44"/>
      <c r="J104" s="45"/>
      <c r="K104" s="45"/>
    </row>
    <row r="105" spans="1:11" x14ac:dyDescent="0.2">
      <c r="A105" s="44"/>
      <c r="B105" s="44"/>
      <c r="J105" s="45"/>
      <c r="K105" s="45"/>
    </row>
    <row r="106" spans="1:11" x14ac:dyDescent="0.2">
      <c r="A106" s="44"/>
      <c r="B106" s="44"/>
      <c r="J106" s="45"/>
      <c r="K106" s="45"/>
    </row>
    <row r="107" spans="1:11" x14ac:dyDescent="0.2">
      <c r="A107" s="44"/>
      <c r="B107" s="44"/>
      <c r="J107" s="45"/>
      <c r="K107" s="45"/>
    </row>
    <row r="108" spans="1:11" x14ac:dyDescent="0.2">
      <c r="A108" s="44"/>
      <c r="B108" s="44"/>
      <c r="J108" s="45"/>
      <c r="K108" s="45"/>
    </row>
    <row r="109" spans="1:11" x14ac:dyDescent="0.2">
      <c r="A109" s="44"/>
      <c r="B109" s="44"/>
      <c r="J109" s="45"/>
      <c r="K109" s="45"/>
    </row>
    <row r="110" spans="1:11" x14ac:dyDescent="0.2">
      <c r="A110" s="44"/>
      <c r="B110" s="44"/>
      <c r="J110" s="45"/>
      <c r="K110" s="45"/>
    </row>
    <row r="111" spans="1:11" x14ac:dyDescent="0.2">
      <c r="A111" s="44"/>
      <c r="B111" s="44"/>
      <c r="J111" s="45"/>
      <c r="K111" s="45"/>
    </row>
    <row r="112" spans="1:11" x14ac:dyDescent="0.2">
      <c r="A112" s="44"/>
      <c r="B112" s="44"/>
      <c r="J112" s="45"/>
      <c r="K112" s="45"/>
    </row>
    <row r="113" spans="1:11" x14ac:dyDescent="0.2">
      <c r="A113" s="44"/>
      <c r="B113" s="44"/>
      <c r="J113" s="45"/>
      <c r="K113" s="45"/>
    </row>
    <row r="114" spans="1:11" x14ac:dyDescent="0.2">
      <c r="A114" s="44"/>
      <c r="B114" s="44"/>
      <c r="J114" s="45"/>
      <c r="K114" s="45"/>
    </row>
    <row r="115" spans="1:11" x14ac:dyDescent="0.2">
      <c r="A115" s="44"/>
      <c r="B115" s="44"/>
      <c r="J115" s="45"/>
      <c r="K115" s="45"/>
    </row>
    <row r="116" spans="1:11" x14ac:dyDescent="0.2">
      <c r="A116" s="44"/>
      <c r="B116" s="44"/>
      <c r="J116" s="45"/>
      <c r="K116" s="45"/>
    </row>
    <row r="117" spans="1:11" x14ac:dyDescent="0.2">
      <c r="A117" s="44"/>
      <c r="B117" s="44"/>
      <c r="J117" s="45"/>
      <c r="K117" s="45"/>
    </row>
    <row r="118" spans="1:11" x14ac:dyDescent="0.2">
      <c r="A118" s="44"/>
      <c r="B118" s="44"/>
      <c r="J118" s="45"/>
      <c r="K118" s="45"/>
    </row>
    <row r="119" spans="1:11" x14ac:dyDescent="0.2">
      <c r="A119" s="44"/>
      <c r="B119" s="44"/>
      <c r="J119" s="45"/>
      <c r="K119" s="45"/>
    </row>
    <row r="120" spans="1:11" x14ac:dyDescent="0.2">
      <c r="A120" s="44"/>
      <c r="B120" s="44"/>
      <c r="J120" s="45"/>
      <c r="K120" s="45"/>
    </row>
    <row r="121" spans="1:11" x14ac:dyDescent="0.2">
      <c r="A121" s="44"/>
      <c r="B121" s="44"/>
      <c r="J121" s="45"/>
      <c r="K121" s="45"/>
    </row>
    <row r="122" spans="1:11" x14ac:dyDescent="0.2">
      <c r="A122" s="44"/>
      <c r="B122" s="44"/>
      <c r="J122" s="45"/>
      <c r="K122" s="45"/>
    </row>
    <row r="123" spans="1:11" x14ac:dyDescent="0.2">
      <c r="A123" s="44"/>
      <c r="B123" s="44"/>
      <c r="J123" s="45"/>
      <c r="K123" s="45"/>
    </row>
    <row r="124" spans="1:11" x14ac:dyDescent="0.2">
      <c r="A124" s="44"/>
      <c r="B124" s="44"/>
      <c r="J124" s="45"/>
      <c r="K124" s="45"/>
    </row>
    <row r="125" spans="1:11" x14ac:dyDescent="0.2">
      <c r="A125" s="44"/>
      <c r="B125" s="44"/>
      <c r="J125" s="45"/>
      <c r="K125" s="45"/>
    </row>
    <row r="126" spans="1:11" x14ac:dyDescent="0.2">
      <c r="A126" s="44"/>
      <c r="B126" s="44"/>
      <c r="J126" s="45"/>
      <c r="K126" s="45"/>
    </row>
    <row r="127" spans="1:11" x14ac:dyDescent="0.2">
      <c r="A127" s="44"/>
      <c r="B127" s="44"/>
      <c r="J127" s="45"/>
      <c r="K127" s="45"/>
    </row>
    <row r="128" spans="1:11" x14ac:dyDescent="0.2">
      <c r="A128" s="44"/>
      <c r="B128" s="44"/>
      <c r="J128" s="45"/>
      <c r="K128" s="45"/>
    </row>
    <row r="129" spans="1:11" x14ac:dyDescent="0.2">
      <c r="A129" s="44"/>
      <c r="B129" s="44"/>
      <c r="J129" s="45"/>
      <c r="K129" s="45"/>
    </row>
    <row r="130" spans="1:11" x14ac:dyDescent="0.2">
      <c r="A130" s="44"/>
      <c r="B130" s="44"/>
      <c r="J130" s="45"/>
      <c r="K130" s="45"/>
    </row>
    <row r="131" spans="1:11" x14ac:dyDescent="0.2">
      <c r="A131" s="44"/>
      <c r="B131" s="44"/>
      <c r="J131" s="45"/>
      <c r="K131" s="45"/>
    </row>
    <row r="132" spans="1:11" x14ac:dyDescent="0.2">
      <c r="A132" s="44"/>
      <c r="B132" s="44"/>
      <c r="J132" s="45"/>
      <c r="K132" s="45"/>
    </row>
    <row r="133" spans="1:11" x14ac:dyDescent="0.2">
      <c r="A133" s="44"/>
      <c r="B133" s="44"/>
      <c r="J133" s="45"/>
      <c r="K133" s="45"/>
    </row>
    <row r="134" spans="1:11" x14ac:dyDescent="0.2">
      <c r="A134" s="44"/>
      <c r="B134" s="44"/>
      <c r="J134" s="45"/>
      <c r="K134" s="45"/>
    </row>
    <row r="135" spans="1:11" x14ac:dyDescent="0.2">
      <c r="A135" s="44"/>
      <c r="B135" s="44"/>
      <c r="J135" s="45"/>
      <c r="K135" s="45"/>
    </row>
    <row r="136" spans="1:11" x14ac:dyDescent="0.2">
      <c r="A136" s="44"/>
      <c r="B136" s="44"/>
      <c r="J136" s="45"/>
      <c r="K136" s="45"/>
    </row>
    <row r="137" spans="1:11" x14ac:dyDescent="0.2">
      <c r="A137" s="44"/>
      <c r="B137" s="44"/>
      <c r="J137" s="45"/>
      <c r="K137" s="45"/>
    </row>
    <row r="138" spans="1:11" x14ac:dyDescent="0.2">
      <c r="A138" s="44"/>
      <c r="B138" s="44"/>
      <c r="J138" s="45"/>
      <c r="K138" s="45"/>
    </row>
    <row r="139" spans="1:11" x14ac:dyDescent="0.2">
      <c r="A139" s="44"/>
      <c r="B139" s="44"/>
      <c r="J139" s="45"/>
      <c r="K139" s="45"/>
    </row>
    <row r="140" spans="1:11" x14ac:dyDescent="0.2">
      <c r="A140" s="44"/>
      <c r="B140" s="44"/>
      <c r="J140" s="45"/>
      <c r="K140" s="45"/>
    </row>
    <row r="141" spans="1:11" x14ac:dyDescent="0.2">
      <c r="A141" s="44"/>
      <c r="B141" s="44"/>
      <c r="J141" s="45"/>
      <c r="K141" s="45"/>
    </row>
    <row r="142" spans="1:11" x14ac:dyDescent="0.2">
      <c r="A142" s="44"/>
      <c r="B142" s="44"/>
      <c r="J142" s="45"/>
      <c r="K142" s="45"/>
    </row>
    <row r="143" spans="1:11" x14ac:dyDescent="0.2">
      <c r="A143" s="44"/>
      <c r="B143" s="44"/>
      <c r="J143" s="45"/>
      <c r="K143" s="45"/>
    </row>
    <row r="144" spans="1:11" x14ac:dyDescent="0.2">
      <c r="A144" s="44"/>
      <c r="B144" s="44"/>
      <c r="J144" s="45"/>
      <c r="K144" s="45"/>
    </row>
    <row r="145" spans="1:11" x14ac:dyDescent="0.2">
      <c r="A145" s="44"/>
      <c r="B145" s="44"/>
      <c r="J145" s="45"/>
      <c r="K145" s="45"/>
    </row>
    <row r="146" spans="1:11" x14ac:dyDescent="0.2">
      <c r="A146" s="44"/>
      <c r="B146" s="44"/>
      <c r="J146" s="45"/>
      <c r="K146" s="45"/>
    </row>
    <row r="147" spans="1:11" x14ac:dyDescent="0.2">
      <c r="A147" s="44"/>
      <c r="B147" s="44"/>
      <c r="J147" s="45"/>
      <c r="K147" s="45"/>
    </row>
    <row r="148" spans="1:11" x14ac:dyDescent="0.2">
      <c r="A148" s="44"/>
      <c r="B148" s="44"/>
      <c r="J148" s="45"/>
      <c r="K148" s="45"/>
    </row>
    <row r="149" spans="1:11" x14ac:dyDescent="0.2">
      <c r="A149" s="44"/>
      <c r="B149" s="44"/>
      <c r="J149" s="45"/>
      <c r="K149" s="45"/>
    </row>
    <row r="150" spans="1:11" x14ac:dyDescent="0.2">
      <c r="A150" s="44"/>
      <c r="B150" s="44"/>
      <c r="J150" s="45"/>
      <c r="K150" s="45"/>
    </row>
    <row r="151" spans="1:11" x14ac:dyDescent="0.2">
      <c r="A151" s="44"/>
      <c r="B151" s="44"/>
      <c r="J151" s="45"/>
      <c r="K151" s="45"/>
    </row>
    <row r="152" spans="1:11" x14ac:dyDescent="0.2">
      <c r="A152" s="44"/>
      <c r="B152" s="44"/>
      <c r="J152" s="45"/>
      <c r="K152" s="45"/>
    </row>
    <row r="153" spans="1:11" x14ac:dyDescent="0.2">
      <c r="A153" s="44"/>
      <c r="B153" s="44"/>
      <c r="J153" s="45"/>
      <c r="K153" s="45"/>
    </row>
    <row r="154" spans="1:11" x14ac:dyDescent="0.2">
      <c r="A154" s="44"/>
      <c r="B154" s="44"/>
      <c r="J154" s="45"/>
      <c r="K154" s="45"/>
    </row>
    <row r="155" spans="1:11" x14ac:dyDescent="0.2">
      <c r="A155" s="44"/>
      <c r="B155" s="44"/>
      <c r="J155" s="45"/>
      <c r="K155" s="45"/>
    </row>
    <row r="156" spans="1:11" x14ac:dyDescent="0.2">
      <c r="A156" s="44"/>
      <c r="B156" s="44"/>
      <c r="J156" s="45"/>
      <c r="K156" s="45"/>
    </row>
    <row r="157" spans="1:11" x14ac:dyDescent="0.2">
      <c r="A157" s="44"/>
      <c r="B157" s="44"/>
      <c r="J157" s="45"/>
      <c r="K157" s="45"/>
    </row>
    <row r="158" spans="1:11" x14ac:dyDescent="0.2">
      <c r="A158" s="44"/>
      <c r="B158" s="44"/>
      <c r="J158" s="45"/>
      <c r="K158" s="45"/>
    </row>
    <row r="159" spans="1:11" x14ac:dyDescent="0.2">
      <c r="A159" s="44"/>
      <c r="B159" s="44"/>
      <c r="J159" s="45"/>
      <c r="K159" s="45"/>
    </row>
    <row r="160" spans="1:11" x14ac:dyDescent="0.2">
      <c r="A160" s="44"/>
      <c r="B160" s="44"/>
      <c r="J160" s="45"/>
      <c r="K160" s="45"/>
    </row>
    <row r="161" spans="1:11" x14ac:dyDescent="0.2">
      <c r="A161" s="44"/>
      <c r="B161" s="44"/>
      <c r="J161" s="45"/>
      <c r="K161" s="45"/>
    </row>
    <row r="162" spans="1:11" x14ac:dyDescent="0.2">
      <c r="A162" s="44"/>
      <c r="B162" s="44"/>
      <c r="J162" s="45"/>
      <c r="K162" s="45"/>
    </row>
    <row r="163" spans="1:11" x14ac:dyDescent="0.2">
      <c r="A163" s="44"/>
      <c r="B163" s="44"/>
      <c r="J163" s="45"/>
      <c r="K163" s="45"/>
    </row>
    <row r="164" spans="1:11" x14ac:dyDescent="0.2">
      <c r="A164" s="44"/>
      <c r="B164" s="44"/>
      <c r="J164" s="45"/>
      <c r="K164" s="45"/>
    </row>
    <row r="165" spans="1:11" x14ac:dyDescent="0.2">
      <c r="A165" s="44"/>
      <c r="B165" s="44"/>
      <c r="J165" s="45"/>
      <c r="K165" s="45"/>
    </row>
    <row r="166" spans="1:11" x14ac:dyDescent="0.2">
      <c r="A166" s="44"/>
      <c r="B166" s="44"/>
      <c r="J166" s="45"/>
      <c r="K166" s="45"/>
    </row>
    <row r="167" spans="1:11" x14ac:dyDescent="0.2">
      <c r="A167" s="44"/>
      <c r="B167" s="44"/>
      <c r="J167" s="45"/>
      <c r="K167" s="45"/>
    </row>
    <row r="168" spans="1:11" x14ac:dyDescent="0.2">
      <c r="A168" s="44"/>
      <c r="B168" s="44"/>
      <c r="J168" s="45"/>
      <c r="K168" s="45"/>
    </row>
    <row r="169" spans="1:11" x14ac:dyDescent="0.2">
      <c r="A169" s="44"/>
      <c r="B169" s="44"/>
      <c r="J169" s="45"/>
      <c r="K169" s="45"/>
    </row>
    <row r="170" spans="1:11" x14ac:dyDescent="0.2">
      <c r="A170" s="44"/>
      <c r="B170" s="44"/>
      <c r="J170" s="45"/>
      <c r="K170" s="45"/>
    </row>
    <row r="171" spans="1:11" x14ac:dyDescent="0.2">
      <c r="A171" s="44"/>
      <c r="B171" s="44"/>
      <c r="J171" s="45"/>
      <c r="K171" s="45"/>
    </row>
    <row r="172" spans="1:11" x14ac:dyDescent="0.2">
      <c r="A172" s="44"/>
      <c r="B172" s="44"/>
      <c r="J172" s="45"/>
      <c r="K172" s="45"/>
    </row>
    <row r="173" spans="1:11" x14ac:dyDescent="0.2">
      <c r="A173" s="44"/>
      <c r="B173" s="44"/>
      <c r="J173" s="45"/>
      <c r="K173" s="45"/>
    </row>
    <row r="174" spans="1:11" x14ac:dyDescent="0.2">
      <c r="A174" s="44"/>
      <c r="B174" s="44"/>
      <c r="J174" s="45"/>
      <c r="K174" s="45"/>
    </row>
    <row r="175" spans="1:11" x14ac:dyDescent="0.2">
      <c r="A175" s="44"/>
      <c r="B175" s="44"/>
      <c r="J175" s="45"/>
      <c r="K175" s="45"/>
    </row>
    <row r="176" spans="1:11" x14ac:dyDescent="0.2">
      <c r="A176" s="44"/>
      <c r="B176" s="44"/>
      <c r="J176" s="45"/>
      <c r="K176" s="45"/>
    </row>
    <row r="177" spans="1:11" x14ac:dyDescent="0.2">
      <c r="A177" s="44"/>
      <c r="B177" s="44"/>
      <c r="J177" s="45"/>
      <c r="K177" s="45"/>
    </row>
    <row r="178" spans="1:11" x14ac:dyDescent="0.2">
      <c r="A178" s="44"/>
      <c r="B178" s="44"/>
      <c r="J178" s="45"/>
      <c r="K178" s="45"/>
    </row>
    <row r="179" spans="1:11" x14ac:dyDescent="0.2">
      <c r="A179" s="44"/>
      <c r="B179" s="44"/>
      <c r="J179" s="45"/>
      <c r="K179" s="45"/>
    </row>
  </sheetData>
  <sortState xmlns:xlrd2="http://schemas.microsoft.com/office/spreadsheetml/2017/richdata2" ref="A11:N19">
    <sortCondition ref="A11:A19"/>
  </sortState>
  <customSheetViews>
    <customSheetView guid="{25DC4F91-A91C-4C3F-9681-9209750ABBEA}">
      <selection activeCell="A11" sqref="A11:O38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 topLeftCell="A76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J36" sqref="J36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A37" sqref="A37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A12" sqref="A12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cale="80" showPageBreaks="1" printArea="1" topLeftCell="A8">
      <selection activeCell="A37" sqref="A37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P179"/>
  <sheetViews>
    <sheetView workbookViewId="0">
      <selection activeCell="E23" sqref="E23"/>
    </sheetView>
  </sheetViews>
  <sheetFormatPr baseColWidth="10" defaultRowHeight="12.75" x14ac:dyDescent="0.2"/>
  <cols>
    <col min="1" max="1" width="11.42578125" style="39"/>
    <col min="2" max="2" width="18.7109375" style="39" customWidth="1"/>
    <col min="3" max="9" width="11.42578125" style="39"/>
    <col min="10" max="10" width="13.28515625" style="39" bestFit="1" customWidth="1"/>
    <col min="11" max="11" width="11.42578125" style="39"/>
    <col min="12" max="12" width="14" style="39" bestFit="1" customWidth="1"/>
    <col min="13" max="16384" width="11.42578125" style="39"/>
  </cols>
  <sheetData>
    <row r="1" spans="1:16" ht="18" x14ac:dyDescent="0.25">
      <c r="A1" s="101" t="s">
        <v>35</v>
      </c>
      <c r="B1" s="169"/>
      <c r="C1" s="170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2"/>
      <c r="O1" s="172"/>
      <c r="P1" s="173"/>
    </row>
    <row r="2" spans="1:16" ht="13.5" thickBot="1" x14ac:dyDescent="0.25">
      <c r="A2" s="174"/>
      <c r="B2" s="175"/>
      <c r="C2" s="176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7"/>
      <c r="O2" s="177"/>
      <c r="P2" s="178"/>
    </row>
    <row r="3" spans="1:16" x14ac:dyDescent="0.2">
      <c r="A3" s="332" t="s">
        <v>40</v>
      </c>
      <c r="B3" s="333"/>
      <c r="C3" s="334" t="str">
        <f>August!C3</f>
        <v>Gehalt 1</v>
      </c>
      <c r="D3" s="334" t="str">
        <f>August!D3</f>
        <v>xxx</v>
      </c>
      <c r="E3" s="334" t="str">
        <f>August!E3</f>
        <v>xxx</v>
      </c>
      <c r="F3" s="334" t="str">
        <f>August!F3</f>
        <v>xxx</v>
      </c>
      <c r="G3" s="334" t="str">
        <f>August!G3</f>
        <v>xxx</v>
      </c>
      <c r="H3" s="334" t="str">
        <f>August!H3</f>
        <v>xxx</v>
      </c>
      <c r="I3" s="334" t="str">
        <f>August!I3</f>
        <v>xxx</v>
      </c>
      <c r="J3" s="334" t="str">
        <f>August!J3</f>
        <v>xxx</v>
      </c>
      <c r="K3" s="334" t="str">
        <f>August!K3</f>
        <v>xxx</v>
      </c>
      <c r="L3" s="334" t="str">
        <f>August!L3</f>
        <v>xxx</v>
      </c>
      <c r="M3" s="334" t="str">
        <f>August!M3</f>
        <v>xxx</v>
      </c>
      <c r="N3" s="334" t="str">
        <f>August!N3</f>
        <v>xxx</v>
      </c>
      <c r="O3" s="334" t="str">
        <f>August!O3</f>
        <v>xxx</v>
      </c>
      <c r="P3" s="335" t="str">
        <f>August!P3</f>
        <v>xxx</v>
      </c>
    </row>
    <row r="4" spans="1:16" ht="13.5" thickBot="1" x14ac:dyDescent="0.25">
      <c r="A4" s="336"/>
      <c r="B4" s="337"/>
      <c r="C4" s="338">
        <v>0</v>
      </c>
      <c r="D4" s="338">
        <f>August!D4</f>
        <v>0</v>
      </c>
      <c r="E4" s="338">
        <f>August!E4</f>
        <v>0</v>
      </c>
      <c r="F4" s="338">
        <f>August!F4</f>
        <v>0</v>
      </c>
      <c r="G4" s="338">
        <f>August!G4</f>
        <v>0</v>
      </c>
      <c r="H4" s="338">
        <f>August!H4</f>
        <v>0</v>
      </c>
      <c r="I4" s="338">
        <f>August!I4</f>
        <v>0</v>
      </c>
      <c r="J4" s="338">
        <f>August!J4</f>
        <v>0</v>
      </c>
      <c r="K4" s="338">
        <f>August!K4</f>
        <v>0</v>
      </c>
      <c r="L4" s="338">
        <f>August!L4</f>
        <v>0</v>
      </c>
      <c r="M4" s="338">
        <f>August!M4</f>
        <v>0</v>
      </c>
      <c r="N4" s="338">
        <f>August!N4</f>
        <v>0</v>
      </c>
      <c r="O4" s="338">
        <f>August!O4</f>
        <v>0</v>
      </c>
      <c r="P4" s="339">
        <f>August!P4</f>
        <v>0</v>
      </c>
    </row>
    <row r="5" spans="1:16" ht="13.5" thickBot="1" x14ac:dyDescent="0.25">
      <c r="A5" s="174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8"/>
    </row>
    <row r="6" spans="1:16" ht="24" x14ac:dyDescent="0.2">
      <c r="A6" s="297" t="s">
        <v>48</v>
      </c>
      <c r="B6" s="357"/>
      <c r="C6" s="358" t="str">
        <f>August!C6</f>
        <v>Gas</v>
      </c>
      <c r="D6" s="358" t="str">
        <f>August!D6</f>
        <v>Strom</v>
      </c>
      <c r="E6" s="358" t="str">
        <f>August!E6</f>
        <v>Wasser
Abwasser</v>
      </c>
      <c r="F6" s="358" t="s">
        <v>70</v>
      </c>
      <c r="G6" s="358" t="s">
        <v>70</v>
      </c>
      <c r="H6" s="358" t="s">
        <v>70</v>
      </c>
      <c r="I6" s="358" t="s">
        <v>70</v>
      </c>
      <c r="J6" s="358" t="s">
        <v>70</v>
      </c>
      <c r="K6" s="358" t="s">
        <v>70</v>
      </c>
      <c r="L6" s="358" t="s">
        <v>70</v>
      </c>
      <c r="M6" s="358" t="s">
        <v>70</v>
      </c>
      <c r="N6" s="358" t="s">
        <v>70</v>
      </c>
      <c r="O6" s="358" t="s">
        <v>70</v>
      </c>
      <c r="P6" s="359" t="str">
        <f>August!P6</f>
        <v>xxx</v>
      </c>
    </row>
    <row r="7" spans="1:16" ht="13.5" thickBot="1" x14ac:dyDescent="0.25">
      <c r="A7" s="336"/>
      <c r="B7" s="337"/>
      <c r="C7" s="360">
        <v>0</v>
      </c>
      <c r="D7" s="360">
        <v>0</v>
      </c>
      <c r="E7" s="360">
        <v>0</v>
      </c>
      <c r="F7" s="360">
        <v>0</v>
      </c>
      <c r="G7" s="360">
        <v>0</v>
      </c>
      <c r="H7" s="360">
        <v>0</v>
      </c>
      <c r="I7" s="360">
        <v>0</v>
      </c>
      <c r="J7" s="360">
        <v>0</v>
      </c>
      <c r="K7" s="360">
        <v>0</v>
      </c>
      <c r="L7" s="360">
        <v>0</v>
      </c>
      <c r="M7" s="360">
        <v>0</v>
      </c>
      <c r="N7" s="360">
        <v>0</v>
      </c>
      <c r="O7" s="360">
        <v>0</v>
      </c>
      <c r="P7" s="361">
        <f>August!P7</f>
        <v>0</v>
      </c>
    </row>
    <row r="8" spans="1:16" x14ac:dyDescent="0.2">
      <c r="A8" s="174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8"/>
    </row>
    <row r="9" spans="1:16" ht="13.5" thickBot="1" x14ac:dyDescent="0.25">
      <c r="A9" s="179" t="s">
        <v>49</v>
      </c>
      <c r="B9" s="49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4"/>
    </row>
    <row r="10" spans="1:16" ht="24" x14ac:dyDescent="0.2">
      <c r="A10" s="256" t="s">
        <v>50</v>
      </c>
      <c r="B10" s="257" t="s">
        <v>51</v>
      </c>
      <c r="C10" s="297" t="str">
        <f>August!C10</f>
        <v>Telefon</v>
      </c>
      <c r="D10" s="298" t="str">
        <f>August!D10</f>
        <v>Lebensmittel</v>
      </c>
      <c r="E10" s="298" t="s">
        <v>76</v>
      </c>
      <c r="F10" s="298" t="s">
        <v>77</v>
      </c>
      <c r="G10" s="298" t="s">
        <v>64</v>
      </c>
      <c r="H10" s="295" t="s">
        <v>78</v>
      </c>
      <c r="I10" s="298" t="str">
        <f>August!I10</f>
        <v>Freizeit</v>
      </c>
      <c r="J10" s="298" t="str">
        <f>August!J10</f>
        <v>Anschaffungen</v>
      </c>
      <c r="K10" s="298" t="str">
        <f>August!K10</f>
        <v>Arzt/Apo</v>
      </c>
      <c r="L10" s="298" t="str">
        <f>August!L10</f>
        <v>Versicherungen</v>
      </c>
      <c r="M10" s="298" t="str">
        <f>August!M10</f>
        <v>Abfall</v>
      </c>
      <c r="N10" s="298" t="str">
        <f>August!N10</f>
        <v>Tabak</v>
      </c>
      <c r="O10" s="298" t="str">
        <f>August!O10</f>
        <v>Sonstiges</v>
      </c>
      <c r="P10" s="299" t="str">
        <f>August!P10</f>
        <v>Sonstiges</v>
      </c>
    </row>
    <row r="11" spans="1:16" x14ac:dyDescent="0.2">
      <c r="A11" s="87"/>
      <c r="B11" s="88"/>
      <c r="C11" s="300"/>
      <c r="D11" s="57"/>
      <c r="E11" s="57"/>
      <c r="F11" s="57"/>
      <c r="G11" s="57"/>
      <c r="H11" s="57"/>
      <c r="I11" s="57"/>
      <c r="J11" s="58"/>
      <c r="K11" s="58"/>
      <c r="L11" s="57"/>
      <c r="M11" s="57"/>
      <c r="N11" s="59"/>
      <c r="O11" s="59"/>
      <c r="P11" s="180"/>
    </row>
    <row r="12" spans="1:16" x14ac:dyDescent="0.2">
      <c r="A12" s="89"/>
      <c r="B12" s="90"/>
      <c r="C12" s="301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1"/>
      <c r="O12" s="61"/>
      <c r="P12" s="181"/>
    </row>
    <row r="13" spans="1:16" x14ac:dyDescent="0.2">
      <c r="A13" s="89"/>
      <c r="B13" s="90"/>
      <c r="C13" s="301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1"/>
      <c r="O13" s="61"/>
      <c r="P13" s="181"/>
    </row>
    <row r="14" spans="1:16" x14ac:dyDescent="0.2">
      <c r="A14" s="89"/>
      <c r="B14" s="90"/>
      <c r="C14" s="301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1"/>
      <c r="O14" s="61"/>
      <c r="P14" s="181"/>
    </row>
    <row r="15" spans="1:16" x14ac:dyDescent="0.2">
      <c r="A15" s="89"/>
      <c r="B15" s="90"/>
      <c r="C15" s="301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1"/>
      <c r="O15" s="61"/>
      <c r="P15" s="181"/>
    </row>
    <row r="16" spans="1:16" x14ac:dyDescent="0.2">
      <c r="A16" s="89"/>
      <c r="B16" s="90"/>
      <c r="C16" s="301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1"/>
      <c r="O16" s="61"/>
      <c r="P16" s="181"/>
    </row>
    <row r="17" spans="1:16" x14ac:dyDescent="0.2">
      <c r="A17" s="89"/>
      <c r="B17" s="90"/>
      <c r="C17" s="301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1"/>
      <c r="O17" s="61"/>
      <c r="P17" s="181"/>
    </row>
    <row r="18" spans="1:16" x14ac:dyDescent="0.2">
      <c r="A18" s="89"/>
      <c r="B18" s="90"/>
      <c r="C18" s="301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1"/>
      <c r="O18" s="61"/>
      <c r="P18" s="181"/>
    </row>
    <row r="19" spans="1:16" x14ac:dyDescent="0.2">
      <c r="A19" s="89"/>
      <c r="B19" s="90"/>
      <c r="C19" s="301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1"/>
      <c r="P19" s="181"/>
    </row>
    <row r="20" spans="1:16" x14ac:dyDescent="0.2">
      <c r="A20" s="89"/>
      <c r="B20" s="90"/>
      <c r="C20" s="301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1"/>
      <c r="O20" s="61"/>
      <c r="P20" s="181"/>
    </row>
    <row r="21" spans="1:16" x14ac:dyDescent="0.2">
      <c r="A21" s="89"/>
      <c r="B21" s="90"/>
      <c r="C21" s="301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1"/>
      <c r="O21" s="61"/>
      <c r="P21" s="181"/>
    </row>
    <row r="22" spans="1:16" x14ac:dyDescent="0.2">
      <c r="A22" s="89"/>
      <c r="B22" s="90"/>
      <c r="C22" s="301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1"/>
      <c r="O22" s="61"/>
      <c r="P22" s="181"/>
    </row>
    <row r="23" spans="1:16" x14ac:dyDescent="0.2">
      <c r="A23" s="89"/>
      <c r="B23" s="90"/>
      <c r="C23" s="301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1"/>
      <c r="O23" s="61"/>
      <c r="P23" s="181"/>
    </row>
    <row r="24" spans="1:16" x14ac:dyDescent="0.2">
      <c r="A24" s="89"/>
      <c r="B24" s="90"/>
      <c r="C24" s="301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1"/>
      <c r="O24" s="61"/>
      <c r="P24" s="181"/>
    </row>
    <row r="25" spans="1:16" x14ac:dyDescent="0.2">
      <c r="A25" s="89"/>
      <c r="B25" s="90"/>
      <c r="C25" s="301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1"/>
      <c r="O25" s="61"/>
      <c r="P25" s="181"/>
    </row>
    <row r="26" spans="1:16" x14ac:dyDescent="0.2">
      <c r="A26" s="89"/>
      <c r="B26" s="90"/>
      <c r="C26" s="301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1"/>
      <c r="O26" s="61"/>
      <c r="P26" s="181"/>
    </row>
    <row r="27" spans="1:16" x14ac:dyDescent="0.2">
      <c r="A27" s="89"/>
      <c r="B27" s="90"/>
      <c r="C27" s="301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1"/>
      <c r="O27" s="61"/>
      <c r="P27" s="181"/>
    </row>
    <row r="28" spans="1:16" x14ac:dyDescent="0.2">
      <c r="A28" s="89"/>
      <c r="B28" s="90"/>
      <c r="C28" s="301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1"/>
      <c r="P28" s="181"/>
    </row>
    <row r="29" spans="1:16" x14ac:dyDescent="0.2">
      <c r="A29" s="89"/>
      <c r="B29" s="90"/>
      <c r="C29" s="301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1"/>
      <c r="O29" s="61"/>
      <c r="P29" s="181"/>
    </row>
    <row r="30" spans="1:16" x14ac:dyDescent="0.2">
      <c r="A30" s="89"/>
      <c r="B30" s="90"/>
      <c r="C30" s="301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1"/>
      <c r="O30" s="61"/>
      <c r="P30" s="181"/>
    </row>
    <row r="31" spans="1:16" x14ac:dyDescent="0.2">
      <c r="A31" s="89"/>
      <c r="B31" s="90"/>
      <c r="C31" s="301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1"/>
      <c r="O31" s="61"/>
      <c r="P31" s="181"/>
    </row>
    <row r="32" spans="1:16" x14ac:dyDescent="0.2">
      <c r="A32" s="89"/>
      <c r="B32" s="90"/>
      <c r="C32" s="301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1"/>
      <c r="O32" s="61"/>
      <c r="P32" s="181"/>
    </row>
    <row r="33" spans="1:16" x14ac:dyDescent="0.2">
      <c r="A33" s="89"/>
      <c r="B33" s="90"/>
      <c r="C33" s="301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1"/>
      <c r="O33" s="61"/>
      <c r="P33" s="181"/>
    </row>
    <row r="34" spans="1:16" x14ac:dyDescent="0.2">
      <c r="A34" s="89"/>
      <c r="B34" s="90"/>
      <c r="C34" s="301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1"/>
      <c r="O34" s="61"/>
      <c r="P34" s="181"/>
    </row>
    <row r="35" spans="1:16" x14ac:dyDescent="0.2">
      <c r="A35" s="89"/>
      <c r="B35" s="90"/>
      <c r="C35" s="301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1"/>
      <c r="O35" s="61"/>
      <c r="P35" s="181"/>
    </row>
    <row r="36" spans="1:16" x14ac:dyDescent="0.2">
      <c r="A36" s="89"/>
      <c r="B36" s="90"/>
      <c r="C36" s="301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1"/>
      <c r="O36" s="61"/>
      <c r="P36" s="181"/>
    </row>
    <row r="37" spans="1:16" x14ac:dyDescent="0.2">
      <c r="A37" s="89"/>
      <c r="B37" s="90"/>
      <c r="C37" s="301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1"/>
      <c r="O37" s="61"/>
      <c r="P37" s="181"/>
    </row>
    <row r="38" spans="1:16" x14ac:dyDescent="0.2">
      <c r="A38" s="89"/>
      <c r="B38" s="90"/>
      <c r="C38" s="301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1"/>
      <c r="O38" s="61"/>
      <c r="P38" s="181"/>
    </row>
    <row r="39" spans="1:16" x14ac:dyDescent="0.2">
      <c r="A39" s="89"/>
      <c r="B39" s="90"/>
      <c r="C39" s="301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1"/>
      <c r="O39" s="61"/>
      <c r="P39" s="181"/>
    </row>
    <row r="40" spans="1:16" ht="13.5" thickBot="1" x14ac:dyDescent="0.25">
      <c r="A40" s="258"/>
      <c r="B40" s="259"/>
      <c r="C40" s="302"/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4"/>
      <c r="O40" s="304"/>
      <c r="P40" s="305"/>
    </row>
    <row r="41" spans="1:16" x14ac:dyDescent="0.2">
      <c r="A41" s="367" t="s">
        <v>71</v>
      </c>
      <c r="B41" s="368"/>
      <c r="C41" s="369">
        <f t="shared" ref="C41:P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83"/>
      <c r="B42" s="384"/>
      <c r="C42" s="385"/>
      <c r="D42" s="386"/>
      <c r="E42" s="386"/>
      <c r="F42" s="386"/>
      <c r="G42" s="386"/>
      <c r="H42" s="386"/>
      <c r="I42" s="386"/>
      <c r="J42" s="386"/>
      <c r="K42" s="386"/>
      <c r="L42" s="386"/>
      <c r="M42" s="386"/>
      <c r="N42" s="386"/>
      <c r="O42" s="386"/>
      <c r="P42" s="387"/>
    </row>
    <row r="43" spans="1:16" ht="13.5" thickBot="1" x14ac:dyDescent="0.25">
      <c r="A43" s="182"/>
      <c r="B43" s="183"/>
      <c r="C43" s="184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6"/>
    </row>
    <row r="44" spans="1:16" ht="15.75" x14ac:dyDescent="0.25">
      <c r="A44" s="419" t="s">
        <v>72</v>
      </c>
      <c r="B44" s="420"/>
      <c r="C44" s="421"/>
      <c r="D44" s="422" t="str">
        <f>A1</f>
        <v>September</v>
      </c>
      <c r="E44" s="184"/>
      <c r="F44" s="187"/>
      <c r="G44" s="187"/>
      <c r="H44" s="187"/>
      <c r="I44" s="187"/>
      <c r="J44" s="184"/>
      <c r="K44" s="184"/>
      <c r="L44" s="187"/>
      <c r="M44" s="184"/>
      <c r="N44" s="184"/>
      <c r="O44" s="184"/>
      <c r="P44" s="188"/>
    </row>
    <row r="45" spans="1:16" x14ac:dyDescent="0.2">
      <c r="A45" s="189" t="s">
        <v>57</v>
      </c>
      <c r="B45" s="190"/>
      <c r="C45" s="74"/>
      <c r="D45" s="423">
        <f>SUM(C41:P41)</f>
        <v>0</v>
      </c>
      <c r="E45" s="184"/>
      <c r="F45" s="191"/>
      <c r="G45" s="191"/>
      <c r="H45" s="192"/>
      <c r="I45" s="193"/>
      <c r="J45" s="184"/>
      <c r="K45" s="184"/>
      <c r="L45" s="193"/>
      <c r="M45" s="184"/>
      <c r="N45" s="184"/>
      <c r="O45" s="184"/>
      <c r="P45" s="188"/>
    </row>
    <row r="46" spans="1:16" x14ac:dyDescent="0.2">
      <c r="A46" s="189" t="s">
        <v>58</v>
      </c>
      <c r="B46" s="190"/>
      <c r="C46" s="74"/>
      <c r="D46" s="424">
        <f>SUM(C7:P7)</f>
        <v>0</v>
      </c>
      <c r="E46" s="184"/>
      <c r="F46" s="191"/>
      <c r="G46" s="191"/>
      <c r="H46" s="192"/>
      <c r="I46" s="193"/>
      <c r="J46" s="184"/>
      <c r="K46" s="184"/>
      <c r="L46" s="193"/>
      <c r="M46" s="184"/>
      <c r="N46" s="184"/>
      <c r="O46" s="184"/>
      <c r="P46" s="188"/>
    </row>
    <row r="47" spans="1:16" x14ac:dyDescent="0.2">
      <c r="A47" s="194" t="s">
        <v>59</v>
      </c>
      <c r="B47" s="195"/>
      <c r="C47" s="75"/>
      <c r="D47" s="425">
        <f>D46+D45</f>
        <v>0</v>
      </c>
      <c r="E47" s="187"/>
      <c r="F47" s="196"/>
      <c r="G47" s="196"/>
      <c r="H47" s="187"/>
      <c r="I47" s="197"/>
      <c r="J47" s="187"/>
      <c r="K47" s="187"/>
      <c r="L47" s="197"/>
      <c r="M47" s="187"/>
      <c r="N47" s="187"/>
      <c r="O47" s="187"/>
      <c r="P47" s="198"/>
    </row>
    <row r="48" spans="1:16" x14ac:dyDescent="0.2">
      <c r="A48" s="194" t="s">
        <v>60</v>
      </c>
      <c r="B48" s="195"/>
      <c r="C48" s="75"/>
      <c r="D48" s="426">
        <f>SUM(C4:P4)</f>
        <v>0</v>
      </c>
      <c r="E48" s="192"/>
      <c r="F48" s="196"/>
      <c r="G48" s="196"/>
      <c r="H48" s="187"/>
      <c r="I48" s="197"/>
      <c r="J48" s="192"/>
      <c r="K48" s="192"/>
      <c r="L48" s="197"/>
      <c r="M48" s="192"/>
      <c r="N48" s="192"/>
      <c r="O48" s="192"/>
      <c r="P48" s="199"/>
    </row>
    <row r="49" spans="1:16" ht="13.5" thickBot="1" x14ac:dyDescent="0.25">
      <c r="A49" s="462"/>
      <c r="B49" s="463"/>
      <c r="C49" s="464"/>
      <c r="D49" s="465"/>
      <c r="E49" s="184"/>
      <c r="F49" s="183"/>
      <c r="G49" s="183"/>
      <c r="H49" s="184"/>
      <c r="I49" s="185"/>
      <c r="J49" s="184"/>
      <c r="K49" s="184"/>
      <c r="L49" s="185"/>
      <c r="M49" s="184"/>
      <c r="N49" s="184"/>
      <c r="O49" s="184"/>
      <c r="P49" s="188"/>
    </row>
    <row r="50" spans="1:16" ht="16.5" thickBot="1" x14ac:dyDescent="0.3">
      <c r="A50" s="451" t="s">
        <v>61</v>
      </c>
      <c r="B50" s="452"/>
      <c r="C50" s="453"/>
      <c r="D50" s="454">
        <f>D48-D47</f>
        <v>0</v>
      </c>
      <c r="E50" s="184"/>
      <c r="F50" s="200"/>
      <c r="G50" s="200"/>
      <c r="H50" s="201"/>
      <c r="I50" s="202"/>
      <c r="J50" s="184"/>
      <c r="K50" s="184"/>
      <c r="L50" s="202"/>
      <c r="M50" s="184"/>
      <c r="N50" s="184"/>
      <c r="O50" s="184"/>
      <c r="P50" s="188"/>
    </row>
    <row r="51" spans="1:16" ht="13.5" thickBot="1" x14ac:dyDescent="0.25">
      <c r="A51" s="203"/>
      <c r="B51" s="204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6"/>
    </row>
    <row r="52" spans="1:16" x14ac:dyDescent="0.2">
      <c r="A52" s="40"/>
      <c r="B52" s="40"/>
      <c r="J52" s="41"/>
      <c r="K52" s="41"/>
    </row>
    <row r="53" spans="1:16" x14ac:dyDescent="0.2">
      <c r="A53" s="40"/>
      <c r="B53" s="40"/>
      <c r="J53" s="41"/>
      <c r="K53" s="41"/>
    </row>
    <row r="54" spans="1:16" x14ac:dyDescent="0.2">
      <c r="A54" s="40"/>
      <c r="B54" s="40"/>
      <c r="J54" s="41"/>
      <c r="K54" s="41"/>
    </row>
    <row r="55" spans="1:16" x14ac:dyDescent="0.2">
      <c r="A55" s="40"/>
      <c r="B55" s="40"/>
      <c r="J55" s="41"/>
      <c r="K55" s="41"/>
    </row>
    <row r="56" spans="1:16" x14ac:dyDescent="0.2">
      <c r="A56" s="40"/>
      <c r="B56" s="40"/>
      <c r="E56" s="42"/>
      <c r="J56" s="41"/>
      <c r="K56" s="41"/>
    </row>
    <row r="57" spans="1:16" x14ac:dyDescent="0.2">
      <c r="A57" s="40"/>
      <c r="B57" s="40"/>
      <c r="J57" s="41"/>
      <c r="K57" s="41"/>
    </row>
    <row r="58" spans="1:16" x14ac:dyDescent="0.2">
      <c r="A58" s="40"/>
      <c r="B58" s="40"/>
      <c r="J58" s="41"/>
      <c r="K58" s="41"/>
    </row>
    <row r="59" spans="1:16" x14ac:dyDescent="0.2">
      <c r="A59" s="40"/>
      <c r="B59" s="40"/>
      <c r="J59" s="41"/>
      <c r="K59" s="41"/>
    </row>
    <row r="60" spans="1:16" x14ac:dyDescent="0.2">
      <c r="A60" s="40"/>
      <c r="B60" s="40"/>
      <c r="J60" s="41"/>
      <c r="K60" s="41"/>
    </row>
    <row r="61" spans="1:16" x14ac:dyDescent="0.2">
      <c r="A61" s="40"/>
      <c r="B61" s="40"/>
      <c r="J61" s="41"/>
      <c r="K61" s="41"/>
    </row>
    <row r="62" spans="1:16" x14ac:dyDescent="0.2">
      <c r="A62" s="40"/>
      <c r="B62" s="40"/>
      <c r="J62" s="41"/>
      <c r="K62" s="41"/>
    </row>
    <row r="63" spans="1:16" x14ac:dyDescent="0.2">
      <c r="A63" s="40"/>
      <c r="B63" s="40"/>
      <c r="J63" s="41"/>
      <c r="K63" s="41"/>
    </row>
    <row r="64" spans="1:16" x14ac:dyDescent="0.2">
      <c r="A64" s="40"/>
      <c r="B64" s="40"/>
      <c r="J64" s="41"/>
      <c r="K64" s="41"/>
    </row>
    <row r="65" spans="1:11" x14ac:dyDescent="0.2">
      <c r="A65" s="40"/>
      <c r="B65" s="40"/>
      <c r="J65" s="41"/>
      <c r="K65" s="41"/>
    </row>
    <row r="66" spans="1:11" x14ac:dyDescent="0.2">
      <c r="A66" s="40"/>
      <c r="B66" s="40"/>
      <c r="J66" s="41"/>
      <c r="K66" s="41"/>
    </row>
    <row r="67" spans="1:11" x14ac:dyDescent="0.2">
      <c r="A67" s="40"/>
      <c r="B67" s="40"/>
      <c r="J67" s="41"/>
      <c r="K67" s="41"/>
    </row>
    <row r="68" spans="1:11" x14ac:dyDescent="0.2">
      <c r="A68" s="40"/>
      <c r="B68" s="40"/>
      <c r="J68" s="41"/>
      <c r="K68" s="41"/>
    </row>
    <row r="69" spans="1:11" x14ac:dyDescent="0.2">
      <c r="A69" s="40"/>
      <c r="B69" s="40"/>
      <c r="J69" s="41"/>
      <c r="K69" s="41"/>
    </row>
    <row r="70" spans="1:11" x14ac:dyDescent="0.2">
      <c r="A70" s="40"/>
      <c r="B70" s="40"/>
      <c r="J70" s="41"/>
      <c r="K70" s="41"/>
    </row>
    <row r="71" spans="1:11" x14ac:dyDescent="0.2">
      <c r="A71" s="40"/>
      <c r="B71" s="40"/>
      <c r="J71" s="41"/>
      <c r="K71" s="41"/>
    </row>
    <row r="72" spans="1:11" x14ac:dyDescent="0.2">
      <c r="A72" s="40"/>
      <c r="B72" s="40"/>
      <c r="J72" s="41"/>
      <c r="K72" s="41"/>
    </row>
    <row r="73" spans="1:11" x14ac:dyDescent="0.2">
      <c r="A73" s="40"/>
      <c r="B73" s="40"/>
      <c r="J73" s="41"/>
      <c r="K73" s="41"/>
    </row>
    <row r="74" spans="1:11" x14ac:dyDescent="0.2">
      <c r="A74" s="40"/>
      <c r="B74" s="40"/>
      <c r="J74" s="41"/>
      <c r="K74" s="41"/>
    </row>
    <row r="75" spans="1:11" x14ac:dyDescent="0.2">
      <c r="A75" s="40"/>
      <c r="B75" s="40"/>
      <c r="J75" s="41"/>
      <c r="K75" s="41"/>
    </row>
    <row r="76" spans="1:11" x14ac:dyDescent="0.2">
      <c r="A76" s="40"/>
      <c r="B76" s="40"/>
      <c r="J76" s="41"/>
      <c r="K76" s="41"/>
    </row>
    <row r="77" spans="1:11" x14ac:dyDescent="0.2">
      <c r="A77" s="40"/>
      <c r="B77" s="40"/>
      <c r="J77" s="41"/>
      <c r="K77" s="41"/>
    </row>
    <row r="78" spans="1:11" x14ac:dyDescent="0.2">
      <c r="A78" s="40"/>
      <c r="B78" s="40"/>
      <c r="J78" s="41"/>
      <c r="K78" s="41"/>
    </row>
    <row r="79" spans="1:11" x14ac:dyDescent="0.2">
      <c r="A79" s="40"/>
      <c r="B79" s="40"/>
      <c r="J79" s="41"/>
      <c r="K79" s="41"/>
    </row>
    <row r="80" spans="1:11" x14ac:dyDescent="0.2">
      <c r="A80" s="40"/>
      <c r="B80" s="40"/>
      <c r="J80" s="41"/>
      <c r="K80" s="41"/>
    </row>
    <row r="81" spans="1:11" x14ac:dyDescent="0.2">
      <c r="A81" s="40"/>
      <c r="B81" s="40"/>
      <c r="J81" s="41"/>
      <c r="K81" s="41"/>
    </row>
    <row r="82" spans="1:11" x14ac:dyDescent="0.2">
      <c r="A82" s="40"/>
      <c r="B82" s="40"/>
      <c r="J82" s="41"/>
      <c r="K82" s="41"/>
    </row>
    <row r="83" spans="1:11" x14ac:dyDescent="0.2">
      <c r="A83" s="40"/>
      <c r="B83" s="40"/>
      <c r="J83" s="41"/>
      <c r="K83" s="41"/>
    </row>
    <row r="84" spans="1:11" x14ac:dyDescent="0.2">
      <c r="A84" s="40"/>
      <c r="B84" s="40"/>
      <c r="J84" s="41"/>
      <c r="K84" s="41"/>
    </row>
    <row r="85" spans="1:11" x14ac:dyDescent="0.2">
      <c r="A85" s="40"/>
      <c r="B85" s="40"/>
      <c r="J85" s="41"/>
      <c r="K85" s="41"/>
    </row>
    <row r="86" spans="1:11" x14ac:dyDescent="0.2">
      <c r="A86" s="40"/>
      <c r="B86" s="40"/>
      <c r="J86" s="41"/>
      <c r="K86" s="41"/>
    </row>
    <row r="87" spans="1:11" x14ac:dyDescent="0.2">
      <c r="A87" s="40"/>
      <c r="B87" s="40"/>
      <c r="J87" s="41"/>
      <c r="K87" s="41"/>
    </row>
    <row r="88" spans="1:11" x14ac:dyDescent="0.2">
      <c r="A88" s="40"/>
      <c r="B88" s="40"/>
      <c r="J88" s="41"/>
      <c r="K88" s="41"/>
    </row>
    <row r="89" spans="1:11" x14ac:dyDescent="0.2">
      <c r="A89" s="40"/>
      <c r="B89" s="40"/>
      <c r="J89" s="41"/>
      <c r="K89" s="41"/>
    </row>
    <row r="90" spans="1:11" x14ac:dyDescent="0.2">
      <c r="A90" s="40"/>
      <c r="B90" s="40"/>
      <c r="J90" s="41"/>
      <c r="K90" s="41"/>
    </row>
    <row r="91" spans="1:11" x14ac:dyDescent="0.2">
      <c r="A91" s="40"/>
      <c r="B91" s="40"/>
      <c r="J91" s="41"/>
      <c r="K91" s="41"/>
    </row>
    <row r="92" spans="1:11" x14ac:dyDescent="0.2">
      <c r="A92" s="40"/>
      <c r="B92" s="40"/>
      <c r="J92" s="41"/>
      <c r="K92" s="41"/>
    </row>
    <row r="93" spans="1:11" x14ac:dyDescent="0.2">
      <c r="A93" s="40"/>
      <c r="B93" s="40"/>
      <c r="J93" s="41"/>
      <c r="K93" s="41"/>
    </row>
    <row r="94" spans="1:11" x14ac:dyDescent="0.2">
      <c r="A94" s="40"/>
      <c r="B94" s="40"/>
      <c r="J94" s="41"/>
      <c r="K94" s="41"/>
    </row>
    <row r="95" spans="1:11" x14ac:dyDescent="0.2">
      <c r="A95" s="40"/>
      <c r="B95" s="40"/>
      <c r="J95" s="41"/>
      <c r="K95" s="41"/>
    </row>
    <row r="96" spans="1:11" x14ac:dyDescent="0.2">
      <c r="A96" s="40"/>
      <c r="B96" s="40"/>
      <c r="J96" s="41"/>
      <c r="K96" s="41"/>
    </row>
    <row r="97" spans="1:11" x14ac:dyDescent="0.2">
      <c r="A97" s="40"/>
      <c r="B97" s="40"/>
      <c r="J97" s="41"/>
      <c r="K97" s="41"/>
    </row>
    <row r="98" spans="1:11" x14ac:dyDescent="0.2">
      <c r="A98" s="40"/>
      <c r="B98" s="40"/>
      <c r="J98" s="41"/>
      <c r="K98" s="41"/>
    </row>
    <row r="99" spans="1:11" x14ac:dyDescent="0.2">
      <c r="A99" s="40"/>
      <c r="B99" s="40"/>
      <c r="J99" s="41"/>
      <c r="K99" s="41"/>
    </row>
    <row r="100" spans="1:11" x14ac:dyDescent="0.2">
      <c r="A100" s="40"/>
      <c r="B100" s="40"/>
      <c r="J100" s="41"/>
      <c r="K100" s="41"/>
    </row>
    <row r="101" spans="1:11" x14ac:dyDescent="0.2">
      <c r="A101" s="40"/>
      <c r="B101" s="40"/>
      <c r="J101" s="41"/>
      <c r="K101" s="41"/>
    </row>
    <row r="102" spans="1:11" x14ac:dyDescent="0.2">
      <c r="A102" s="40"/>
      <c r="B102" s="40"/>
      <c r="J102" s="41"/>
      <c r="K102" s="41"/>
    </row>
    <row r="103" spans="1:11" x14ac:dyDescent="0.2">
      <c r="A103" s="40"/>
      <c r="B103" s="40"/>
      <c r="J103" s="41"/>
      <c r="K103" s="41"/>
    </row>
    <row r="104" spans="1:11" x14ac:dyDescent="0.2">
      <c r="A104" s="40"/>
      <c r="B104" s="40"/>
      <c r="J104" s="41"/>
      <c r="K104" s="41"/>
    </row>
    <row r="105" spans="1:11" x14ac:dyDescent="0.2">
      <c r="A105" s="40"/>
      <c r="B105" s="40"/>
      <c r="J105" s="41"/>
      <c r="K105" s="41"/>
    </row>
    <row r="106" spans="1:11" x14ac:dyDescent="0.2">
      <c r="A106" s="40"/>
      <c r="B106" s="40"/>
      <c r="J106" s="41"/>
      <c r="K106" s="41"/>
    </row>
    <row r="107" spans="1:11" x14ac:dyDescent="0.2">
      <c r="A107" s="40"/>
      <c r="B107" s="40"/>
      <c r="J107" s="41"/>
      <c r="K107" s="41"/>
    </row>
    <row r="108" spans="1:11" x14ac:dyDescent="0.2">
      <c r="A108" s="40"/>
      <c r="B108" s="40"/>
      <c r="J108" s="41"/>
      <c r="K108" s="41"/>
    </row>
    <row r="109" spans="1:11" x14ac:dyDescent="0.2">
      <c r="A109" s="40"/>
      <c r="B109" s="40"/>
      <c r="J109" s="41"/>
      <c r="K109" s="41"/>
    </row>
    <row r="110" spans="1:11" x14ac:dyDescent="0.2">
      <c r="A110" s="40"/>
      <c r="B110" s="40"/>
      <c r="J110" s="41"/>
      <c r="K110" s="41"/>
    </row>
    <row r="111" spans="1:11" x14ac:dyDescent="0.2">
      <c r="A111" s="40"/>
      <c r="B111" s="40"/>
      <c r="J111" s="41"/>
      <c r="K111" s="41"/>
    </row>
    <row r="112" spans="1:11" x14ac:dyDescent="0.2">
      <c r="A112" s="40"/>
      <c r="B112" s="40"/>
      <c r="J112" s="41"/>
      <c r="K112" s="41"/>
    </row>
    <row r="113" spans="1:11" x14ac:dyDescent="0.2">
      <c r="A113" s="40"/>
      <c r="B113" s="40"/>
      <c r="J113" s="41"/>
      <c r="K113" s="41"/>
    </row>
    <row r="114" spans="1:11" x14ac:dyDescent="0.2">
      <c r="A114" s="40"/>
      <c r="B114" s="40"/>
      <c r="J114" s="41"/>
      <c r="K114" s="41"/>
    </row>
    <row r="115" spans="1:11" x14ac:dyDescent="0.2">
      <c r="A115" s="40"/>
      <c r="B115" s="40"/>
      <c r="J115" s="41"/>
      <c r="K115" s="41"/>
    </row>
    <row r="116" spans="1:11" x14ac:dyDescent="0.2">
      <c r="A116" s="40"/>
      <c r="B116" s="40"/>
      <c r="J116" s="41"/>
      <c r="K116" s="41"/>
    </row>
    <row r="117" spans="1:11" x14ac:dyDescent="0.2">
      <c r="A117" s="40"/>
      <c r="B117" s="40"/>
      <c r="J117" s="41"/>
      <c r="K117" s="41"/>
    </row>
    <row r="118" spans="1:11" x14ac:dyDescent="0.2">
      <c r="A118" s="40"/>
      <c r="B118" s="40"/>
      <c r="J118" s="41"/>
      <c r="K118" s="41"/>
    </row>
    <row r="119" spans="1:11" x14ac:dyDescent="0.2">
      <c r="A119" s="40"/>
      <c r="B119" s="40"/>
      <c r="J119" s="41"/>
      <c r="K119" s="41"/>
    </row>
    <row r="120" spans="1:11" x14ac:dyDescent="0.2">
      <c r="A120" s="40"/>
      <c r="B120" s="40"/>
      <c r="J120" s="41"/>
      <c r="K120" s="41"/>
    </row>
    <row r="121" spans="1:11" x14ac:dyDescent="0.2">
      <c r="A121" s="40"/>
      <c r="B121" s="40"/>
      <c r="J121" s="41"/>
      <c r="K121" s="41"/>
    </row>
    <row r="122" spans="1:11" x14ac:dyDescent="0.2">
      <c r="A122" s="40"/>
      <c r="B122" s="40"/>
      <c r="J122" s="41"/>
      <c r="K122" s="41"/>
    </row>
    <row r="123" spans="1:11" x14ac:dyDescent="0.2">
      <c r="A123" s="40"/>
      <c r="B123" s="40"/>
      <c r="J123" s="41"/>
      <c r="K123" s="41"/>
    </row>
    <row r="124" spans="1:11" x14ac:dyDescent="0.2">
      <c r="A124" s="40"/>
      <c r="B124" s="40"/>
      <c r="J124" s="41"/>
      <c r="K124" s="41"/>
    </row>
    <row r="125" spans="1:11" x14ac:dyDescent="0.2">
      <c r="A125" s="40"/>
      <c r="B125" s="40"/>
      <c r="J125" s="41"/>
      <c r="K125" s="41"/>
    </row>
    <row r="126" spans="1:11" x14ac:dyDescent="0.2">
      <c r="A126" s="40"/>
      <c r="B126" s="40"/>
      <c r="J126" s="41"/>
      <c r="K126" s="41"/>
    </row>
    <row r="127" spans="1:11" x14ac:dyDescent="0.2">
      <c r="A127" s="40"/>
      <c r="B127" s="40"/>
      <c r="J127" s="41"/>
      <c r="K127" s="41"/>
    </row>
    <row r="128" spans="1:11" x14ac:dyDescent="0.2">
      <c r="A128" s="40"/>
      <c r="B128" s="40"/>
      <c r="J128" s="41"/>
      <c r="K128" s="41"/>
    </row>
    <row r="129" spans="1:11" x14ac:dyDescent="0.2">
      <c r="A129" s="40"/>
      <c r="B129" s="40"/>
      <c r="J129" s="41"/>
      <c r="K129" s="41"/>
    </row>
    <row r="130" spans="1:11" x14ac:dyDescent="0.2">
      <c r="A130" s="40"/>
      <c r="B130" s="40"/>
      <c r="J130" s="41"/>
      <c r="K130" s="41"/>
    </row>
    <row r="131" spans="1:11" x14ac:dyDescent="0.2">
      <c r="A131" s="40"/>
      <c r="B131" s="40"/>
      <c r="J131" s="41"/>
      <c r="K131" s="41"/>
    </row>
    <row r="132" spans="1:11" x14ac:dyDescent="0.2">
      <c r="A132" s="40"/>
      <c r="B132" s="40"/>
      <c r="J132" s="41"/>
      <c r="K132" s="41"/>
    </row>
    <row r="133" spans="1:11" x14ac:dyDescent="0.2">
      <c r="A133" s="40"/>
      <c r="B133" s="40"/>
      <c r="J133" s="41"/>
      <c r="K133" s="41"/>
    </row>
    <row r="134" spans="1:11" x14ac:dyDescent="0.2">
      <c r="A134" s="40"/>
      <c r="B134" s="40"/>
      <c r="J134" s="41"/>
      <c r="K134" s="41"/>
    </row>
    <row r="135" spans="1:11" x14ac:dyDescent="0.2">
      <c r="A135" s="40"/>
      <c r="B135" s="40"/>
      <c r="J135" s="41"/>
      <c r="K135" s="41"/>
    </row>
    <row r="136" spans="1:11" x14ac:dyDescent="0.2">
      <c r="A136" s="40"/>
      <c r="B136" s="40"/>
      <c r="J136" s="41"/>
      <c r="K136" s="41"/>
    </row>
    <row r="137" spans="1:11" x14ac:dyDescent="0.2">
      <c r="A137" s="40"/>
      <c r="B137" s="40"/>
      <c r="J137" s="41"/>
      <c r="K137" s="41"/>
    </row>
    <row r="138" spans="1:11" x14ac:dyDescent="0.2">
      <c r="A138" s="40"/>
      <c r="B138" s="40"/>
      <c r="J138" s="41"/>
      <c r="K138" s="41"/>
    </row>
    <row r="139" spans="1:11" x14ac:dyDescent="0.2">
      <c r="A139" s="40"/>
      <c r="B139" s="40"/>
      <c r="J139" s="41"/>
      <c r="K139" s="41"/>
    </row>
    <row r="140" spans="1:11" x14ac:dyDescent="0.2">
      <c r="A140" s="40"/>
      <c r="B140" s="40"/>
      <c r="J140" s="41"/>
      <c r="K140" s="41"/>
    </row>
    <row r="141" spans="1:11" x14ac:dyDescent="0.2">
      <c r="A141" s="40"/>
      <c r="B141" s="40"/>
      <c r="J141" s="41"/>
      <c r="K141" s="41"/>
    </row>
    <row r="142" spans="1:11" x14ac:dyDescent="0.2">
      <c r="A142" s="40"/>
      <c r="B142" s="40"/>
      <c r="J142" s="41"/>
      <c r="K142" s="41"/>
    </row>
    <row r="143" spans="1:11" x14ac:dyDescent="0.2">
      <c r="A143" s="40"/>
      <c r="B143" s="40"/>
      <c r="J143" s="41"/>
      <c r="K143" s="41"/>
    </row>
    <row r="144" spans="1:11" x14ac:dyDescent="0.2">
      <c r="A144" s="40"/>
      <c r="B144" s="40"/>
      <c r="J144" s="41"/>
      <c r="K144" s="41"/>
    </row>
    <row r="145" spans="1:11" x14ac:dyDescent="0.2">
      <c r="A145" s="40"/>
      <c r="B145" s="40"/>
      <c r="J145" s="41"/>
      <c r="K145" s="41"/>
    </row>
    <row r="146" spans="1:11" x14ac:dyDescent="0.2">
      <c r="A146" s="40"/>
      <c r="B146" s="40"/>
      <c r="J146" s="41"/>
      <c r="K146" s="41"/>
    </row>
    <row r="147" spans="1:11" x14ac:dyDescent="0.2">
      <c r="A147" s="40"/>
      <c r="B147" s="40"/>
      <c r="J147" s="41"/>
      <c r="K147" s="41"/>
    </row>
    <row r="148" spans="1:11" x14ac:dyDescent="0.2">
      <c r="A148" s="40"/>
      <c r="B148" s="40"/>
      <c r="J148" s="41"/>
      <c r="K148" s="41"/>
    </row>
    <row r="149" spans="1:11" x14ac:dyDescent="0.2">
      <c r="A149" s="40"/>
      <c r="B149" s="40"/>
      <c r="J149" s="41"/>
      <c r="K149" s="41"/>
    </row>
    <row r="150" spans="1:11" x14ac:dyDescent="0.2">
      <c r="A150" s="40"/>
      <c r="B150" s="40"/>
      <c r="J150" s="41"/>
      <c r="K150" s="41"/>
    </row>
    <row r="151" spans="1:11" x14ac:dyDescent="0.2">
      <c r="A151" s="40"/>
      <c r="B151" s="40"/>
      <c r="J151" s="41"/>
      <c r="K151" s="41"/>
    </row>
    <row r="152" spans="1:11" x14ac:dyDescent="0.2">
      <c r="A152" s="40"/>
      <c r="B152" s="40"/>
      <c r="J152" s="41"/>
      <c r="K152" s="41"/>
    </row>
    <row r="153" spans="1:11" x14ac:dyDescent="0.2">
      <c r="A153" s="40"/>
      <c r="B153" s="40"/>
      <c r="J153" s="41"/>
      <c r="K153" s="41"/>
    </row>
    <row r="154" spans="1:11" x14ac:dyDescent="0.2">
      <c r="A154" s="40"/>
      <c r="B154" s="40"/>
      <c r="J154" s="41"/>
      <c r="K154" s="41"/>
    </row>
    <row r="155" spans="1:11" x14ac:dyDescent="0.2">
      <c r="A155" s="40"/>
      <c r="B155" s="40"/>
      <c r="J155" s="41"/>
      <c r="K155" s="41"/>
    </row>
    <row r="156" spans="1:11" x14ac:dyDescent="0.2">
      <c r="A156" s="40"/>
      <c r="B156" s="40"/>
      <c r="J156" s="41"/>
      <c r="K156" s="41"/>
    </row>
    <row r="157" spans="1:11" x14ac:dyDescent="0.2">
      <c r="A157" s="40"/>
      <c r="B157" s="40"/>
      <c r="J157" s="41"/>
      <c r="K157" s="41"/>
    </row>
    <row r="158" spans="1:11" x14ac:dyDescent="0.2">
      <c r="A158" s="40"/>
      <c r="B158" s="40"/>
      <c r="J158" s="41"/>
      <c r="K158" s="41"/>
    </row>
    <row r="159" spans="1:11" x14ac:dyDescent="0.2">
      <c r="A159" s="40"/>
      <c r="B159" s="40"/>
      <c r="J159" s="41"/>
      <c r="K159" s="41"/>
    </row>
    <row r="160" spans="1:11" x14ac:dyDescent="0.2">
      <c r="A160" s="40"/>
      <c r="B160" s="40"/>
      <c r="J160" s="41"/>
      <c r="K160" s="41"/>
    </row>
    <row r="161" spans="1:11" x14ac:dyDescent="0.2">
      <c r="A161" s="40"/>
      <c r="B161" s="40"/>
      <c r="J161" s="41"/>
      <c r="K161" s="41"/>
    </row>
    <row r="162" spans="1:11" x14ac:dyDescent="0.2">
      <c r="A162" s="40"/>
      <c r="B162" s="40"/>
      <c r="J162" s="41"/>
      <c r="K162" s="41"/>
    </row>
    <row r="163" spans="1:11" x14ac:dyDescent="0.2">
      <c r="A163" s="40"/>
      <c r="B163" s="40"/>
      <c r="J163" s="41"/>
      <c r="K163" s="41"/>
    </row>
    <row r="164" spans="1:11" x14ac:dyDescent="0.2">
      <c r="A164" s="40"/>
      <c r="B164" s="40"/>
      <c r="J164" s="41"/>
      <c r="K164" s="41"/>
    </row>
    <row r="165" spans="1:11" x14ac:dyDescent="0.2">
      <c r="A165" s="40"/>
      <c r="B165" s="40"/>
      <c r="J165" s="41"/>
      <c r="K165" s="41"/>
    </row>
    <row r="166" spans="1:11" x14ac:dyDescent="0.2">
      <c r="A166" s="40"/>
      <c r="B166" s="40"/>
      <c r="J166" s="41"/>
      <c r="K166" s="41"/>
    </row>
    <row r="167" spans="1:11" x14ac:dyDescent="0.2">
      <c r="A167" s="40"/>
      <c r="B167" s="40"/>
      <c r="J167" s="41"/>
      <c r="K167" s="41"/>
    </row>
    <row r="168" spans="1:11" x14ac:dyDescent="0.2">
      <c r="A168" s="40"/>
      <c r="B168" s="40"/>
      <c r="J168" s="41"/>
      <c r="K168" s="41"/>
    </row>
    <row r="169" spans="1:11" x14ac:dyDescent="0.2">
      <c r="A169" s="40"/>
      <c r="B169" s="40"/>
      <c r="J169" s="41"/>
      <c r="K169" s="41"/>
    </row>
    <row r="170" spans="1:11" x14ac:dyDescent="0.2">
      <c r="A170" s="40"/>
      <c r="B170" s="40"/>
      <c r="J170" s="41"/>
      <c r="K170" s="41"/>
    </row>
    <row r="171" spans="1:11" x14ac:dyDescent="0.2">
      <c r="A171" s="40"/>
      <c r="B171" s="40"/>
      <c r="J171" s="41"/>
      <c r="K171" s="41"/>
    </row>
    <row r="172" spans="1:11" x14ac:dyDescent="0.2">
      <c r="A172" s="40"/>
      <c r="B172" s="40"/>
      <c r="J172" s="41"/>
      <c r="K172" s="41"/>
    </row>
    <row r="173" spans="1:11" x14ac:dyDescent="0.2">
      <c r="A173" s="40"/>
      <c r="B173" s="40"/>
      <c r="J173" s="41"/>
      <c r="K173" s="41"/>
    </row>
    <row r="174" spans="1:11" x14ac:dyDescent="0.2">
      <c r="A174" s="40"/>
      <c r="B174" s="40"/>
      <c r="J174" s="41"/>
      <c r="K174" s="41"/>
    </row>
    <row r="175" spans="1:11" x14ac:dyDescent="0.2">
      <c r="A175" s="40"/>
      <c r="B175" s="40"/>
      <c r="J175" s="41"/>
      <c r="K175" s="41"/>
    </row>
    <row r="176" spans="1:11" x14ac:dyDescent="0.2">
      <c r="A176" s="40"/>
      <c r="B176" s="40"/>
      <c r="J176" s="41"/>
      <c r="K176" s="41"/>
    </row>
    <row r="177" spans="1:11" x14ac:dyDescent="0.2">
      <c r="A177" s="40"/>
      <c r="B177" s="40"/>
      <c r="J177" s="41"/>
      <c r="K177" s="41"/>
    </row>
    <row r="178" spans="1:11" x14ac:dyDescent="0.2">
      <c r="A178" s="40"/>
      <c r="B178" s="40"/>
      <c r="J178" s="41"/>
      <c r="K178" s="41"/>
    </row>
    <row r="179" spans="1:11" x14ac:dyDescent="0.2">
      <c r="A179" s="40"/>
      <c r="B179" s="40"/>
      <c r="J179" s="41"/>
      <c r="K179" s="41"/>
    </row>
  </sheetData>
  <sortState xmlns:xlrd2="http://schemas.microsoft.com/office/spreadsheetml/2017/richdata2" ref="A11:N21">
    <sortCondition ref="A11:A21"/>
  </sortState>
  <customSheetViews>
    <customSheetView guid="{25DC4F91-A91C-4C3F-9681-9209750ABBEA}">
      <selection activeCell="C5" sqref="C5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 topLeftCell="A76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14" sqref="A14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A11" sqref="A11:O24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A22" sqref="A22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O27" sqref="O27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P186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36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September!C3</f>
        <v>Gehalt 1</v>
      </c>
      <c r="D3" s="330" t="str">
        <f>September!D3</f>
        <v>xxx</v>
      </c>
      <c r="E3" s="330" t="str">
        <f>September!E3</f>
        <v>xxx</v>
      </c>
      <c r="F3" s="330" t="str">
        <f>September!F3</f>
        <v>xxx</v>
      </c>
      <c r="G3" s="330" t="str">
        <f>September!G3</f>
        <v>xxx</v>
      </c>
      <c r="H3" s="330" t="str">
        <f>September!H3</f>
        <v>xxx</v>
      </c>
      <c r="I3" s="330" t="str">
        <f>September!I3</f>
        <v>xxx</v>
      </c>
      <c r="J3" s="330" t="str">
        <f>September!J3</f>
        <v>xxx</v>
      </c>
      <c r="K3" s="330" t="str">
        <f>September!K3</f>
        <v>xxx</v>
      </c>
      <c r="L3" s="330" t="str">
        <f>September!L3</f>
        <v>xxx</v>
      </c>
      <c r="M3" s="330" t="str">
        <f>September!M3</f>
        <v>xxx</v>
      </c>
      <c r="N3" s="330" t="str">
        <f>September!N3</f>
        <v>xxx</v>
      </c>
      <c r="O3" s="330" t="str">
        <f>September!O3</f>
        <v>xxx</v>
      </c>
      <c r="P3" s="331" t="str">
        <f>September!P3</f>
        <v>xxx</v>
      </c>
    </row>
    <row r="4" spans="1:16" ht="13.5" thickBot="1" x14ac:dyDescent="0.25">
      <c r="A4" s="326"/>
      <c r="B4" s="327"/>
      <c r="C4" s="319">
        <v>0</v>
      </c>
      <c r="D4" s="319">
        <f>September!D4</f>
        <v>0</v>
      </c>
      <c r="E4" s="319">
        <f>September!E4</f>
        <v>0</v>
      </c>
      <c r="F4" s="319">
        <f>September!F4</f>
        <v>0</v>
      </c>
      <c r="G4" s="319">
        <f>September!G4</f>
        <v>0</v>
      </c>
      <c r="H4" s="319">
        <f>September!H4</f>
        <v>0</v>
      </c>
      <c r="I4" s="319">
        <f>September!I4</f>
        <v>0</v>
      </c>
      <c r="J4" s="319">
        <f>September!J4</f>
        <v>0</v>
      </c>
      <c r="K4" s="319">
        <f>September!K4</f>
        <v>0</v>
      </c>
      <c r="L4" s="319">
        <f>September!L4</f>
        <v>0</v>
      </c>
      <c r="M4" s="319">
        <f>September!M4</f>
        <v>0</v>
      </c>
      <c r="N4" s="319">
        <f>September!N4</f>
        <v>0</v>
      </c>
      <c r="O4" s="319">
        <f>September!O4</f>
        <v>0</v>
      </c>
      <c r="P4" s="328">
        <f>September!P4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September!C6</f>
        <v>Gas</v>
      </c>
      <c r="D6" s="355" t="str">
        <f>September!D6</f>
        <v>Strom</v>
      </c>
      <c r="E6" s="355" t="str">
        <f>September!E6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September!P6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September!P7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September!C10</f>
        <v>Telefon</v>
      </c>
      <c r="D10" s="295" t="str">
        <f>September!D10</f>
        <v>Lebensmittel</v>
      </c>
      <c r="E10" s="295" t="s">
        <v>76</v>
      </c>
      <c r="F10" s="295" t="s">
        <v>77</v>
      </c>
      <c r="G10" s="295" t="str">
        <f>September!G10</f>
        <v>Haushalt</v>
      </c>
      <c r="H10" s="295" t="s">
        <v>78</v>
      </c>
      <c r="I10" s="295" t="str">
        <f>September!I10</f>
        <v>Freizeit</v>
      </c>
      <c r="J10" s="295" t="str">
        <f>September!J10</f>
        <v>Anschaffungen</v>
      </c>
      <c r="K10" s="295" t="str">
        <f>September!K10</f>
        <v>Arzt/Apo</v>
      </c>
      <c r="L10" s="295" t="str">
        <f>September!L10</f>
        <v>Versicherungen</v>
      </c>
      <c r="M10" s="295" t="str">
        <f>September!M10</f>
        <v>Abfall</v>
      </c>
      <c r="N10" s="295" t="str">
        <f>September!N10</f>
        <v>Tabak</v>
      </c>
      <c r="O10" s="295" t="str">
        <f>September!O10</f>
        <v>Sonstiges</v>
      </c>
      <c r="P10" s="296" t="str">
        <f>September!P10</f>
        <v>Sonstiges</v>
      </c>
    </row>
    <row r="11" spans="1:16" x14ac:dyDescent="0.2">
      <c r="A11" s="89"/>
      <c r="B11" s="90"/>
      <c r="C11" s="286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5"/>
      <c r="O11" s="55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89"/>
      <c r="B23" s="90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5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91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91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4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N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/>
      <c r="P41" s="371">
        <f>SUM(P11:P40)</f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Oktober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6" x14ac:dyDescent="0.2">
      <c r="A177" s="35"/>
      <c r="B177" s="35"/>
      <c r="J177" s="33"/>
      <c r="K177" s="33"/>
    </row>
    <row r="178" spans="1:16" x14ac:dyDescent="0.2">
      <c r="A178" s="35"/>
      <c r="B178" s="35"/>
      <c r="J178" s="33"/>
      <c r="K178" s="33"/>
    </row>
    <row r="179" spans="1:16" x14ac:dyDescent="0.2">
      <c r="A179" s="35"/>
      <c r="B179" s="35"/>
      <c r="J179" s="33"/>
      <c r="K179" s="33"/>
    </row>
    <row r="186" spans="1:16" x14ac:dyDescent="0.2"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</row>
  </sheetData>
  <sortState xmlns:xlrd2="http://schemas.microsoft.com/office/spreadsheetml/2017/richdata2" ref="A11:N22">
    <sortCondition ref="A11:A22"/>
  </sortState>
  <customSheetViews>
    <customSheetView guid="{25DC4F91-A91C-4C3F-9681-9209750ABBEA}">
      <selection activeCell="C5" sqref="C5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 topLeftCell="A76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11" sqref="A11:P46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J20" sqref="J20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D5" sqref="D5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A12" sqref="A12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Q179"/>
  <sheetViews>
    <sheetView workbookViewId="0">
      <selection activeCell="E23" sqref="E23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37</v>
      </c>
      <c r="B1" s="102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6"/>
      <c r="O1" s="106"/>
      <c r="P1" s="107"/>
    </row>
    <row r="2" spans="1:16" ht="13.5" thickBot="1" x14ac:dyDescent="0.25">
      <c r="A2" s="108"/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12"/>
      <c r="O2" s="112"/>
      <c r="P2" s="113"/>
    </row>
    <row r="3" spans="1:16" x14ac:dyDescent="0.2">
      <c r="A3" s="324" t="s">
        <v>40</v>
      </c>
      <c r="B3" s="329"/>
      <c r="C3" s="330" t="str">
        <f>Oktober!C3</f>
        <v>Gehalt 1</v>
      </c>
      <c r="D3" s="330" t="str">
        <f>Oktober!D3</f>
        <v>xxx</v>
      </c>
      <c r="E3" s="330" t="str">
        <f>Oktober!E3</f>
        <v>xxx</v>
      </c>
      <c r="F3" s="330" t="str">
        <f>Oktober!F3</f>
        <v>xxx</v>
      </c>
      <c r="G3" s="330" t="str">
        <f>Oktober!G3</f>
        <v>xxx</v>
      </c>
      <c r="H3" s="330" t="str">
        <f>Oktober!H3</f>
        <v>xxx</v>
      </c>
      <c r="I3" s="330" t="str">
        <f>Oktober!I3</f>
        <v>xxx</v>
      </c>
      <c r="J3" s="330" t="str">
        <f>Oktober!J3</f>
        <v>xxx</v>
      </c>
      <c r="K3" s="330" t="str">
        <f>Oktober!K3</f>
        <v>xxx</v>
      </c>
      <c r="L3" s="330" t="str">
        <f>Oktober!L3</f>
        <v>xxx</v>
      </c>
      <c r="M3" s="330" t="str">
        <f>Oktober!M3</f>
        <v>xxx</v>
      </c>
      <c r="N3" s="330" t="str">
        <f>Oktober!N3</f>
        <v>xxx</v>
      </c>
      <c r="O3" s="330" t="str">
        <f>Oktober!O3</f>
        <v>xxx</v>
      </c>
      <c r="P3" s="331" t="str">
        <f>Oktober!P3</f>
        <v>xxx</v>
      </c>
    </row>
    <row r="4" spans="1:16" ht="13.5" thickBot="1" x14ac:dyDescent="0.25">
      <c r="A4" s="326"/>
      <c r="B4" s="327"/>
      <c r="C4" s="319">
        <v>0</v>
      </c>
      <c r="D4" s="319">
        <f>Oktober!D4</f>
        <v>0</v>
      </c>
      <c r="E4" s="319">
        <f>Oktober!E4</f>
        <v>0</v>
      </c>
      <c r="F4" s="319">
        <f>Oktober!F4</f>
        <v>0</v>
      </c>
      <c r="G4" s="319">
        <f>Oktober!G4</f>
        <v>0</v>
      </c>
      <c r="H4" s="319">
        <f>Oktober!H4</f>
        <v>0</v>
      </c>
      <c r="I4" s="319">
        <f>Oktober!I4</f>
        <v>0</v>
      </c>
      <c r="J4" s="319">
        <f>Oktober!J4</f>
        <v>0</v>
      </c>
      <c r="K4" s="319">
        <f>Oktober!K4</f>
        <v>0</v>
      </c>
      <c r="L4" s="319">
        <f>Oktober!L4</f>
        <v>0</v>
      </c>
      <c r="M4" s="319">
        <f>Oktober!M4</f>
        <v>0</v>
      </c>
      <c r="N4" s="319">
        <f>Oktober!N4</f>
        <v>0</v>
      </c>
      <c r="O4" s="319">
        <f>Oktober!O4</f>
        <v>0</v>
      </c>
      <c r="P4" s="328">
        <f>Oktober!P4</f>
        <v>0</v>
      </c>
    </row>
    <row r="5" spans="1:16" ht="13.5" thickBot="1" x14ac:dyDescent="0.25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3"/>
    </row>
    <row r="6" spans="1:16" ht="24" x14ac:dyDescent="0.2">
      <c r="A6" s="266" t="s">
        <v>48</v>
      </c>
      <c r="B6" s="354"/>
      <c r="C6" s="355" t="str">
        <f>Oktober!C6</f>
        <v>Gas</v>
      </c>
      <c r="D6" s="355" t="str">
        <f>Oktober!D6</f>
        <v>Strom</v>
      </c>
      <c r="E6" s="355" t="str">
        <f>Oktober!E6</f>
        <v>Wasser
Abwasser</v>
      </c>
      <c r="F6" s="355" t="s">
        <v>70</v>
      </c>
      <c r="G6" s="355" t="s">
        <v>70</v>
      </c>
      <c r="H6" s="355" t="s">
        <v>70</v>
      </c>
      <c r="I6" s="355" t="s">
        <v>70</v>
      </c>
      <c r="J6" s="355" t="s">
        <v>70</v>
      </c>
      <c r="K6" s="355" t="s">
        <v>70</v>
      </c>
      <c r="L6" s="355" t="s">
        <v>70</v>
      </c>
      <c r="M6" s="355" t="s">
        <v>70</v>
      </c>
      <c r="N6" s="355" t="s">
        <v>70</v>
      </c>
      <c r="O6" s="355" t="s">
        <v>70</v>
      </c>
      <c r="P6" s="356" t="str">
        <f>Oktober!P6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v>0</v>
      </c>
      <c r="L7" s="352">
        <v>0</v>
      </c>
      <c r="M7" s="352">
        <v>0</v>
      </c>
      <c r="N7" s="352">
        <v>0</v>
      </c>
      <c r="O7" s="352">
        <v>0</v>
      </c>
      <c r="P7" s="353">
        <f>Oktober!P7</f>
        <v>0</v>
      </c>
    </row>
    <row r="8" spans="1:16" x14ac:dyDescent="0.2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3"/>
    </row>
    <row r="9" spans="1:16" ht="13.5" thickBot="1" x14ac:dyDescent="0.25">
      <c r="A9" s="116" t="s">
        <v>49</v>
      </c>
      <c r="B9" s="47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272"/>
    </row>
    <row r="10" spans="1:16" ht="24" x14ac:dyDescent="0.2">
      <c r="A10" s="85" t="s">
        <v>50</v>
      </c>
      <c r="B10" s="86" t="s">
        <v>51</v>
      </c>
      <c r="C10" s="266" t="str">
        <f>Oktober!C10</f>
        <v>Telefon</v>
      </c>
      <c r="D10" s="295" t="str">
        <f>Oktober!D10</f>
        <v>Lebensmittel</v>
      </c>
      <c r="E10" s="295" t="s">
        <v>76</v>
      </c>
      <c r="F10" s="295" t="s">
        <v>77</v>
      </c>
      <c r="G10" s="295" t="str">
        <f>Oktober!G10</f>
        <v>Haushalt</v>
      </c>
      <c r="H10" s="295" t="s">
        <v>78</v>
      </c>
      <c r="I10" s="295" t="str">
        <f>Oktober!I10</f>
        <v>Freizeit</v>
      </c>
      <c r="J10" s="295" t="str">
        <f>Oktober!J10</f>
        <v>Anschaffungen</v>
      </c>
      <c r="K10" s="295" t="str">
        <f>Oktober!K10</f>
        <v>Arzt/Apo</v>
      </c>
      <c r="L10" s="295" t="str">
        <f>Oktober!L10</f>
        <v>Versicherungen</v>
      </c>
      <c r="M10" s="295" t="str">
        <f>Oktober!M10</f>
        <v>Abfall</v>
      </c>
      <c r="N10" s="295" t="str">
        <f>Oktober!N10</f>
        <v>Tabak</v>
      </c>
      <c r="O10" s="295" t="s">
        <v>69</v>
      </c>
      <c r="P10" s="296" t="str">
        <f>Oktober!P10</f>
        <v>Sonstiges</v>
      </c>
    </row>
    <row r="11" spans="1:16" x14ac:dyDescent="0.2">
      <c r="A11" s="523"/>
      <c r="B11" s="88"/>
      <c r="C11" s="285"/>
      <c r="D11" s="51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7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7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7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7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7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7" x14ac:dyDescent="0.2">
      <c r="A22" s="91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  <c r="Q22" s="84"/>
    </row>
    <row r="23" spans="1:17" x14ac:dyDescent="0.2">
      <c r="A23" s="89"/>
      <c r="B23" s="90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7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7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7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7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7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5"/>
      <c r="P28" s="118"/>
    </row>
    <row r="29" spans="1:17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7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7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7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69">
        <f t="shared" ref="C41:P41" si="0">SUM(C11:C40)</f>
        <v>0</v>
      </c>
      <c r="D41" s="369">
        <f t="shared" si="0"/>
        <v>0</v>
      </c>
      <c r="E41" s="369">
        <f t="shared" si="0"/>
        <v>0</v>
      </c>
      <c r="F41" s="369">
        <f t="shared" si="0"/>
        <v>0</v>
      </c>
      <c r="G41" s="369">
        <f t="shared" si="0"/>
        <v>0</v>
      </c>
      <c r="H41" s="369">
        <f t="shared" si="0"/>
        <v>0</v>
      </c>
      <c r="I41" s="369">
        <f t="shared" si="0"/>
        <v>0</v>
      </c>
      <c r="J41" s="369">
        <f t="shared" si="0"/>
        <v>0</v>
      </c>
      <c r="K41" s="369">
        <f t="shared" si="0"/>
        <v>0</v>
      </c>
      <c r="L41" s="369">
        <f t="shared" si="0"/>
        <v>0</v>
      </c>
      <c r="M41" s="369">
        <f t="shared" si="0"/>
        <v>0</v>
      </c>
      <c r="N41" s="369">
        <f t="shared" si="0"/>
        <v>0</v>
      </c>
      <c r="O41" s="369">
        <f t="shared" si="0"/>
        <v>0</v>
      </c>
      <c r="P41" s="371">
        <f t="shared" si="0"/>
        <v>0</v>
      </c>
    </row>
    <row r="42" spans="1:16" ht="13.5" thickBot="1" x14ac:dyDescent="0.25">
      <c r="A42" s="372"/>
      <c r="B42" s="373"/>
      <c r="C42" s="374"/>
      <c r="D42" s="375"/>
      <c r="E42" s="375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77"/>
    </row>
    <row r="43" spans="1:16" ht="13.5" thickBot="1" x14ac:dyDescent="0.25">
      <c r="A43" s="119"/>
      <c r="B43" s="78"/>
      <c r="C43" s="79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2"/>
    </row>
    <row r="44" spans="1:16" ht="15.75" x14ac:dyDescent="0.25">
      <c r="A44" s="405" t="s">
        <v>72</v>
      </c>
      <c r="B44" s="406"/>
      <c r="C44" s="407"/>
      <c r="D44" s="408" t="str">
        <f>A1</f>
        <v>November</v>
      </c>
      <c r="E44" s="79"/>
      <c r="F44" s="129"/>
      <c r="G44" s="129"/>
      <c r="H44" s="129"/>
      <c r="I44" s="129"/>
      <c r="J44" s="79"/>
      <c r="K44" s="79"/>
      <c r="L44" s="129"/>
      <c r="M44" s="79"/>
      <c r="N44" s="79"/>
      <c r="O44" s="79"/>
      <c r="P44" s="124"/>
    </row>
    <row r="45" spans="1:16" x14ac:dyDescent="0.2">
      <c r="A45" s="125" t="s">
        <v>57</v>
      </c>
      <c r="B45" s="126"/>
      <c r="C45" s="70"/>
      <c r="D45" s="409">
        <f>SUM(C41:P41)</f>
        <v>0</v>
      </c>
      <c r="E45" s="79"/>
      <c r="F45" s="165"/>
      <c r="G45" s="165"/>
      <c r="H45" s="132"/>
      <c r="I45" s="166"/>
      <c r="J45" s="79"/>
      <c r="K45" s="79"/>
      <c r="L45" s="166"/>
      <c r="M45" s="79"/>
      <c r="N45" s="79"/>
      <c r="O45" s="79"/>
      <c r="P45" s="124"/>
    </row>
    <row r="46" spans="1:16" x14ac:dyDescent="0.2">
      <c r="A46" s="125" t="s">
        <v>58</v>
      </c>
      <c r="B46" s="126"/>
      <c r="C46" s="70"/>
      <c r="D46" s="410">
        <f>SUM(C7:P7)</f>
        <v>0</v>
      </c>
      <c r="E46" s="79"/>
      <c r="F46" s="165"/>
      <c r="G46" s="165"/>
      <c r="H46" s="132"/>
      <c r="I46" s="166"/>
      <c r="J46" s="79"/>
      <c r="K46" s="79"/>
      <c r="L46" s="166"/>
      <c r="M46" s="79"/>
      <c r="N46" s="79"/>
      <c r="O46" s="79"/>
      <c r="P46" s="124"/>
    </row>
    <row r="47" spans="1:16" x14ac:dyDescent="0.2">
      <c r="A47" s="127" t="s">
        <v>59</v>
      </c>
      <c r="B47" s="128"/>
      <c r="C47" s="71"/>
      <c r="D47" s="411">
        <f>D46+D45</f>
        <v>0</v>
      </c>
      <c r="E47" s="129"/>
      <c r="F47" s="167"/>
      <c r="G47" s="167"/>
      <c r="H47" s="129"/>
      <c r="I47" s="168"/>
      <c r="J47" s="129"/>
      <c r="K47" s="129"/>
      <c r="L47" s="168"/>
      <c r="M47" s="129"/>
      <c r="N47" s="129"/>
      <c r="O47" s="129"/>
      <c r="P47" s="131"/>
    </row>
    <row r="48" spans="1:16" x14ac:dyDescent="0.2">
      <c r="A48" s="127" t="s">
        <v>60</v>
      </c>
      <c r="B48" s="128"/>
      <c r="C48" s="71"/>
      <c r="D48" s="412">
        <f>SUM(C4:P4)</f>
        <v>0</v>
      </c>
      <c r="E48" s="132"/>
      <c r="F48" s="167"/>
      <c r="G48" s="167"/>
      <c r="H48" s="129"/>
      <c r="I48" s="168"/>
      <c r="J48" s="132"/>
      <c r="K48" s="132"/>
      <c r="L48" s="168"/>
      <c r="M48" s="132"/>
      <c r="N48" s="132"/>
      <c r="O48" s="132"/>
      <c r="P48" s="134"/>
    </row>
    <row r="49" spans="1:16" ht="13.5" thickBot="1" x14ac:dyDescent="0.25">
      <c r="A49" s="251"/>
      <c r="B49" s="252"/>
      <c r="C49" s="253"/>
      <c r="D49" s="459"/>
      <c r="E49" s="79"/>
      <c r="F49" s="78"/>
      <c r="G49" s="78"/>
      <c r="H49" s="79"/>
      <c r="I49" s="120"/>
      <c r="J49" s="79"/>
      <c r="K49" s="79"/>
      <c r="L49" s="120"/>
      <c r="M49" s="79"/>
      <c r="N49" s="79"/>
      <c r="O49" s="79"/>
      <c r="P49" s="124"/>
    </row>
    <row r="50" spans="1:16" ht="16.5" thickBot="1" x14ac:dyDescent="0.3">
      <c r="A50" s="445" t="s">
        <v>61</v>
      </c>
      <c r="B50" s="446"/>
      <c r="C50" s="447"/>
      <c r="D50" s="448">
        <f>D48-D47</f>
        <v>0</v>
      </c>
      <c r="E50" s="79"/>
      <c r="F50" s="80"/>
      <c r="G50" s="80"/>
      <c r="H50" s="81"/>
      <c r="I50" s="82"/>
      <c r="J50" s="79"/>
      <c r="K50" s="79"/>
      <c r="L50" s="82"/>
      <c r="M50" s="79"/>
      <c r="N50" s="79"/>
      <c r="O50" s="79"/>
      <c r="P50" s="124"/>
    </row>
    <row r="51" spans="1:16" ht="13.5" thickBot="1" x14ac:dyDescent="0.25">
      <c r="A51" s="135"/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9"/>
    </row>
    <row r="52" spans="1:16" x14ac:dyDescent="0.2">
      <c r="A52" s="35"/>
      <c r="B52" s="35"/>
      <c r="J52" s="33"/>
      <c r="K52" s="33"/>
    </row>
    <row r="53" spans="1:16" x14ac:dyDescent="0.2">
      <c r="A53" s="35"/>
      <c r="B53" s="35"/>
      <c r="J53" s="33"/>
      <c r="K53" s="33"/>
    </row>
    <row r="54" spans="1:16" x14ac:dyDescent="0.2">
      <c r="A54" s="35"/>
      <c r="B54" s="35"/>
      <c r="J54" s="33"/>
      <c r="K54" s="33"/>
    </row>
    <row r="55" spans="1:16" x14ac:dyDescent="0.2">
      <c r="A55" s="35"/>
      <c r="B55" s="35"/>
      <c r="J55" s="33"/>
      <c r="K55" s="33"/>
    </row>
    <row r="56" spans="1:16" x14ac:dyDescent="0.2">
      <c r="A56" s="35"/>
      <c r="B56" s="35"/>
      <c r="E56" s="37"/>
      <c r="J56" s="33"/>
      <c r="K56" s="33"/>
    </row>
    <row r="57" spans="1:16" x14ac:dyDescent="0.2">
      <c r="A57" s="35"/>
      <c r="B57" s="35"/>
      <c r="J57" s="33"/>
      <c r="K57" s="33"/>
    </row>
    <row r="58" spans="1:16" x14ac:dyDescent="0.2">
      <c r="A58" s="35"/>
      <c r="B58" s="35"/>
      <c r="J58" s="33"/>
      <c r="K58" s="33"/>
    </row>
    <row r="59" spans="1:16" x14ac:dyDescent="0.2">
      <c r="A59" s="35"/>
      <c r="B59" s="35"/>
      <c r="J59" s="33"/>
      <c r="K59" s="33"/>
    </row>
    <row r="60" spans="1:16" x14ac:dyDescent="0.2">
      <c r="A60" s="35"/>
      <c r="B60" s="35"/>
      <c r="J60" s="33"/>
      <c r="K60" s="33"/>
    </row>
    <row r="61" spans="1:16" x14ac:dyDescent="0.2">
      <c r="A61" s="35"/>
      <c r="B61" s="35"/>
      <c r="J61" s="33"/>
      <c r="K61" s="33"/>
    </row>
    <row r="62" spans="1:16" x14ac:dyDescent="0.2">
      <c r="A62" s="35"/>
      <c r="B62" s="35"/>
      <c r="J62" s="33"/>
      <c r="K62" s="33"/>
    </row>
    <row r="63" spans="1:16" x14ac:dyDescent="0.2">
      <c r="A63" s="35"/>
      <c r="B63" s="35"/>
      <c r="J63" s="33"/>
      <c r="K63" s="33"/>
    </row>
    <row r="64" spans="1:16" x14ac:dyDescent="0.2">
      <c r="A64" s="35"/>
      <c r="B64" s="35"/>
      <c r="J64" s="33"/>
      <c r="K64" s="33"/>
    </row>
    <row r="65" spans="1:11" x14ac:dyDescent="0.2">
      <c r="A65" s="35"/>
      <c r="B65" s="35"/>
      <c r="J65" s="33"/>
      <c r="K65" s="33"/>
    </row>
    <row r="66" spans="1:11" x14ac:dyDescent="0.2">
      <c r="A66" s="35"/>
      <c r="B66" s="35"/>
      <c r="J66" s="33"/>
      <c r="K66" s="33"/>
    </row>
    <row r="67" spans="1:11" x14ac:dyDescent="0.2">
      <c r="A67" s="35"/>
      <c r="B67" s="35"/>
      <c r="J67" s="33"/>
      <c r="K67" s="33"/>
    </row>
    <row r="68" spans="1:11" x14ac:dyDescent="0.2">
      <c r="A68" s="35"/>
      <c r="B68" s="35"/>
      <c r="J68" s="33"/>
      <c r="K68" s="33"/>
    </row>
    <row r="69" spans="1:11" x14ac:dyDescent="0.2">
      <c r="A69" s="35"/>
      <c r="B69" s="35"/>
      <c r="J69" s="33"/>
      <c r="K69" s="33"/>
    </row>
    <row r="70" spans="1:11" x14ac:dyDescent="0.2">
      <c r="A70" s="35"/>
      <c r="B70" s="35"/>
      <c r="J70" s="33"/>
      <c r="K70" s="33"/>
    </row>
    <row r="71" spans="1:11" x14ac:dyDescent="0.2">
      <c r="A71" s="35"/>
      <c r="B71" s="35"/>
      <c r="J71" s="33"/>
      <c r="K71" s="33"/>
    </row>
    <row r="72" spans="1:11" x14ac:dyDescent="0.2">
      <c r="A72" s="35"/>
      <c r="B72" s="35"/>
      <c r="J72" s="33"/>
      <c r="K72" s="33"/>
    </row>
    <row r="73" spans="1:11" x14ac:dyDescent="0.2">
      <c r="A73" s="35"/>
      <c r="B73" s="35"/>
      <c r="J73" s="33"/>
      <c r="K73" s="33"/>
    </row>
    <row r="74" spans="1:11" x14ac:dyDescent="0.2">
      <c r="A74" s="35"/>
      <c r="B74" s="35"/>
      <c r="J74" s="33"/>
      <c r="K74" s="33"/>
    </row>
    <row r="75" spans="1:11" x14ac:dyDescent="0.2">
      <c r="A75" s="35"/>
      <c r="B75" s="35"/>
      <c r="J75" s="33"/>
      <c r="K75" s="33"/>
    </row>
    <row r="76" spans="1:11" x14ac:dyDescent="0.2">
      <c r="A76" s="35"/>
      <c r="B76" s="35"/>
      <c r="J76" s="33"/>
      <c r="K76" s="33"/>
    </row>
    <row r="77" spans="1:11" x14ac:dyDescent="0.2">
      <c r="A77" s="35"/>
      <c r="B77" s="35"/>
      <c r="J77" s="33"/>
      <c r="K77" s="33"/>
    </row>
    <row r="78" spans="1:11" x14ac:dyDescent="0.2">
      <c r="A78" s="35"/>
      <c r="B78" s="35"/>
      <c r="J78" s="33"/>
      <c r="K78" s="33"/>
    </row>
    <row r="79" spans="1:11" x14ac:dyDescent="0.2">
      <c r="A79" s="35"/>
      <c r="B79" s="35"/>
      <c r="J79" s="33"/>
      <c r="K79" s="33"/>
    </row>
    <row r="80" spans="1:11" x14ac:dyDescent="0.2">
      <c r="A80" s="35"/>
      <c r="B80" s="35"/>
      <c r="J80" s="33"/>
      <c r="K80" s="33"/>
    </row>
    <row r="81" spans="1:11" x14ac:dyDescent="0.2">
      <c r="A81" s="35"/>
      <c r="B81" s="35"/>
      <c r="J81" s="33"/>
      <c r="K81" s="33"/>
    </row>
    <row r="82" spans="1:11" x14ac:dyDescent="0.2">
      <c r="A82" s="35"/>
      <c r="B82" s="35"/>
      <c r="J82" s="33"/>
      <c r="K82" s="33"/>
    </row>
    <row r="83" spans="1:11" x14ac:dyDescent="0.2">
      <c r="A83" s="35"/>
      <c r="B83" s="35"/>
      <c r="J83" s="33"/>
      <c r="K83" s="33"/>
    </row>
    <row r="84" spans="1:11" x14ac:dyDescent="0.2">
      <c r="A84" s="35"/>
      <c r="B84" s="35"/>
      <c r="J84" s="33"/>
      <c r="K84" s="33"/>
    </row>
    <row r="85" spans="1:11" x14ac:dyDescent="0.2">
      <c r="A85" s="35"/>
      <c r="B85" s="35"/>
      <c r="J85" s="33"/>
      <c r="K85" s="33"/>
    </row>
    <row r="86" spans="1:11" x14ac:dyDescent="0.2">
      <c r="A86" s="35"/>
      <c r="B86" s="35"/>
      <c r="J86" s="33"/>
      <c r="K86" s="33"/>
    </row>
    <row r="87" spans="1:11" x14ac:dyDescent="0.2">
      <c r="A87" s="35"/>
      <c r="B87" s="35"/>
      <c r="J87" s="33"/>
      <c r="K87" s="33"/>
    </row>
    <row r="88" spans="1:11" x14ac:dyDescent="0.2">
      <c r="A88" s="35"/>
      <c r="B88" s="35"/>
      <c r="J88" s="33"/>
      <c r="K88" s="33"/>
    </row>
    <row r="89" spans="1:11" x14ac:dyDescent="0.2">
      <c r="A89" s="35"/>
      <c r="B89" s="35"/>
      <c r="J89" s="33"/>
      <c r="K89" s="33"/>
    </row>
    <row r="90" spans="1:11" x14ac:dyDescent="0.2">
      <c r="A90" s="35"/>
      <c r="B90" s="35"/>
      <c r="J90" s="33"/>
      <c r="K90" s="33"/>
    </row>
    <row r="91" spans="1:11" x14ac:dyDescent="0.2">
      <c r="A91" s="35"/>
      <c r="B91" s="35"/>
      <c r="J91" s="33"/>
      <c r="K91" s="33"/>
    </row>
    <row r="92" spans="1:11" x14ac:dyDescent="0.2">
      <c r="A92" s="35"/>
      <c r="B92" s="35"/>
      <c r="J92" s="33"/>
      <c r="K92" s="33"/>
    </row>
    <row r="93" spans="1:11" x14ac:dyDescent="0.2">
      <c r="A93" s="35"/>
      <c r="B93" s="35"/>
      <c r="J93" s="33"/>
      <c r="K93" s="33"/>
    </row>
    <row r="94" spans="1:11" x14ac:dyDescent="0.2">
      <c r="A94" s="35"/>
      <c r="B94" s="35"/>
      <c r="J94" s="33"/>
      <c r="K94" s="33"/>
    </row>
    <row r="95" spans="1:11" x14ac:dyDescent="0.2">
      <c r="A95" s="35"/>
      <c r="B95" s="35"/>
      <c r="J95" s="33"/>
      <c r="K95" s="33"/>
    </row>
    <row r="96" spans="1:11" x14ac:dyDescent="0.2">
      <c r="A96" s="35"/>
      <c r="B96" s="35"/>
      <c r="J96" s="33"/>
      <c r="K96" s="33"/>
    </row>
    <row r="97" spans="1:11" x14ac:dyDescent="0.2">
      <c r="A97" s="35"/>
      <c r="B97" s="35"/>
      <c r="J97" s="33"/>
      <c r="K97" s="33"/>
    </row>
    <row r="98" spans="1:11" x14ac:dyDescent="0.2">
      <c r="A98" s="35"/>
      <c r="B98" s="35"/>
      <c r="J98" s="33"/>
      <c r="K98" s="33"/>
    </row>
    <row r="99" spans="1:11" x14ac:dyDescent="0.2">
      <c r="A99" s="35"/>
      <c r="B99" s="35"/>
      <c r="J99" s="33"/>
      <c r="K99" s="33"/>
    </row>
    <row r="100" spans="1:11" x14ac:dyDescent="0.2">
      <c r="A100" s="35"/>
      <c r="B100" s="35"/>
      <c r="J100" s="33"/>
      <c r="K100" s="33"/>
    </row>
    <row r="101" spans="1:11" x14ac:dyDescent="0.2">
      <c r="A101" s="35"/>
      <c r="B101" s="35"/>
      <c r="J101" s="33"/>
      <c r="K101" s="33"/>
    </row>
    <row r="102" spans="1:11" x14ac:dyDescent="0.2">
      <c r="A102" s="35"/>
      <c r="B102" s="35"/>
      <c r="J102" s="33"/>
      <c r="K102" s="33"/>
    </row>
    <row r="103" spans="1:11" x14ac:dyDescent="0.2">
      <c r="A103" s="35"/>
      <c r="B103" s="35"/>
      <c r="J103" s="33"/>
      <c r="K103" s="33"/>
    </row>
    <row r="104" spans="1:11" x14ac:dyDescent="0.2">
      <c r="A104" s="35"/>
      <c r="B104" s="35"/>
      <c r="J104" s="33"/>
      <c r="K104" s="33"/>
    </row>
    <row r="105" spans="1:11" x14ac:dyDescent="0.2">
      <c r="A105" s="35"/>
      <c r="B105" s="35"/>
      <c r="J105" s="33"/>
      <c r="K105" s="33"/>
    </row>
    <row r="106" spans="1:11" x14ac:dyDescent="0.2">
      <c r="A106" s="35"/>
      <c r="B106" s="35"/>
      <c r="J106" s="33"/>
      <c r="K106" s="33"/>
    </row>
    <row r="107" spans="1:11" x14ac:dyDescent="0.2">
      <c r="A107" s="35"/>
      <c r="B107" s="35"/>
      <c r="J107" s="33"/>
      <c r="K107" s="33"/>
    </row>
    <row r="108" spans="1:11" x14ac:dyDescent="0.2">
      <c r="A108" s="35"/>
      <c r="B108" s="35"/>
      <c r="J108" s="33"/>
      <c r="K108" s="33"/>
    </row>
    <row r="109" spans="1:11" x14ac:dyDescent="0.2">
      <c r="A109" s="35"/>
      <c r="B109" s="35"/>
      <c r="J109" s="33"/>
      <c r="K109" s="33"/>
    </row>
    <row r="110" spans="1:11" x14ac:dyDescent="0.2">
      <c r="A110" s="35"/>
      <c r="B110" s="35"/>
      <c r="J110" s="33"/>
      <c r="K110" s="33"/>
    </row>
    <row r="111" spans="1:11" x14ac:dyDescent="0.2">
      <c r="A111" s="35"/>
      <c r="B111" s="35"/>
      <c r="J111" s="33"/>
      <c r="K111" s="33"/>
    </row>
    <row r="112" spans="1:11" x14ac:dyDescent="0.2">
      <c r="A112" s="35"/>
      <c r="B112" s="35"/>
      <c r="J112" s="33"/>
      <c r="K112" s="33"/>
    </row>
    <row r="113" spans="1:11" x14ac:dyDescent="0.2">
      <c r="A113" s="35"/>
      <c r="B113" s="35"/>
      <c r="J113" s="33"/>
      <c r="K113" s="33"/>
    </row>
    <row r="114" spans="1:11" x14ac:dyDescent="0.2">
      <c r="A114" s="35"/>
      <c r="B114" s="35"/>
      <c r="J114" s="33"/>
      <c r="K114" s="33"/>
    </row>
    <row r="115" spans="1:11" x14ac:dyDescent="0.2">
      <c r="A115" s="35"/>
      <c r="B115" s="35"/>
      <c r="J115" s="33"/>
      <c r="K115" s="33"/>
    </row>
    <row r="116" spans="1:11" x14ac:dyDescent="0.2">
      <c r="A116" s="35"/>
      <c r="B116" s="35"/>
      <c r="J116" s="33"/>
      <c r="K116" s="33"/>
    </row>
    <row r="117" spans="1:11" x14ac:dyDescent="0.2">
      <c r="A117" s="35"/>
      <c r="B117" s="35"/>
      <c r="J117" s="33"/>
      <c r="K117" s="33"/>
    </row>
    <row r="118" spans="1:11" x14ac:dyDescent="0.2">
      <c r="A118" s="35"/>
      <c r="B118" s="35"/>
      <c r="J118" s="33"/>
      <c r="K118" s="33"/>
    </row>
    <row r="119" spans="1:11" x14ac:dyDescent="0.2">
      <c r="A119" s="35"/>
      <c r="B119" s="35"/>
      <c r="J119" s="33"/>
      <c r="K119" s="33"/>
    </row>
    <row r="120" spans="1:11" x14ac:dyDescent="0.2">
      <c r="A120" s="35"/>
      <c r="B120" s="35"/>
      <c r="J120" s="33"/>
      <c r="K120" s="33"/>
    </row>
    <row r="121" spans="1:11" x14ac:dyDescent="0.2">
      <c r="A121" s="35"/>
      <c r="B121" s="35"/>
      <c r="J121" s="33"/>
      <c r="K121" s="33"/>
    </row>
    <row r="122" spans="1:11" x14ac:dyDescent="0.2">
      <c r="A122" s="35"/>
      <c r="B122" s="35"/>
      <c r="J122" s="33"/>
      <c r="K122" s="33"/>
    </row>
    <row r="123" spans="1:11" x14ac:dyDescent="0.2">
      <c r="A123" s="35"/>
      <c r="B123" s="35"/>
      <c r="J123" s="33"/>
      <c r="K123" s="33"/>
    </row>
    <row r="124" spans="1:11" x14ac:dyDescent="0.2">
      <c r="A124" s="35"/>
      <c r="B124" s="35"/>
      <c r="J124" s="33"/>
      <c r="K124" s="33"/>
    </row>
    <row r="125" spans="1:11" x14ac:dyDescent="0.2">
      <c r="A125" s="35"/>
      <c r="B125" s="35"/>
      <c r="J125" s="33"/>
      <c r="K125" s="33"/>
    </row>
    <row r="126" spans="1:11" x14ac:dyDescent="0.2">
      <c r="A126" s="35"/>
      <c r="B126" s="35"/>
      <c r="J126" s="33"/>
      <c r="K126" s="33"/>
    </row>
    <row r="127" spans="1:11" x14ac:dyDescent="0.2">
      <c r="A127" s="35"/>
      <c r="B127" s="35"/>
      <c r="J127" s="33"/>
      <c r="K127" s="33"/>
    </row>
    <row r="128" spans="1:11" x14ac:dyDescent="0.2">
      <c r="A128" s="35"/>
      <c r="B128" s="35"/>
      <c r="J128" s="33"/>
      <c r="K128" s="33"/>
    </row>
    <row r="129" spans="1:11" x14ac:dyDescent="0.2">
      <c r="A129" s="35"/>
      <c r="B129" s="35"/>
      <c r="J129" s="33"/>
      <c r="K129" s="33"/>
    </row>
    <row r="130" spans="1:11" x14ac:dyDescent="0.2">
      <c r="A130" s="35"/>
      <c r="B130" s="35"/>
      <c r="J130" s="33"/>
      <c r="K130" s="33"/>
    </row>
    <row r="131" spans="1:11" x14ac:dyDescent="0.2">
      <c r="A131" s="35"/>
      <c r="B131" s="35"/>
      <c r="J131" s="33"/>
      <c r="K131" s="33"/>
    </row>
    <row r="132" spans="1:11" x14ac:dyDescent="0.2">
      <c r="A132" s="35"/>
      <c r="B132" s="35"/>
      <c r="J132" s="33"/>
      <c r="K132" s="33"/>
    </row>
    <row r="133" spans="1:11" x14ac:dyDescent="0.2">
      <c r="A133" s="35"/>
      <c r="B133" s="35"/>
      <c r="J133" s="33"/>
      <c r="K133" s="33"/>
    </row>
    <row r="134" spans="1:11" x14ac:dyDescent="0.2">
      <c r="A134" s="35"/>
      <c r="B134" s="35"/>
      <c r="J134" s="33"/>
      <c r="K134" s="33"/>
    </row>
    <row r="135" spans="1:11" x14ac:dyDescent="0.2">
      <c r="A135" s="35"/>
      <c r="B135" s="35"/>
      <c r="J135" s="33"/>
      <c r="K135" s="33"/>
    </row>
    <row r="136" spans="1:11" x14ac:dyDescent="0.2">
      <c r="A136" s="35"/>
      <c r="B136" s="35"/>
      <c r="J136" s="33"/>
      <c r="K136" s="33"/>
    </row>
    <row r="137" spans="1:11" x14ac:dyDescent="0.2">
      <c r="A137" s="35"/>
      <c r="B137" s="35"/>
      <c r="J137" s="33"/>
      <c r="K137" s="33"/>
    </row>
    <row r="138" spans="1:11" x14ac:dyDescent="0.2">
      <c r="A138" s="35"/>
      <c r="B138" s="35"/>
      <c r="J138" s="33"/>
      <c r="K138" s="33"/>
    </row>
    <row r="139" spans="1:11" x14ac:dyDescent="0.2">
      <c r="A139" s="35"/>
      <c r="B139" s="35"/>
      <c r="J139" s="33"/>
      <c r="K139" s="33"/>
    </row>
    <row r="140" spans="1:11" x14ac:dyDescent="0.2">
      <c r="A140" s="35"/>
      <c r="B140" s="35"/>
      <c r="J140" s="33"/>
      <c r="K140" s="33"/>
    </row>
    <row r="141" spans="1:11" x14ac:dyDescent="0.2">
      <c r="A141" s="35"/>
      <c r="B141" s="35"/>
      <c r="J141" s="33"/>
      <c r="K141" s="33"/>
    </row>
    <row r="142" spans="1:11" x14ac:dyDescent="0.2">
      <c r="A142" s="35"/>
      <c r="B142" s="35"/>
      <c r="J142" s="33"/>
      <c r="K142" s="33"/>
    </row>
    <row r="143" spans="1:11" x14ac:dyDescent="0.2">
      <c r="A143" s="35"/>
      <c r="B143" s="35"/>
      <c r="J143" s="33"/>
      <c r="K143" s="33"/>
    </row>
    <row r="144" spans="1:11" x14ac:dyDescent="0.2">
      <c r="A144" s="35"/>
      <c r="B144" s="35"/>
      <c r="J144" s="33"/>
      <c r="K144" s="33"/>
    </row>
    <row r="145" spans="1:11" x14ac:dyDescent="0.2">
      <c r="A145" s="35"/>
      <c r="B145" s="35"/>
      <c r="J145" s="33"/>
      <c r="K145" s="33"/>
    </row>
    <row r="146" spans="1:11" x14ac:dyDescent="0.2">
      <c r="A146" s="35"/>
      <c r="B146" s="35"/>
      <c r="J146" s="33"/>
      <c r="K146" s="33"/>
    </row>
    <row r="147" spans="1:11" x14ac:dyDescent="0.2">
      <c r="A147" s="35"/>
      <c r="B147" s="35"/>
      <c r="J147" s="33"/>
      <c r="K147" s="33"/>
    </row>
    <row r="148" spans="1:11" x14ac:dyDescent="0.2">
      <c r="A148" s="35"/>
      <c r="B148" s="35"/>
      <c r="J148" s="33"/>
      <c r="K148" s="33"/>
    </row>
    <row r="149" spans="1:11" x14ac:dyDescent="0.2">
      <c r="A149" s="35"/>
      <c r="B149" s="35"/>
      <c r="J149" s="33"/>
      <c r="K149" s="33"/>
    </row>
    <row r="150" spans="1:11" x14ac:dyDescent="0.2">
      <c r="A150" s="35"/>
      <c r="B150" s="35"/>
      <c r="J150" s="33"/>
      <c r="K150" s="33"/>
    </row>
    <row r="151" spans="1:11" x14ac:dyDescent="0.2">
      <c r="A151" s="35"/>
      <c r="B151" s="35"/>
      <c r="J151" s="33"/>
      <c r="K151" s="33"/>
    </row>
    <row r="152" spans="1:11" x14ac:dyDescent="0.2">
      <c r="A152" s="35"/>
      <c r="B152" s="35"/>
      <c r="J152" s="33"/>
      <c r="K152" s="33"/>
    </row>
    <row r="153" spans="1:11" x14ac:dyDescent="0.2">
      <c r="A153" s="35"/>
      <c r="B153" s="35"/>
      <c r="J153" s="33"/>
      <c r="K153" s="33"/>
    </row>
    <row r="154" spans="1:11" x14ac:dyDescent="0.2">
      <c r="A154" s="35"/>
      <c r="B154" s="35"/>
      <c r="J154" s="33"/>
      <c r="K154" s="33"/>
    </row>
    <row r="155" spans="1:11" x14ac:dyDescent="0.2">
      <c r="A155" s="35"/>
      <c r="B155" s="35"/>
      <c r="J155" s="33"/>
      <c r="K155" s="33"/>
    </row>
    <row r="156" spans="1:11" x14ac:dyDescent="0.2">
      <c r="A156" s="35"/>
      <c r="B156" s="35"/>
      <c r="J156" s="33"/>
      <c r="K156" s="33"/>
    </row>
    <row r="157" spans="1:11" x14ac:dyDescent="0.2">
      <c r="A157" s="35"/>
      <c r="B157" s="35"/>
      <c r="J157" s="33"/>
      <c r="K157" s="33"/>
    </row>
    <row r="158" spans="1:11" x14ac:dyDescent="0.2">
      <c r="A158" s="35"/>
      <c r="B158" s="35"/>
      <c r="J158" s="33"/>
      <c r="K158" s="33"/>
    </row>
    <row r="159" spans="1:11" x14ac:dyDescent="0.2">
      <c r="A159" s="35"/>
      <c r="B159" s="35"/>
      <c r="J159" s="33"/>
      <c r="K159" s="33"/>
    </row>
    <row r="160" spans="1:11" x14ac:dyDescent="0.2">
      <c r="A160" s="35"/>
      <c r="B160" s="35"/>
      <c r="J160" s="33"/>
      <c r="K160" s="33"/>
    </row>
    <row r="161" spans="1:11" x14ac:dyDescent="0.2">
      <c r="A161" s="35"/>
      <c r="B161" s="35"/>
      <c r="J161" s="33"/>
      <c r="K161" s="33"/>
    </row>
    <row r="162" spans="1:11" x14ac:dyDescent="0.2">
      <c r="A162" s="35"/>
      <c r="B162" s="35"/>
      <c r="J162" s="33"/>
      <c r="K162" s="33"/>
    </row>
    <row r="163" spans="1:11" x14ac:dyDescent="0.2">
      <c r="A163" s="35"/>
      <c r="B163" s="35"/>
      <c r="J163" s="33"/>
      <c r="K163" s="33"/>
    </row>
    <row r="164" spans="1:11" x14ac:dyDescent="0.2">
      <c r="A164" s="35"/>
      <c r="B164" s="35"/>
      <c r="J164" s="33"/>
      <c r="K164" s="33"/>
    </row>
    <row r="165" spans="1:11" x14ac:dyDescent="0.2">
      <c r="A165" s="35"/>
      <c r="B165" s="35"/>
      <c r="J165" s="33"/>
      <c r="K165" s="33"/>
    </row>
    <row r="166" spans="1:11" x14ac:dyDescent="0.2">
      <c r="A166" s="35"/>
      <c r="B166" s="35"/>
      <c r="J166" s="33"/>
      <c r="K166" s="33"/>
    </row>
    <row r="167" spans="1:11" x14ac:dyDescent="0.2">
      <c r="A167" s="35"/>
      <c r="B167" s="35"/>
      <c r="J167" s="33"/>
      <c r="K167" s="33"/>
    </row>
    <row r="168" spans="1:11" x14ac:dyDescent="0.2">
      <c r="A168" s="35"/>
      <c r="B168" s="35"/>
      <c r="J168" s="33"/>
      <c r="K168" s="33"/>
    </row>
    <row r="169" spans="1:11" x14ac:dyDescent="0.2">
      <c r="A169" s="35"/>
      <c r="B169" s="35"/>
      <c r="J169" s="33"/>
      <c r="K169" s="33"/>
    </row>
    <row r="170" spans="1:11" x14ac:dyDescent="0.2">
      <c r="A170" s="35"/>
      <c r="B170" s="35"/>
      <c r="J170" s="33"/>
      <c r="K170" s="33"/>
    </row>
    <row r="171" spans="1:11" x14ac:dyDescent="0.2">
      <c r="A171" s="35"/>
      <c r="B171" s="35"/>
      <c r="J171" s="33"/>
      <c r="K171" s="33"/>
    </row>
    <row r="172" spans="1:11" x14ac:dyDescent="0.2">
      <c r="A172" s="35"/>
      <c r="B172" s="35"/>
      <c r="J172" s="33"/>
      <c r="K172" s="33"/>
    </row>
    <row r="173" spans="1:11" x14ac:dyDescent="0.2">
      <c r="A173" s="35"/>
      <c r="B173" s="35"/>
      <c r="J173" s="33"/>
      <c r="K173" s="33"/>
    </row>
    <row r="174" spans="1:11" x14ac:dyDescent="0.2">
      <c r="A174" s="35"/>
      <c r="B174" s="35"/>
      <c r="J174" s="33"/>
      <c r="K174" s="33"/>
    </row>
    <row r="175" spans="1:11" x14ac:dyDescent="0.2">
      <c r="A175" s="35"/>
      <c r="B175" s="35"/>
      <c r="J175" s="33"/>
      <c r="K175" s="33"/>
    </row>
    <row r="176" spans="1:11" x14ac:dyDescent="0.2">
      <c r="A176" s="35"/>
      <c r="B176" s="35"/>
      <c r="J176" s="33"/>
      <c r="K176" s="33"/>
    </row>
    <row r="177" spans="1:11" x14ac:dyDescent="0.2">
      <c r="A177" s="35"/>
      <c r="B177" s="35"/>
      <c r="J177" s="33"/>
      <c r="K177" s="33"/>
    </row>
    <row r="178" spans="1:11" x14ac:dyDescent="0.2">
      <c r="A178" s="35"/>
      <c r="B178" s="35"/>
      <c r="J178" s="33"/>
      <c r="K178" s="33"/>
    </row>
    <row r="179" spans="1:11" x14ac:dyDescent="0.2">
      <c r="A179" s="35"/>
      <c r="B179" s="35"/>
      <c r="J179" s="33"/>
      <c r="K179" s="33"/>
    </row>
  </sheetData>
  <sortState xmlns:xlrd2="http://schemas.microsoft.com/office/spreadsheetml/2017/richdata2" ref="A11:N16">
    <sortCondition ref="A11:A16"/>
  </sortState>
  <customSheetViews>
    <customSheetView guid="{25DC4F91-A91C-4C3F-9681-9209750ABBEA}">
      <selection activeCell="A17" sqref="A17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A29" sqref="A29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D4" sqref="D4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>
      <selection activeCell="A26" sqref="A26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>
      <selection activeCell="F75" sqref="F75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P179"/>
  <sheetViews>
    <sheetView zoomScaleNormal="100" workbookViewId="0">
      <selection activeCell="A11" sqref="A11:N30"/>
    </sheetView>
  </sheetViews>
  <sheetFormatPr baseColWidth="10" defaultRowHeight="12.75" x14ac:dyDescent="0.2"/>
  <cols>
    <col min="2" max="2" width="18.7109375" customWidth="1"/>
    <col min="10" max="10" width="13.28515625" bestFit="1" customWidth="1"/>
    <col min="12" max="12" width="14" bestFit="1" customWidth="1"/>
  </cols>
  <sheetData>
    <row r="1" spans="1:16" ht="18" x14ac:dyDescent="0.25">
      <c r="A1" s="101" t="s">
        <v>38</v>
      </c>
      <c r="B1" s="102"/>
      <c r="C1" s="140"/>
      <c r="D1" s="141"/>
      <c r="E1" s="141"/>
      <c r="F1" s="141"/>
      <c r="G1" s="141"/>
      <c r="H1" s="141"/>
      <c r="I1" s="141"/>
      <c r="J1" s="104"/>
      <c r="K1" s="104"/>
      <c r="L1" s="141"/>
      <c r="M1" s="141"/>
      <c r="N1" s="106"/>
      <c r="O1" s="106"/>
      <c r="P1" s="142"/>
    </row>
    <row r="2" spans="1:16" ht="13.5" thickBot="1" x14ac:dyDescent="0.25">
      <c r="A2" s="108"/>
      <c r="B2" s="109"/>
      <c r="C2" s="143"/>
      <c r="D2" s="144"/>
      <c r="E2" s="144"/>
      <c r="F2" s="144"/>
      <c r="G2" s="144"/>
      <c r="H2" s="144"/>
      <c r="I2" s="144"/>
      <c r="J2" s="109"/>
      <c r="K2" s="109"/>
      <c r="L2" s="144"/>
      <c r="M2" s="144"/>
      <c r="N2" s="145"/>
      <c r="O2" s="145"/>
      <c r="P2" s="146"/>
    </row>
    <row r="3" spans="1:16" x14ac:dyDescent="0.2">
      <c r="A3" s="324" t="s">
        <v>40</v>
      </c>
      <c r="B3" s="325"/>
      <c r="C3" s="281" t="str">
        <f>November!C3</f>
        <v>Gehalt 1</v>
      </c>
      <c r="D3" s="281" t="str">
        <f>November!D3</f>
        <v>xxx</v>
      </c>
      <c r="E3" s="281" t="str">
        <f>November!E3</f>
        <v>xxx</v>
      </c>
      <c r="F3" s="281" t="str">
        <f>November!F3</f>
        <v>xxx</v>
      </c>
      <c r="G3" s="281" t="str">
        <f>November!G3</f>
        <v>xxx</v>
      </c>
      <c r="H3" s="281" t="str">
        <f>November!H3</f>
        <v>xxx</v>
      </c>
      <c r="I3" s="281" t="str">
        <f>November!I3</f>
        <v>xxx</v>
      </c>
      <c r="J3" s="281" t="str">
        <f>November!J3</f>
        <v>xxx</v>
      </c>
      <c r="K3" s="281" t="str">
        <f>November!K3</f>
        <v>xxx</v>
      </c>
      <c r="L3" s="281" t="str">
        <f>November!L3</f>
        <v>xxx</v>
      </c>
      <c r="M3" s="281" t="str">
        <f>November!M3</f>
        <v>xxx</v>
      </c>
      <c r="N3" s="281" t="str">
        <f>November!N3</f>
        <v>xxx</v>
      </c>
      <c r="O3" s="281" t="str">
        <f>November!O3</f>
        <v>xxx</v>
      </c>
      <c r="P3" s="284" t="str">
        <f>November!P3</f>
        <v>xxx</v>
      </c>
    </row>
    <row r="4" spans="1:16" ht="13.5" thickBot="1" x14ac:dyDescent="0.25">
      <c r="A4" s="326"/>
      <c r="B4" s="327"/>
      <c r="C4" s="319">
        <v>0</v>
      </c>
      <c r="D4" s="319">
        <f>November!D4</f>
        <v>0</v>
      </c>
      <c r="E4" s="319">
        <f>November!E4</f>
        <v>0</v>
      </c>
      <c r="F4" s="319">
        <f>November!F4</f>
        <v>0</v>
      </c>
      <c r="G4" s="319">
        <f>November!G4</f>
        <v>0</v>
      </c>
      <c r="H4" s="319">
        <f>November!H4</f>
        <v>0</v>
      </c>
      <c r="I4" s="319">
        <f>November!I4</f>
        <v>0</v>
      </c>
      <c r="J4" s="319">
        <f>November!J4</f>
        <v>0</v>
      </c>
      <c r="K4" s="319">
        <f>November!K4</f>
        <v>0</v>
      </c>
      <c r="L4" s="319">
        <f>November!L4</f>
        <v>0</v>
      </c>
      <c r="M4" s="319">
        <f>November!M4</f>
        <v>0</v>
      </c>
      <c r="N4" s="319">
        <f>November!N4</f>
        <v>0</v>
      </c>
      <c r="O4" s="319">
        <f>November!O4</f>
        <v>0</v>
      </c>
      <c r="P4" s="328">
        <f>November!P4</f>
        <v>0</v>
      </c>
    </row>
    <row r="5" spans="1:16" ht="13.5" thickBot="1" x14ac:dyDescent="0.25">
      <c r="A5" s="108"/>
      <c r="B5" s="109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6"/>
    </row>
    <row r="6" spans="1:16" ht="24" x14ac:dyDescent="0.2">
      <c r="A6" s="266" t="s">
        <v>48</v>
      </c>
      <c r="B6" s="349"/>
      <c r="C6" s="350" t="str">
        <f>November!C6</f>
        <v>Gas</v>
      </c>
      <c r="D6" s="350" t="str">
        <f>November!D6</f>
        <v>Strom</v>
      </c>
      <c r="E6" s="350" t="str">
        <f>November!E6</f>
        <v>Wasser
Abwasser</v>
      </c>
      <c r="F6" s="350" t="s">
        <v>70</v>
      </c>
      <c r="G6" s="350" t="s">
        <v>70</v>
      </c>
      <c r="H6" s="350" t="s">
        <v>70</v>
      </c>
      <c r="I6" s="350" t="s">
        <v>70</v>
      </c>
      <c r="J6" s="350" t="s">
        <v>70</v>
      </c>
      <c r="K6" s="350" t="s">
        <v>70</v>
      </c>
      <c r="L6" s="350" t="s">
        <v>70</v>
      </c>
      <c r="M6" s="350" t="s">
        <v>70</v>
      </c>
      <c r="N6" s="350" t="s">
        <v>70</v>
      </c>
      <c r="O6" s="350" t="s">
        <v>70</v>
      </c>
      <c r="P6" s="351" t="str">
        <f>November!P6</f>
        <v>xxx</v>
      </c>
    </row>
    <row r="7" spans="1:16" ht="13.5" thickBot="1" x14ac:dyDescent="0.25">
      <c r="A7" s="326"/>
      <c r="B7" s="327"/>
      <c r="C7" s="352">
        <v>0</v>
      </c>
      <c r="D7" s="352">
        <v>0</v>
      </c>
      <c r="E7" s="352">
        <v>0</v>
      </c>
      <c r="F7" s="352">
        <v>0</v>
      </c>
      <c r="G7" s="352">
        <v>0</v>
      </c>
      <c r="H7" s="352">
        <v>0</v>
      </c>
      <c r="I7" s="352">
        <v>0</v>
      </c>
      <c r="J7" s="352">
        <v>0</v>
      </c>
      <c r="K7" s="352">
        <f>November!K7</f>
        <v>0</v>
      </c>
      <c r="L7" s="352">
        <v>0</v>
      </c>
      <c r="M7" s="352">
        <v>0</v>
      </c>
      <c r="N7" s="352">
        <v>0</v>
      </c>
      <c r="O7" s="352">
        <v>0</v>
      </c>
      <c r="P7" s="353">
        <f>November!P7</f>
        <v>0</v>
      </c>
    </row>
    <row r="8" spans="1:16" x14ac:dyDescent="0.2">
      <c r="A8" s="108"/>
      <c r="B8" s="109"/>
      <c r="C8" s="144"/>
      <c r="D8" s="144"/>
      <c r="E8" s="144"/>
      <c r="F8" s="144"/>
      <c r="G8" s="144"/>
      <c r="H8" s="144"/>
      <c r="I8" s="144"/>
      <c r="J8" s="109"/>
      <c r="K8" s="109"/>
      <c r="L8" s="144"/>
      <c r="M8" s="144"/>
      <c r="N8" s="144"/>
      <c r="O8" s="144"/>
      <c r="P8" s="146"/>
    </row>
    <row r="9" spans="1:16" ht="13.5" thickBot="1" x14ac:dyDescent="0.25">
      <c r="A9" s="116" t="s">
        <v>49</v>
      </c>
      <c r="B9" s="47"/>
      <c r="C9" s="270"/>
      <c r="D9" s="270"/>
      <c r="E9" s="270"/>
      <c r="F9" s="270"/>
      <c r="G9" s="270"/>
      <c r="H9" s="270"/>
      <c r="I9" s="270"/>
      <c r="J9" s="48"/>
      <c r="K9" s="48"/>
      <c r="L9" s="270"/>
      <c r="M9" s="270"/>
      <c r="N9" s="270"/>
      <c r="O9" s="270"/>
      <c r="P9" s="271"/>
    </row>
    <row r="10" spans="1:16" ht="24" x14ac:dyDescent="0.2">
      <c r="A10" s="85" t="s">
        <v>50</v>
      </c>
      <c r="B10" s="86" t="s">
        <v>51</v>
      </c>
      <c r="C10" s="292" t="str">
        <f>November!C10</f>
        <v>Telefon</v>
      </c>
      <c r="D10" s="293" t="str">
        <f>November!D10</f>
        <v>Lebensmittel</v>
      </c>
      <c r="E10" s="293" t="s">
        <v>76</v>
      </c>
      <c r="F10" s="293" t="s">
        <v>77</v>
      </c>
      <c r="G10" s="293" t="str">
        <f>November!G10</f>
        <v>Haushalt</v>
      </c>
      <c r="H10" s="293" t="s">
        <v>78</v>
      </c>
      <c r="I10" s="293" t="str">
        <f>November!I10</f>
        <v>Freizeit</v>
      </c>
      <c r="J10" s="293" t="str">
        <f>November!J10</f>
        <v>Anschaffungen</v>
      </c>
      <c r="K10" s="293" t="str">
        <f>November!K10</f>
        <v>Arzt/Apo</v>
      </c>
      <c r="L10" s="293" t="str">
        <f>November!L10</f>
        <v>Versicherungen</v>
      </c>
      <c r="M10" s="293" t="str">
        <f>November!M10</f>
        <v>Abfall</v>
      </c>
      <c r="N10" s="293" t="str">
        <f>November!N10</f>
        <v>Tabak</v>
      </c>
      <c r="O10" s="293" t="str">
        <f>November!O10</f>
        <v>Diana</v>
      </c>
      <c r="P10" s="294" t="str">
        <f>November!P10</f>
        <v>Sonstiges</v>
      </c>
    </row>
    <row r="11" spans="1:16" x14ac:dyDescent="0.2">
      <c r="A11" s="87"/>
      <c r="B11" s="88"/>
      <c r="C11" s="285"/>
      <c r="D11" s="51"/>
      <c r="E11" s="51"/>
      <c r="F11" s="51"/>
      <c r="G11" s="51"/>
      <c r="H11" s="51"/>
      <c r="I11" s="51"/>
      <c r="J11" s="52"/>
      <c r="K11" s="52"/>
      <c r="L11" s="51"/>
      <c r="M11" s="51"/>
      <c r="N11" s="53"/>
      <c r="O11" s="53"/>
      <c r="P11" s="117"/>
    </row>
    <row r="12" spans="1:16" x14ac:dyDescent="0.2">
      <c r="A12" s="89"/>
      <c r="B12" s="90"/>
      <c r="C12" s="286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5"/>
      <c r="O12" s="55"/>
      <c r="P12" s="118"/>
    </row>
    <row r="13" spans="1:16" x14ac:dyDescent="0.2">
      <c r="A13" s="89"/>
      <c r="B13" s="90"/>
      <c r="C13" s="286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5"/>
      <c r="O13" s="55"/>
      <c r="P13" s="118"/>
    </row>
    <row r="14" spans="1:16" x14ac:dyDescent="0.2">
      <c r="A14" s="89"/>
      <c r="B14" s="90"/>
      <c r="C14" s="286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5"/>
      <c r="P14" s="118"/>
    </row>
    <row r="15" spans="1:16" x14ac:dyDescent="0.2">
      <c r="A15" s="89"/>
      <c r="B15" s="90"/>
      <c r="C15" s="286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5"/>
      <c r="O15" s="55"/>
      <c r="P15" s="118"/>
    </row>
    <row r="16" spans="1:16" x14ac:dyDescent="0.2">
      <c r="A16" s="89"/>
      <c r="B16" s="90"/>
      <c r="C16" s="286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5"/>
      <c r="O16" s="55"/>
      <c r="P16" s="118"/>
    </row>
    <row r="17" spans="1:16" x14ac:dyDescent="0.2">
      <c r="A17" s="89"/>
      <c r="B17" s="90"/>
      <c r="C17" s="286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5"/>
      <c r="O17" s="55"/>
      <c r="P17" s="118"/>
    </row>
    <row r="18" spans="1:16" x14ac:dyDescent="0.2">
      <c r="A18" s="89"/>
      <c r="B18" s="90"/>
      <c r="C18" s="286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5"/>
      <c r="O18" s="55"/>
      <c r="P18" s="118"/>
    </row>
    <row r="19" spans="1:16" x14ac:dyDescent="0.2">
      <c r="A19" s="89"/>
      <c r="B19" s="90"/>
      <c r="C19" s="286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5"/>
      <c r="O19" s="55"/>
      <c r="P19" s="118"/>
    </row>
    <row r="20" spans="1:16" x14ac:dyDescent="0.2">
      <c r="A20" s="89"/>
      <c r="B20" s="90"/>
      <c r="C20" s="286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5"/>
      <c r="O20" s="55"/>
      <c r="P20" s="118"/>
    </row>
    <row r="21" spans="1:16" x14ac:dyDescent="0.2">
      <c r="A21" s="89"/>
      <c r="B21" s="90"/>
      <c r="C21" s="286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5"/>
      <c r="O21" s="55"/>
      <c r="P21" s="118"/>
    </row>
    <row r="22" spans="1:16" x14ac:dyDescent="0.2">
      <c r="A22" s="89"/>
      <c r="B22" s="90"/>
      <c r="C22" s="286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5"/>
      <c r="O22" s="55"/>
      <c r="P22" s="118"/>
    </row>
    <row r="23" spans="1:16" x14ac:dyDescent="0.2">
      <c r="A23" s="91"/>
      <c r="B23" s="90"/>
      <c r="C23" s="286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5"/>
      <c r="O23" s="55"/>
      <c r="P23" s="118"/>
    </row>
    <row r="24" spans="1:16" x14ac:dyDescent="0.2">
      <c r="A24" s="89"/>
      <c r="B24" s="90"/>
      <c r="C24" s="286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5"/>
      <c r="O24" s="55"/>
      <c r="P24" s="118"/>
    </row>
    <row r="25" spans="1:16" x14ac:dyDescent="0.2">
      <c r="A25" s="89"/>
      <c r="B25" s="90"/>
      <c r="C25" s="286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5"/>
      <c r="O25" s="55"/>
      <c r="P25" s="118"/>
    </row>
    <row r="26" spans="1:16" x14ac:dyDescent="0.2">
      <c r="A26" s="89"/>
      <c r="B26" s="90"/>
      <c r="C26" s="286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5"/>
      <c r="O26" s="55"/>
      <c r="P26" s="118"/>
    </row>
    <row r="27" spans="1:16" x14ac:dyDescent="0.2">
      <c r="A27" s="89"/>
      <c r="B27" s="90"/>
      <c r="C27" s="286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5"/>
      <c r="O27" s="55"/>
      <c r="P27" s="118"/>
    </row>
    <row r="28" spans="1:16" x14ac:dyDescent="0.2">
      <c r="A28" s="89"/>
      <c r="B28" s="90"/>
      <c r="C28" s="286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5"/>
      <c r="P28" s="118"/>
    </row>
    <row r="29" spans="1:16" x14ac:dyDescent="0.2">
      <c r="A29" s="89"/>
      <c r="B29" s="90"/>
      <c r="C29" s="286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5"/>
      <c r="O29" s="55"/>
      <c r="P29" s="118"/>
    </row>
    <row r="30" spans="1:16" x14ac:dyDescent="0.2">
      <c r="A30" s="89"/>
      <c r="B30" s="90"/>
      <c r="C30" s="286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5"/>
      <c r="O30" s="55"/>
      <c r="P30" s="118"/>
    </row>
    <row r="31" spans="1:16" x14ac:dyDescent="0.2">
      <c r="A31" s="89"/>
      <c r="B31" s="90"/>
      <c r="C31" s="286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5"/>
      <c r="O31" s="55"/>
      <c r="P31" s="118"/>
    </row>
    <row r="32" spans="1:16" x14ac:dyDescent="0.2">
      <c r="A32" s="89"/>
      <c r="B32" s="90"/>
      <c r="C32" s="286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5"/>
      <c r="O32" s="55"/>
      <c r="P32" s="118"/>
    </row>
    <row r="33" spans="1:16" x14ac:dyDescent="0.2">
      <c r="A33" s="89"/>
      <c r="B33" s="90"/>
      <c r="C33" s="286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5"/>
      <c r="O33" s="55"/>
      <c r="P33" s="118"/>
    </row>
    <row r="34" spans="1:16" x14ac:dyDescent="0.2">
      <c r="A34" s="89"/>
      <c r="B34" s="90"/>
      <c r="C34" s="286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5"/>
      <c r="O34" s="55"/>
      <c r="P34" s="118"/>
    </row>
    <row r="35" spans="1:16" x14ac:dyDescent="0.2">
      <c r="A35" s="89"/>
      <c r="B35" s="90"/>
      <c r="C35" s="286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5"/>
      <c r="O35" s="55"/>
      <c r="P35" s="118"/>
    </row>
    <row r="36" spans="1:16" x14ac:dyDescent="0.2">
      <c r="A36" s="89"/>
      <c r="B36" s="90"/>
      <c r="C36" s="286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5"/>
      <c r="O36" s="55"/>
      <c r="P36" s="118"/>
    </row>
    <row r="37" spans="1:16" x14ac:dyDescent="0.2">
      <c r="A37" s="89"/>
      <c r="B37" s="90"/>
      <c r="C37" s="286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5"/>
      <c r="O37" s="55"/>
      <c r="P37" s="118"/>
    </row>
    <row r="38" spans="1:16" x14ac:dyDescent="0.2">
      <c r="A38" s="89"/>
      <c r="B38" s="90"/>
      <c r="C38" s="286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5"/>
      <c r="O38" s="55"/>
      <c r="P38" s="118"/>
    </row>
    <row r="39" spans="1:16" x14ac:dyDescent="0.2">
      <c r="A39" s="89"/>
      <c r="B39" s="90"/>
      <c r="C39" s="286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5"/>
      <c r="O39" s="55"/>
      <c r="P39" s="118"/>
    </row>
    <row r="40" spans="1:16" ht="13.5" thickBot="1" x14ac:dyDescent="0.25">
      <c r="A40" s="94"/>
      <c r="B40" s="95"/>
      <c r="C40" s="287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90"/>
      <c r="O40" s="290"/>
      <c r="P40" s="291"/>
    </row>
    <row r="41" spans="1:16" x14ac:dyDescent="0.2">
      <c r="A41" s="367" t="s">
        <v>71</v>
      </c>
      <c r="B41" s="368"/>
      <c r="C41" s="378">
        <f t="shared" ref="C41:P41" si="0">SUM(C11:C40)</f>
        <v>0</v>
      </c>
      <c r="D41" s="378">
        <f t="shared" si="0"/>
        <v>0</v>
      </c>
      <c r="E41" s="378">
        <f t="shared" si="0"/>
        <v>0</v>
      </c>
      <c r="F41" s="378">
        <f t="shared" si="0"/>
        <v>0</v>
      </c>
      <c r="G41" s="378">
        <f t="shared" si="0"/>
        <v>0</v>
      </c>
      <c r="H41" s="378">
        <f t="shared" si="0"/>
        <v>0</v>
      </c>
      <c r="I41" s="378">
        <f t="shared" si="0"/>
        <v>0</v>
      </c>
      <c r="J41" s="369">
        <f t="shared" si="0"/>
        <v>0</v>
      </c>
      <c r="K41" s="369">
        <f t="shared" si="0"/>
        <v>0</v>
      </c>
      <c r="L41" s="378">
        <f t="shared" si="0"/>
        <v>0</v>
      </c>
      <c r="M41" s="378">
        <f t="shared" si="0"/>
        <v>0</v>
      </c>
      <c r="N41" s="378">
        <f t="shared" si="0"/>
        <v>0</v>
      </c>
      <c r="O41" s="378">
        <f t="shared" si="0"/>
        <v>0</v>
      </c>
      <c r="P41" s="379">
        <f t="shared" si="0"/>
        <v>0</v>
      </c>
    </row>
    <row r="42" spans="1:16" ht="13.5" thickBot="1" x14ac:dyDescent="0.25">
      <c r="A42" s="372"/>
      <c r="B42" s="373"/>
      <c r="C42" s="380"/>
      <c r="D42" s="381"/>
      <c r="E42" s="381"/>
      <c r="F42" s="381"/>
      <c r="G42" s="381"/>
      <c r="H42" s="381"/>
      <c r="I42" s="381"/>
      <c r="J42" s="375"/>
      <c r="K42" s="375"/>
      <c r="L42" s="381"/>
      <c r="M42" s="381"/>
      <c r="N42" s="381"/>
      <c r="O42" s="381"/>
      <c r="P42" s="382"/>
    </row>
    <row r="43" spans="1:16" ht="13.5" thickBot="1" x14ac:dyDescent="0.25">
      <c r="A43" s="119"/>
      <c r="B43" s="78"/>
      <c r="C43" s="147"/>
      <c r="D43" s="148"/>
      <c r="E43" s="148"/>
      <c r="F43" s="148"/>
      <c r="G43" s="148"/>
      <c r="H43" s="148"/>
      <c r="I43" s="148"/>
      <c r="J43" s="120"/>
      <c r="K43" s="120"/>
      <c r="L43" s="148"/>
      <c r="M43" s="148"/>
      <c r="N43" s="148"/>
      <c r="O43" s="148"/>
      <c r="P43" s="149"/>
    </row>
    <row r="44" spans="1:16" ht="15.75" x14ac:dyDescent="0.25">
      <c r="A44" s="405" t="s">
        <v>72</v>
      </c>
      <c r="B44" s="406"/>
      <c r="C44" s="413"/>
      <c r="D44" s="414" t="str">
        <f>A1</f>
        <v>Dezember</v>
      </c>
      <c r="E44" s="147"/>
      <c r="F44" s="150"/>
      <c r="G44" s="150"/>
      <c r="H44" s="150"/>
      <c r="I44" s="150"/>
      <c r="J44" s="79"/>
      <c r="K44" s="79"/>
      <c r="L44" s="150"/>
      <c r="M44" s="147"/>
      <c r="N44" s="147"/>
      <c r="O44" s="147"/>
      <c r="P44" s="151"/>
    </row>
    <row r="45" spans="1:16" x14ac:dyDescent="0.2">
      <c r="A45" s="125" t="s">
        <v>57</v>
      </c>
      <c r="B45" s="126"/>
      <c r="C45" s="72"/>
      <c r="D45" s="415">
        <f>SUM(C41:P41)</f>
        <v>0</v>
      </c>
      <c r="E45" s="147"/>
      <c r="F45" s="152"/>
      <c r="G45" s="152"/>
      <c r="H45" s="153"/>
      <c r="I45" s="154"/>
      <c r="J45" s="79"/>
      <c r="K45" s="79"/>
      <c r="L45" s="154"/>
      <c r="M45" s="147"/>
      <c r="N45" s="147"/>
      <c r="O45" s="147"/>
      <c r="P45" s="151"/>
    </row>
    <row r="46" spans="1:16" x14ac:dyDescent="0.2">
      <c r="A46" s="125" t="s">
        <v>58</v>
      </c>
      <c r="B46" s="126"/>
      <c r="C46" s="72"/>
      <c r="D46" s="416">
        <f>SUM(C7:P7)</f>
        <v>0</v>
      </c>
      <c r="E46" s="147"/>
      <c r="F46" s="152"/>
      <c r="G46" s="152"/>
      <c r="H46" s="153"/>
      <c r="I46" s="154"/>
      <c r="J46" s="79"/>
      <c r="K46" s="79"/>
      <c r="L46" s="154"/>
      <c r="M46" s="147"/>
      <c r="N46" s="147"/>
      <c r="O46" s="147"/>
      <c r="P46" s="151"/>
    </row>
    <row r="47" spans="1:16" x14ac:dyDescent="0.2">
      <c r="A47" s="127" t="s">
        <v>59</v>
      </c>
      <c r="B47" s="128"/>
      <c r="C47" s="73"/>
      <c r="D47" s="417">
        <f>D46+D45</f>
        <v>0</v>
      </c>
      <c r="E47" s="150"/>
      <c r="F47" s="155"/>
      <c r="G47" s="155"/>
      <c r="H47" s="150"/>
      <c r="I47" s="156"/>
      <c r="J47" s="129"/>
      <c r="K47" s="129"/>
      <c r="L47" s="156"/>
      <c r="M47" s="150"/>
      <c r="N47" s="150"/>
      <c r="O47" s="150"/>
      <c r="P47" s="157"/>
    </row>
    <row r="48" spans="1:16" x14ac:dyDescent="0.2">
      <c r="A48" s="127" t="s">
        <v>60</v>
      </c>
      <c r="B48" s="128"/>
      <c r="C48" s="73"/>
      <c r="D48" s="418">
        <f>SUM(C4:P4)</f>
        <v>0</v>
      </c>
      <c r="E48" s="153"/>
      <c r="F48" s="155"/>
      <c r="G48" s="155"/>
      <c r="H48" s="150"/>
      <c r="I48" s="156"/>
      <c r="J48" s="132"/>
      <c r="K48" s="132"/>
      <c r="L48" s="156"/>
      <c r="M48" s="153"/>
      <c r="N48" s="153"/>
      <c r="O48" s="153"/>
      <c r="P48" s="158"/>
    </row>
    <row r="49" spans="1:16" ht="13.5" thickBot="1" x14ac:dyDescent="0.25">
      <c r="A49" s="251"/>
      <c r="B49" s="252"/>
      <c r="C49" s="460"/>
      <c r="D49" s="461"/>
      <c r="E49" s="147"/>
      <c r="F49" s="159"/>
      <c r="G49" s="159"/>
      <c r="H49" s="147"/>
      <c r="I49" s="148"/>
      <c r="J49" s="79"/>
      <c r="K49" s="79"/>
      <c r="L49" s="148"/>
      <c r="M49" s="147"/>
      <c r="N49" s="147"/>
      <c r="O49" s="147"/>
      <c r="P49" s="151"/>
    </row>
    <row r="50" spans="1:16" ht="16.5" thickBot="1" x14ac:dyDescent="0.3">
      <c r="A50" s="445" t="s">
        <v>61</v>
      </c>
      <c r="B50" s="446"/>
      <c r="C50" s="449"/>
      <c r="D50" s="450">
        <f>D48-D47</f>
        <v>0</v>
      </c>
      <c r="E50" s="147"/>
      <c r="F50" s="160"/>
      <c r="G50" s="160"/>
      <c r="H50" s="161"/>
      <c r="I50" s="162"/>
      <c r="J50" s="79"/>
      <c r="K50" s="79"/>
      <c r="L50" s="162"/>
      <c r="M50" s="147"/>
      <c r="N50" s="147"/>
      <c r="O50" s="147"/>
      <c r="P50" s="151"/>
    </row>
    <row r="51" spans="1:16" ht="13.5" thickBot="1" x14ac:dyDescent="0.25">
      <c r="A51" s="135"/>
      <c r="B51" s="136"/>
      <c r="C51" s="163"/>
      <c r="D51" s="163"/>
      <c r="E51" s="163"/>
      <c r="F51" s="163"/>
      <c r="G51" s="163"/>
      <c r="H51" s="163"/>
      <c r="I51" s="163"/>
      <c r="J51" s="137"/>
      <c r="K51" s="137"/>
      <c r="L51" s="163"/>
      <c r="M51" s="163"/>
      <c r="N51" s="163"/>
      <c r="O51" s="163"/>
      <c r="P51" s="164"/>
    </row>
    <row r="52" spans="1:16" x14ac:dyDescent="0.2">
      <c r="A52" s="35"/>
      <c r="B52" s="35"/>
    </row>
    <row r="53" spans="1:16" x14ac:dyDescent="0.2">
      <c r="A53" s="35"/>
      <c r="B53" s="35"/>
    </row>
    <row r="54" spans="1:16" x14ac:dyDescent="0.2">
      <c r="A54" s="35"/>
      <c r="B54" s="35"/>
    </row>
    <row r="55" spans="1:16" x14ac:dyDescent="0.2">
      <c r="A55" s="35"/>
      <c r="B55" s="35"/>
    </row>
    <row r="56" spans="1:16" x14ac:dyDescent="0.2">
      <c r="A56" s="35"/>
      <c r="B56" s="35"/>
      <c r="E56" s="36"/>
    </row>
    <row r="57" spans="1:16" x14ac:dyDescent="0.2">
      <c r="A57" s="35"/>
      <c r="B57" s="35"/>
    </row>
    <row r="58" spans="1:16" x14ac:dyDescent="0.2">
      <c r="A58" s="35"/>
      <c r="B58" s="35"/>
    </row>
    <row r="59" spans="1:16" x14ac:dyDescent="0.2">
      <c r="A59" s="35"/>
      <c r="B59" s="35"/>
    </row>
    <row r="60" spans="1:16" x14ac:dyDescent="0.2">
      <c r="A60" s="35"/>
      <c r="B60" s="35"/>
    </row>
    <row r="61" spans="1:16" x14ac:dyDescent="0.2">
      <c r="A61" s="35"/>
      <c r="B61" s="35"/>
    </row>
    <row r="62" spans="1:16" x14ac:dyDescent="0.2">
      <c r="A62" s="35"/>
      <c r="B62" s="35"/>
    </row>
    <row r="63" spans="1:16" x14ac:dyDescent="0.2">
      <c r="A63" s="35"/>
      <c r="B63" s="35"/>
    </row>
    <row r="64" spans="1:16" x14ac:dyDescent="0.2">
      <c r="A64" s="35"/>
      <c r="B64" s="35"/>
    </row>
    <row r="65" spans="1:2" x14ac:dyDescent="0.2">
      <c r="A65" s="35"/>
      <c r="B65" s="35"/>
    </row>
    <row r="66" spans="1:2" x14ac:dyDescent="0.2">
      <c r="A66" s="35"/>
      <c r="B66" s="35"/>
    </row>
    <row r="67" spans="1:2" x14ac:dyDescent="0.2">
      <c r="A67" s="35"/>
      <c r="B67" s="35"/>
    </row>
    <row r="68" spans="1:2" x14ac:dyDescent="0.2">
      <c r="A68" s="35"/>
      <c r="B68" s="35"/>
    </row>
    <row r="69" spans="1:2" x14ac:dyDescent="0.2">
      <c r="A69" s="35"/>
      <c r="B69" s="35"/>
    </row>
    <row r="70" spans="1:2" x14ac:dyDescent="0.2">
      <c r="A70" s="35"/>
      <c r="B70" s="35"/>
    </row>
    <row r="71" spans="1:2" x14ac:dyDescent="0.2">
      <c r="A71" s="35"/>
      <c r="B71" s="35"/>
    </row>
    <row r="72" spans="1:2" x14ac:dyDescent="0.2">
      <c r="A72" s="35"/>
      <c r="B72" s="35"/>
    </row>
    <row r="73" spans="1:2" x14ac:dyDescent="0.2">
      <c r="A73" s="35"/>
      <c r="B73" s="35"/>
    </row>
    <row r="74" spans="1:2" x14ac:dyDescent="0.2">
      <c r="A74" s="35"/>
      <c r="B74" s="35"/>
    </row>
    <row r="75" spans="1:2" x14ac:dyDescent="0.2">
      <c r="A75" s="35"/>
      <c r="B75" s="35"/>
    </row>
    <row r="76" spans="1:2" x14ac:dyDescent="0.2">
      <c r="A76" s="35"/>
      <c r="B76" s="35"/>
    </row>
    <row r="77" spans="1:2" x14ac:dyDescent="0.2">
      <c r="A77" s="35"/>
      <c r="B77" s="35"/>
    </row>
    <row r="78" spans="1:2" x14ac:dyDescent="0.2">
      <c r="A78" s="35"/>
      <c r="B78" s="35"/>
    </row>
    <row r="79" spans="1:2" x14ac:dyDescent="0.2">
      <c r="A79" s="35"/>
      <c r="B79" s="35"/>
    </row>
    <row r="80" spans="1:2" x14ac:dyDescent="0.2">
      <c r="A80" s="35"/>
      <c r="B80" s="35"/>
    </row>
    <row r="81" spans="1:2" x14ac:dyDescent="0.2">
      <c r="A81" s="35"/>
      <c r="B81" s="35"/>
    </row>
    <row r="82" spans="1:2" x14ac:dyDescent="0.2">
      <c r="A82" s="35"/>
      <c r="B82" s="35"/>
    </row>
    <row r="83" spans="1:2" x14ac:dyDescent="0.2">
      <c r="A83" s="35"/>
      <c r="B83" s="35"/>
    </row>
    <row r="84" spans="1:2" x14ac:dyDescent="0.2">
      <c r="A84" s="35"/>
      <c r="B84" s="35"/>
    </row>
    <row r="85" spans="1:2" x14ac:dyDescent="0.2">
      <c r="A85" s="35"/>
      <c r="B85" s="35"/>
    </row>
    <row r="86" spans="1:2" x14ac:dyDescent="0.2">
      <c r="A86" s="35"/>
      <c r="B86" s="35"/>
    </row>
    <row r="87" spans="1:2" x14ac:dyDescent="0.2">
      <c r="A87" s="35"/>
      <c r="B87" s="35"/>
    </row>
    <row r="88" spans="1:2" x14ac:dyDescent="0.2">
      <c r="A88" s="35"/>
      <c r="B88" s="35"/>
    </row>
    <row r="89" spans="1:2" x14ac:dyDescent="0.2">
      <c r="A89" s="35"/>
      <c r="B89" s="35"/>
    </row>
    <row r="90" spans="1:2" x14ac:dyDescent="0.2">
      <c r="A90" s="35"/>
      <c r="B90" s="35"/>
    </row>
    <row r="91" spans="1:2" x14ac:dyDescent="0.2">
      <c r="A91" s="35"/>
      <c r="B91" s="35"/>
    </row>
    <row r="92" spans="1:2" x14ac:dyDescent="0.2">
      <c r="A92" s="35"/>
      <c r="B92" s="35"/>
    </row>
    <row r="93" spans="1:2" x14ac:dyDescent="0.2">
      <c r="A93" s="35"/>
      <c r="B93" s="35"/>
    </row>
    <row r="94" spans="1:2" x14ac:dyDescent="0.2">
      <c r="A94" s="35"/>
      <c r="B94" s="35"/>
    </row>
    <row r="95" spans="1:2" x14ac:dyDescent="0.2">
      <c r="A95" s="35"/>
      <c r="B95" s="35"/>
    </row>
    <row r="96" spans="1:2" x14ac:dyDescent="0.2">
      <c r="A96" s="35"/>
      <c r="B96" s="35"/>
    </row>
    <row r="97" spans="1:2" x14ac:dyDescent="0.2">
      <c r="A97" s="35"/>
      <c r="B97" s="35"/>
    </row>
    <row r="98" spans="1:2" x14ac:dyDescent="0.2">
      <c r="A98" s="35"/>
      <c r="B98" s="35"/>
    </row>
    <row r="99" spans="1:2" x14ac:dyDescent="0.2">
      <c r="A99" s="35"/>
      <c r="B99" s="35"/>
    </row>
    <row r="100" spans="1:2" x14ac:dyDescent="0.2">
      <c r="A100" s="35"/>
      <c r="B100" s="35"/>
    </row>
    <row r="101" spans="1:2" x14ac:dyDescent="0.2">
      <c r="A101" s="35"/>
      <c r="B101" s="35"/>
    </row>
    <row r="102" spans="1:2" x14ac:dyDescent="0.2">
      <c r="A102" s="35"/>
      <c r="B102" s="35"/>
    </row>
    <row r="103" spans="1:2" x14ac:dyDescent="0.2">
      <c r="A103" s="35"/>
      <c r="B103" s="35"/>
    </row>
    <row r="104" spans="1:2" x14ac:dyDescent="0.2">
      <c r="A104" s="35"/>
      <c r="B104" s="35"/>
    </row>
    <row r="105" spans="1:2" x14ac:dyDescent="0.2">
      <c r="A105" s="35"/>
      <c r="B105" s="35"/>
    </row>
    <row r="106" spans="1:2" x14ac:dyDescent="0.2">
      <c r="A106" s="35"/>
      <c r="B106" s="35"/>
    </row>
    <row r="107" spans="1:2" x14ac:dyDescent="0.2">
      <c r="A107" s="35"/>
      <c r="B107" s="35"/>
    </row>
    <row r="108" spans="1:2" x14ac:dyDescent="0.2">
      <c r="A108" s="35"/>
      <c r="B108" s="35"/>
    </row>
    <row r="109" spans="1:2" x14ac:dyDescent="0.2">
      <c r="A109" s="35"/>
      <c r="B109" s="35"/>
    </row>
    <row r="110" spans="1:2" x14ac:dyDescent="0.2">
      <c r="A110" s="35"/>
      <c r="B110" s="35"/>
    </row>
    <row r="111" spans="1:2" x14ac:dyDescent="0.2">
      <c r="A111" s="35"/>
      <c r="B111" s="35"/>
    </row>
    <row r="112" spans="1:2" x14ac:dyDescent="0.2">
      <c r="A112" s="35"/>
      <c r="B112" s="35"/>
    </row>
    <row r="113" spans="1:2" x14ac:dyDescent="0.2">
      <c r="A113" s="35"/>
      <c r="B113" s="35"/>
    </row>
    <row r="114" spans="1:2" x14ac:dyDescent="0.2">
      <c r="A114" s="35"/>
      <c r="B114" s="35"/>
    </row>
    <row r="115" spans="1:2" x14ac:dyDescent="0.2">
      <c r="A115" s="35"/>
      <c r="B115" s="35"/>
    </row>
    <row r="116" spans="1:2" x14ac:dyDescent="0.2">
      <c r="A116" s="35"/>
      <c r="B116" s="35"/>
    </row>
    <row r="117" spans="1:2" x14ac:dyDescent="0.2">
      <c r="A117" s="35"/>
      <c r="B117" s="35"/>
    </row>
    <row r="118" spans="1:2" x14ac:dyDescent="0.2">
      <c r="A118" s="35"/>
      <c r="B118" s="35"/>
    </row>
    <row r="119" spans="1:2" x14ac:dyDescent="0.2">
      <c r="A119" s="35"/>
      <c r="B119" s="35"/>
    </row>
    <row r="120" spans="1:2" x14ac:dyDescent="0.2">
      <c r="A120" s="35"/>
      <c r="B120" s="35"/>
    </row>
    <row r="121" spans="1:2" x14ac:dyDescent="0.2">
      <c r="A121" s="35"/>
      <c r="B121" s="35"/>
    </row>
    <row r="122" spans="1:2" x14ac:dyDescent="0.2">
      <c r="A122" s="35"/>
      <c r="B122" s="35"/>
    </row>
    <row r="123" spans="1:2" x14ac:dyDescent="0.2">
      <c r="A123" s="35"/>
      <c r="B123" s="35"/>
    </row>
    <row r="124" spans="1:2" x14ac:dyDescent="0.2">
      <c r="A124" s="35"/>
      <c r="B124" s="35"/>
    </row>
    <row r="125" spans="1:2" x14ac:dyDescent="0.2">
      <c r="A125" s="35"/>
      <c r="B125" s="35"/>
    </row>
    <row r="126" spans="1:2" x14ac:dyDescent="0.2">
      <c r="A126" s="35"/>
      <c r="B126" s="35"/>
    </row>
    <row r="127" spans="1:2" x14ac:dyDescent="0.2">
      <c r="A127" s="35"/>
      <c r="B127" s="35"/>
    </row>
    <row r="128" spans="1:2" x14ac:dyDescent="0.2">
      <c r="A128" s="35"/>
      <c r="B128" s="35"/>
    </row>
    <row r="129" spans="1:2" x14ac:dyDescent="0.2">
      <c r="A129" s="35"/>
      <c r="B129" s="35"/>
    </row>
    <row r="130" spans="1:2" x14ac:dyDescent="0.2">
      <c r="A130" s="35"/>
      <c r="B130" s="35"/>
    </row>
    <row r="131" spans="1:2" x14ac:dyDescent="0.2">
      <c r="A131" s="35"/>
      <c r="B131" s="35"/>
    </row>
    <row r="132" spans="1:2" x14ac:dyDescent="0.2">
      <c r="A132" s="35"/>
      <c r="B132" s="35"/>
    </row>
    <row r="133" spans="1:2" x14ac:dyDescent="0.2">
      <c r="A133" s="35"/>
      <c r="B133" s="35"/>
    </row>
    <row r="134" spans="1:2" x14ac:dyDescent="0.2">
      <c r="A134" s="35"/>
      <c r="B134" s="35"/>
    </row>
    <row r="135" spans="1:2" x14ac:dyDescent="0.2">
      <c r="A135" s="35"/>
      <c r="B135" s="35"/>
    </row>
    <row r="136" spans="1:2" x14ac:dyDescent="0.2">
      <c r="A136" s="35"/>
      <c r="B136" s="35"/>
    </row>
    <row r="137" spans="1:2" x14ac:dyDescent="0.2">
      <c r="A137" s="35"/>
      <c r="B137" s="35"/>
    </row>
    <row r="138" spans="1:2" x14ac:dyDescent="0.2">
      <c r="A138" s="35"/>
      <c r="B138" s="35"/>
    </row>
    <row r="139" spans="1:2" x14ac:dyDescent="0.2">
      <c r="A139" s="35"/>
      <c r="B139" s="35"/>
    </row>
    <row r="140" spans="1:2" x14ac:dyDescent="0.2">
      <c r="A140" s="35"/>
      <c r="B140" s="35"/>
    </row>
    <row r="141" spans="1:2" x14ac:dyDescent="0.2">
      <c r="A141" s="35"/>
      <c r="B141" s="35"/>
    </row>
    <row r="142" spans="1:2" x14ac:dyDescent="0.2">
      <c r="A142" s="35"/>
      <c r="B142" s="35"/>
    </row>
    <row r="143" spans="1:2" x14ac:dyDescent="0.2">
      <c r="A143" s="35"/>
      <c r="B143" s="35"/>
    </row>
    <row r="144" spans="1:2" x14ac:dyDescent="0.2">
      <c r="A144" s="35"/>
      <c r="B144" s="35"/>
    </row>
    <row r="145" spans="1:2" x14ac:dyDescent="0.2">
      <c r="A145" s="35"/>
      <c r="B145" s="35"/>
    </row>
    <row r="146" spans="1:2" x14ac:dyDescent="0.2">
      <c r="A146" s="35"/>
      <c r="B146" s="35"/>
    </row>
    <row r="147" spans="1:2" x14ac:dyDescent="0.2">
      <c r="A147" s="35"/>
      <c r="B147" s="35"/>
    </row>
    <row r="148" spans="1:2" x14ac:dyDescent="0.2">
      <c r="A148" s="35"/>
      <c r="B148" s="35"/>
    </row>
    <row r="149" spans="1:2" x14ac:dyDescent="0.2">
      <c r="A149" s="35"/>
      <c r="B149" s="35"/>
    </row>
    <row r="150" spans="1:2" x14ac:dyDescent="0.2">
      <c r="A150" s="35"/>
      <c r="B150" s="35"/>
    </row>
    <row r="151" spans="1:2" x14ac:dyDescent="0.2">
      <c r="A151" s="35"/>
      <c r="B151" s="35"/>
    </row>
    <row r="152" spans="1:2" x14ac:dyDescent="0.2">
      <c r="A152" s="35"/>
      <c r="B152" s="35"/>
    </row>
    <row r="153" spans="1:2" x14ac:dyDescent="0.2">
      <c r="A153" s="35"/>
      <c r="B153" s="35"/>
    </row>
    <row r="154" spans="1:2" x14ac:dyDescent="0.2">
      <c r="A154" s="35"/>
      <c r="B154" s="35"/>
    </row>
    <row r="155" spans="1:2" x14ac:dyDescent="0.2">
      <c r="A155" s="35"/>
      <c r="B155" s="35"/>
    </row>
    <row r="156" spans="1:2" x14ac:dyDescent="0.2">
      <c r="A156" s="35"/>
      <c r="B156" s="35"/>
    </row>
    <row r="157" spans="1:2" x14ac:dyDescent="0.2">
      <c r="A157" s="35"/>
      <c r="B157" s="35"/>
    </row>
    <row r="158" spans="1:2" x14ac:dyDescent="0.2">
      <c r="A158" s="35"/>
      <c r="B158" s="35"/>
    </row>
    <row r="159" spans="1:2" x14ac:dyDescent="0.2">
      <c r="A159" s="35"/>
      <c r="B159" s="35"/>
    </row>
    <row r="160" spans="1:2" x14ac:dyDescent="0.2">
      <c r="A160" s="35"/>
      <c r="B160" s="35"/>
    </row>
    <row r="161" spans="1:2" x14ac:dyDescent="0.2">
      <c r="A161" s="35"/>
      <c r="B161" s="35"/>
    </row>
    <row r="162" spans="1:2" x14ac:dyDescent="0.2">
      <c r="A162" s="35"/>
      <c r="B162" s="35"/>
    </row>
    <row r="163" spans="1:2" x14ac:dyDescent="0.2">
      <c r="A163" s="35"/>
      <c r="B163" s="35"/>
    </row>
    <row r="164" spans="1:2" x14ac:dyDescent="0.2">
      <c r="A164" s="35"/>
      <c r="B164" s="35"/>
    </row>
    <row r="165" spans="1:2" x14ac:dyDescent="0.2">
      <c r="A165" s="35"/>
      <c r="B165" s="35"/>
    </row>
    <row r="166" spans="1:2" x14ac:dyDescent="0.2">
      <c r="A166" s="35"/>
      <c r="B166" s="35"/>
    </row>
    <row r="167" spans="1:2" x14ac:dyDescent="0.2">
      <c r="A167" s="35"/>
      <c r="B167" s="35"/>
    </row>
    <row r="168" spans="1:2" x14ac:dyDescent="0.2">
      <c r="A168" s="35"/>
      <c r="B168" s="35"/>
    </row>
    <row r="169" spans="1:2" x14ac:dyDescent="0.2">
      <c r="A169" s="35"/>
      <c r="B169" s="35"/>
    </row>
    <row r="170" spans="1:2" x14ac:dyDescent="0.2">
      <c r="A170" s="35"/>
      <c r="B170" s="35"/>
    </row>
    <row r="171" spans="1:2" x14ac:dyDescent="0.2">
      <c r="A171" s="35"/>
      <c r="B171" s="35"/>
    </row>
    <row r="172" spans="1:2" x14ac:dyDescent="0.2">
      <c r="A172" s="35"/>
      <c r="B172" s="35"/>
    </row>
    <row r="173" spans="1:2" x14ac:dyDescent="0.2">
      <c r="A173" s="35"/>
      <c r="B173" s="35"/>
    </row>
    <row r="174" spans="1:2" x14ac:dyDescent="0.2">
      <c r="A174" s="35"/>
      <c r="B174" s="35"/>
    </row>
    <row r="175" spans="1:2" x14ac:dyDescent="0.2">
      <c r="A175" s="35"/>
      <c r="B175" s="35"/>
    </row>
    <row r="176" spans="1:2" x14ac:dyDescent="0.2">
      <c r="A176" s="35"/>
      <c r="B176" s="35"/>
    </row>
    <row r="177" spans="1:2" x14ac:dyDescent="0.2">
      <c r="A177" s="35"/>
      <c r="B177" s="35"/>
    </row>
    <row r="178" spans="1:2" x14ac:dyDescent="0.2">
      <c r="A178" s="35"/>
      <c r="B178" s="35"/>
    </row>
    <row r="179" spans="1:2" x14ac:dyDescent="0.2">
      <c r="A179" s="35"/>
      <c r="B179" s="35"/>
    </row>
  </sheetData>
  <sortState xmlns:xlrd2="http://schemas.microsoft.com/office/spreadsheetml/2017/richdata2" ref="A11:N14">
    <sortCondition ref="A11:A14"/>
  </sortState>
  <customSheetViews>
    <customSheetView guid="{25DC4F91-A91C-4C3F-9681-9209750ABBEA}" topLeftCell="B1">
      <selection activeCell="G23" sqref="G23"/>
      <pageMargins left="0.7" right="0.7" top="0.78740157499999996" bottom="0.78740157499999996" header="0.3" footer="0.3"/>
      <pageSetup paperSize="9" orientation="portrait" r:id="rId1"/>
    </customSheetView>
    <customSheetView guid="{CFE9FE8C-9075-4CDC-A3CC-05601E4600C1}" showPageBreaks="1" printArea="1">
      <pageMargins left="0.7" right="0.7" top="0.78740157499999996" bottom="0.78740157499999996" header="0.3" footer="0.3"/>
      <pageSetup paperSize="9" orientation="portrait" horizontalDpi="0" verticalDpi="0" r:id="rId2"/>
    </customSheetView>
    <customSheetView guid="{C21A97DE-3F4E-441C-9EE1-180F872F0921}" showPageBreaks="1" printArea="1">
      <selection activeCell="K6" sqref="K6:L6"/>
      <pageMargins left="0.7" right="0.7" top="0.78740157499999996" bottom="0.78740157499999996" header="0.3" footer="0.3"/>
      <pageSetup paperSize="9" orientation="portrait" r:id="rId3"/>
    </customSheetView>
    <customSheetView guid="{32010A6E-0F0E-4D6E-BDEC-7BF6D197330C}" showPageBreaks="1" printArea="1">
      <selection activeCell="K6" sqref="K6:L6"/>
      <pageMargins left="0.7" right="0.7" top="0.78740157499999996" bottom="0.78740157499999996" header="0.3" footer="0.3"/>
      <pageSetup paperSize="9" orientation="portrait" r:id="rId4"/>
    </customSheetView>
    <customSheetView guid="{77AA5D6B-183E-4B34-9A26-D8BDC7AB4A8B}">
      <selection activeCell="K6" sqref="K6:L6"/>
      <pageMargins left="0.7" right="0.7" top="0.78740157499999996" bottom="0.78740157499999996" header="0.3" footer="0.3"/>
      <pageSetup paperSize="9" orientation="portrait" r:id="rId5"/>
    </customSheetView>
    <customSheetView guid="{476E9108-F970-4ED5-B615-D5EA1D6F5C1C}" showPageBreaks="1" printArea="1">
      <selection activeCell="F25" sqref="F25"/>
      <pageMargins left="0.7" right="0.7" top="0.78740157499999996" bottom="0.78740157499999996" header="0.3" footer="0.3"/>
      <pageSetup paperSize="9" orientation="portrait" r:id="rId6"/>
    </customSheetView>
    <customSheetView guid="{09202BB1-255A-4EDA-B63F-9E0CA30B36C5}">
      <selection activeCell="D4" sqref="D4"/>
      <pageMargins left="0.7" right="0.7" top="0.78740157499999996" bottom="0.78740157499999996" header="0.3" footer="0.3"/>
      <pageSetup paperSize="9" orientation="portrait" r:id="rId7"/>
    </customSheetView>
    <customSheetView guid="{CD87C90D-3024-4E69-ABDD-891676803401}" showPageBreaks="1" printArea="1" topLeftCell="B1">
      <selection activeCell="G23" sqref="G23"/>
      <pageMargins left="0.7" right="0.7" top="0.78740157499999996" bottom="0.78740157499999996" header="0.3" footer="0.3"/>
      <pageSetup paperSize="9" orientation="portrait" r:id="rId8"/>
    </customSheetView>
    <customSheetView guid="{2FCDEDCE-A041-4FA8-BFB2-1CA8CD8915F4}" showPageBreaks="1" printArea="1" topLeftCell="A58">
      <selection activeCell="F75" sqref="F75"/>
      <pageMargins left="0.7" right="0.7" top="0.78740157499999996" bottom="0.78740157499999996" header="0.3" footer="0.3"/>
      <pageSetup paperSize="9" orientation="portrait" r:id="rId9"/>
    </customSheetView>
    <customSheetView guid="{7FE57256-D437-42BF-8A0F-4C221865038B}" showPageBreaks="1" printArea="1" topLeftCell="A58">
      <selection activeCell="F75" sqref="F75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11</vt:i4>
      </vt:variant>
    </vt:vector>
  </HeadingPairs>
  <TitlesOfParts>
    <vt:vector size="25" baseType="lpstr">
      <vt:lpstr>Erklärung</vt:lpstr>
      <vt:lpstr>detaillierte Jahresübersicht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April!Druckbereich</vt:lpstr>
      <vt:lpstr>August!Druckbereich</vt:lpstr>
      <vt:lpstr>Dezember!Druckbereich</vt:lpstr>
      <vt:lpstr>Januar!Druckbereich</vt:lpstr>
      <vt:lpstr>Juli!Druckbereich</vt:lpstr>
      <vt:lpstr>Juni!Druckbereich</vt:lpstr>
      <vt:lpstr>Mai!Druckbereich</vt:lpstr>
      <vt:lpstr>März!Druckbereich</vt:lpstr>
      <vt:lpstr>November!Druckbereich</vt:lpstr>
      <vt:lpstr>Oktober!Druckbereich</vt:lpstr>
      <vt:lpstr>September!Druckbereich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Tom Gorontzy</cp:lastModifiedBy>
  <dcterms:created xsi:type="dcterms:W3CDTF">2013-08-30T07:33:52Z</dcterms:created>
  <dcterms:modified xsi:type="dcterms:W3CDTF">2026-01-02T11:18:03Z</dcterms:modified>
</cp:coreProperties>
</file>