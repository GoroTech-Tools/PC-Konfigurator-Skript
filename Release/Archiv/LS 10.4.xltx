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4"/>
  </bookViews>
  <sheets>
    <sheet name="Erster Aufgabenteil_AA 1+3" sheetId="1" r:id="rId1"/>
    <sheet name="Erster Aufgabenteil_AA 1+3 L" sheetId="3" state="hidden" r:id="rId2"/>
    <sheet name="Zweiter Aufgabenteil_AA 3" sheetId="2" r:id="rId3"/>
    <sheet name="Dritter Aufgabenteil AA 3a" sheetId="5" r:id="rId4"/>
    <sheet name="Vierter Aufgabenteil AA 3" sheetId="6" r:id="rId5"/>
    <sheet name="Zweiter Aufgabenteil_AA 3 L" sheetId="4" state="hidden" r:id="rId6"/>
  </sheets>
  <calcPr calcId="162913"/>
</workbook>
</file>

<file path=xl/calcChain.xml><?xml version="1.0" encoding="utf-8"?>
<calcChain xmlns="http://schemas.openxmlformats.org/spreadsheetml/2006/main">
  <c r="F31" i="4" l="1"/>
  <c r="F30" i="4"/>
  <c r="F29" i="4"/>
  <c r="G24" i="4"/>
  <c r="G23" i="4"/>
  <c r="G22" i="4"/>
  <c r="G30" i="4" s="1"/>
  <c r="G21" i="4"/>
  <c r="F32" i="4" s="1"/>
  <c r="G20" i="4"/>
  <c r="G14" i="4"/>
  <c r="G9" i="4"/>
  <c r="G12" i="4" s="1"/>
  <c r="G29" i="4" l="1"/>
  <c r="G32" i="4"/>
  <c r="G31" i="4"/>
  <c r="G11" i="4"/>
  <c r="G13" i="4" s="1"/>
  <c r="G26" i="4" s="1"/>
  <c r="G21" i="2"/>
  <c r="G28" i="2" s="1"/>
  <c r="G20" i="2"/>
  <c r="G19" i="2"/>
  <c r="E46" i="3"/>
  <c r="D46" i="3"/>
  <c r="C46" i="3"/>
  <c r="E45" i="3"/>
  <c r="D45" i="3"/>
  <c r="C45" i="3"/>
  <c r="E39" i="3"/>
  <c r="D39" i="3"/>
  <c r="C39" i="3"/>
  <c r="E33" i="3"/>
  <c r="E32" i="3" s="1"/>
  <c r="D33" i="3"/>
  <c r="D32" i="3" s="1"/>
  <c r="C33" i="3"/>
  <c r="C32" i="3"/>
  <c r="C31" i="3"/>
  <c r="E22" i="3"/>
  <c r="D22" i="3"/>
  <c r="C22" i="3"/>
  <c r="E17" i="3"/>
  <c r="E18" i="3" s="1"/>
  <c r="D17" i="3"/>
  <c r="D18" i="3" s="1"/>
  <c r="C17" i="3"/>
  <c r="C18" i="3" s="1"/>
  <c r="C19" i="3" s="1"/>
  <c r="D22" i="1"/>
  <c r="E22" i="1"/>
  <c r="C22" i="1"/>
  <c r="E33" i="1"/>
  <c r="D33" i="1"/>
  <c r="C33" i="1"/>
  <c r="D45" i="1"/>
  <c r="E45" i="1"/>
  <c r="C45" i="1"/>
  <c r="D39" i="1"/>
  <c r="E39" i="1"/>
  <c r="C39" i="1"/>
  <c r="C30" i="3" l="1"/>
  <c r="F26" i="4"/>
  <c r="F34" i="4" s="1"/>
  <c r="F35" i="4" s="1"/>
  <c r="G34" i="4"/>
  <c r="G29" i="2"/>
  <c r="G30" i="2"/>
  <c r="C28" i="3"/>
  <c r="C29" i="3"/>
  <c r="C27" i="3" s="1"/>
  <c r="E31" i="3"/>
  <c r="E30" i="3" s="1"/>
  <c r="C20" i="3"/>
  <c r="C21" i="3" s="1"/>
  <c r="C23" i="3" s="1"/>
  <c r="D19" i="3"/>
  <c r="D31" i="3"/>
  <c r="D30" i="3" s="1"/>
  <c r="E19" i="3"/>
  <c r="G22" i="2"/>
  <c r="G31" i="2" s="1"/>
  <c r="C41" i="3" l="1"/>
  <c r="C48" i="3" s="1"/>
  <c r="C24" i="3"/>
  <c r="C25" i="3"/>
  <c r="C26" i="3" s="1"/>
  <c r="E29" i="3"/>
  <c r="E27" i="3" s="1"/>
  <c r="E28" i="3"/>
  <c r="E20" i="3"/>
  <c r="E21" i="3"/>
  <c r="E23" i="3" s="1"/>
  <c r="D29" i="3"/>
  <c r="D28" i="3"/>
  <c r="C40" i="3"/>
  <c r="D20" i="3"/>
  <c r="D21" i="3" s="1"/>
  <c r="D23" i="3" s="1"/>
  <c r="G23" i="2"/>
  <c r="G14" i="2"/>
  <c r="G9" i="2"/>
  <c r="G12" i="2" s="1"/>
  <c r="D27" i="3" l="1"/>
  <c r="D41" i="3"/>
  <c r="D48" i="3" s="1"/>
  <c r="D24" i="3"/>
  <c r="D25" i="3" s="1"/>
  <c r="D26" i="3" s="1"/>
  <c r="D40" i="3"/>
  <c r="E40" i="3"/>
  <c r="E41" i="3"/>
  <c r="E48" i="3" s="1"/>
  <c r="E24" i="3"/>
  <c r="E25" i="3" s="1"/>
  <c r="E26" i="3" s="1"/>
  <c r="C47" i="3"/>
  <c r="C49" i="3" s="1"/>
  <c r="C42" i="3"/>
  <c r="G11" i="2"/>
  <c r="G13" i="2"/>
  <c r="G25" i="2" s="1"/>
  <c r="F25" i="2" s="1"/>
  <c r="F33" i="2" s="1"/>
  <c r="F34" i="2" s="1"/>
  <c r="E17" i="1"/>
  <c r="D17" i="1"/>
  <c r="C17" i="1"/>
  <c r="C18" i="1" s="1"/>
  <c r="G33" i="2" l="1"/>
  <c r="E47" i="3"/>
  <c r="E49" i="3" s="1"/>
  <c r="E42" i="3"/>
  <c r="D42" i="3"/>
  <c r="D47" i="3"/>
  <c r="D49" i="3" s="1"/>
  <c r="E18" i="1"/>
  <c r="E19" i="1" s="1"/>
  <c r="D18" i="1"/>
  <c r="D19" i="1" s="1"/>
  <c r="C19" i="1"/>
  <c r="C20" i="1" s="1"/>
  <c r="D20" i="1" l="1"/>
  <c r="D21" i="1" s="1"/>
  <c r="D23" i="1" s="1"/>
  <c r="D24" i="1" s="1"/>
  <c r="E20" i="1"/>
  <c r="E21" i="1" s="1"/>
  <c r="E23" i="1" s="1"/>
  <c r="C21" i="1"/>
  <c r="C23" i="1" s="1"/>
  <c r="C24" i="1" s="1"/>
  <c r="E24" i="1" l="1"/>
  <c r="E25" i="1" s="1"/>
  <c r="D25" i="1"/>
  <c r="C25" i="1"/>
  <c r="D32" i="1"/>
  <c r="D31" i="1" s="1"/>
  <c r="E32" i="1"/>
  <c r="E31" i="1" s="1"/>
  <c r="D30" i="1" l="1"/>
  <c r="E30" i="1"/>
  <c r="E29" i="1" l="1"/>
  <c r="E28" i="1"/>
  <c r="E27" i="1" s="1"/>
  <c r="D28" i="1"/>
  <c r="D29" i="1"/>
  <c r="E49" i="1" l="1"/>
  <c r="E42" i="1"/>
  <c r="E48" i="1"/>
  <c r="E41" i="1"/>
  <c r="E47" i="1"/>
  <c r="E40" i="1"/>
  <c r="E46" i="1"/>
  <c r="D27" i="1"/>
  <c r="E26" i="1"/>
  <c r="D48" i="1" l="1"/>
  <c r="D41" i="1"/>
  <c r="D42" i="1"/>
  <c r="D47" i="1"/>
  <c r="D40" i="1"/>
  <c r="D46" i="1"/>
  <c r="D49" i="1"/>
  <c r="D26" i="1"/>
  <c r="C32" i="1"/>
  <c r="C31" i="1" s="1"/>
  <c r="C30" i="1" l="1"/>
  <c r="C29" i="1" l="1"/>
  <c r="C28" i="1"/>
  <c r="C27" i="1" s="1"/>
  <c r="C40" i="1" l="1"/>
  <c r="C47" i="1" s="1"/>
  <c r="C41" i="1"/>
  <c r="C48" i="1" s="1"/>
  <c r="C46" i="1"/>
  <c r="C26" i="1"/>
  <c r="C49" i="1" l="1"/>
  <c r="C42" i="1"/>
</calcChain>
</file>

<file path=xl/sharedStrings.xml><?xml version="1.0" encoding="utf-8"?>
<sst xmlns="http://schemas.openxmlformats.org/spreadsheetml/2006/main" count="257" uniqueCount="91">
  <si>
    <t>Arbeitsauftrag 1</t>
  </si>
  <si>
    <t>Listeneinkaufspreis</t>
  </si>
  <si>
    <t>Kunde</t>
  </si>
  <si>
    <t>angefragte Menge</t>
  </si>
  <si>
    <t>erwarteter Nettopreis</t>
  </si>
  <si>
    <t xml:space="preserve"> - </t>
  </si>
  <si>
    <t>Liefererrabatt</t>
  </si>
  <si>
    <t xml:space="preserve"> = </t>
  </si>
  <si>
    <t>Zieleinkaufspreis</t>
  </si>
  <si>
    <t>Liefererskonto</t>
  </si>
  <si>
    <t>Bareinkaufspreis</t>
  </si>
  <si>
    <t xml:space="preserve"> + </t>
  </si>
  <si>
    <t>Bezugskosten</t>
  </si>
  <si>
    <t>Handlungskosten</t>
  </si>
  <si>
    <t>Selbstkosten</t>
  </si>
  <si>
    <t>Gewinn/Verlust</t>
  </si>
  <si>
    <t>Barverkaufspreis</t>
  </si>
  <si>
    <t>Kundenskonto</t>
  </si>
  <si>
    <t>Vertreterprovision</t>
  </si>
  <si>
    <t>Zielverkaufspreis</t>
  </si>
  <si>
    <t>Kundenrabatt</t>
  </si>
  <si>
    <t>Listenverkaufspreis</t>
  </si>
  <si>
    <t>Listenverkaufspreis pro Stück</t>
  </si>
  <si>
    <t xml:space="preserve">Bezugspreis </t>
  </si>
  <si>
    <t>Bezugskosten pro Stück</t>
  </si>
  <si>
    <t>Arbeitsauftrag 3</t>
  </si>
  <si>
    <t>Gesamtdeckungsbeitragsrechnung</t>
  </si>
  <si>
    <t>Erlöse gesamt</t>
  </si>
  <si>
    <t>variable Kosten (Bezugspreis)</t>
  </si>
  <si>
    <t>Gesamtdeckungsbeitrag</t>
  </si>
  <si>
    <t>Stückdeckungsbeitragsrechnung</t>
  </si>
  <si>
    <t>Erlöse je Stück</t>
  </si>
  <si>
    <t>Stückdeckungsbeitrag</t>
  </si>
  <si>
    <t>Arbeitsauftrag 3b</t>
  </si>
  <si>
    <t>Deckungsbeitrag des Auftrages Rhenag GmbH</t>
  </si>
  <si>
    <t>Produkt</t>
  </si>
  <si>
    <t>Schredder King</t>
  </si>
  <si>
    <t>Einheit</t>
  </si>
  <si>
    <t>angefragte Menge pro Monat</t>
  </si>
  <si>
    <t>erwarteter Nettoverkaufspreis</t>
  </si>
  <si>
    <t>Laufzeit des Vertrages</t>
  </si>
  <si>
    <t>Bezugspreis</t>
  </si>
  <si>
    <t>Gesamtstückzahl</t>
  </si>
  <si>
    <t>Stück</t>
  </si>
  <si>
    <t>je Stück</t>
  </si>
  <si>
    <t>Monate</t>
  </si>
  <si>
    <t>Erlöse Gesamtauftrag</t>
  </si>
  <si>
    <t>variable Kosten Gesamtauftrag</t>
  </si>
  <si>
    <t>Arbeitsauftrag 3c</t>
  </si>
  <si>
    <t>Gewinn/Verlust des Auftrages Rhenag GmbH</t>
  </si>
  <si>
    <t>Absatz pro Monat</t>
  </si>
  <si>
    <t>Vertragslaufzeit</t>
  </si>
  <si>
    <t>Nettoverkaufspreis</t>
  </si>
  <si>
    <t>pro Monat</t>
  </si>
  <si>
    <t>für 18 Monate</t>
  </si>
  <si>
    <t>Deckungsbeitrag gesamt</t>
  </si>
  <si>
    <t>Gewinn/Verlust des Auftrages</t>
  </si>
  <si>
    <t>Gewinn pro Stück</t>
  </si>
  <si>
    <t>Firma 1</t>
  </si>
  <si>
    <t>Firma 2</t>
  </si>
  <si>
    <t>Firma 3</t>
  </si>
  <si>
    <t>Deckungsbeitragsrechnung</t>
  </si>
  <si>
    <t>-</t>
  </si>
  <si>
    <t>=</t>
  </si>
  <si>
    <t>Zusätzliche Kosten</t>
  </si>
  <si>
    <t>Mitarbeiter</t>
  </si>
  <si>
    <t>Arbeitsplatz</t>
  </si>
  <si>
    <t>Miete</t>
  </si>
  <si>
    <t>Bezeichnung</t>
  </si>
  <si>
    <t>Faktor</t>
  </si>
  <si>
    <t>Anteil</t>
  </si>
  <si>
    <t>Kosten</t>
  </si>
  <si>
    <t>Gewinn/Verlust pro Stück</t>
  </si>
  <si>
    <t>Gewinnnschwellenmenge</t>
  </si>
  <si>
    <t>Erlös</t>
  </si>
  <si>
    <t>Euro/Stück</t>
  </si>
  <si>
    <t>variable Kosten</t>
  </si>
  <si>
    <t>Euro</t>
  </si>
  <si>
    <t>Fixkosten</t>
  </si>
  <si>
    <t>pro Jahr</t>
  </si>
  <si>
    <t>Gesamtfixkosten</t>
  </si>
  <si>
    <t>Gewinnschwellenmenge</t>
  </si>
  <si>
    <t>Preisuntergrenze</t>
  </si>
  <si>
    <t>Stückkostenvergleichsrechnung</t>
  </si>
  <si>
    <t>Szenario</t>
  </si>
  <si>
    <t>Produktionsmenge</t>
  </si>
  <si>
    <t>variable Kosten pro Stück</t>
  </si>
  <si>
    <t>variable Kosten pro Jahr</t>
  </si>
  <si>
    <t>Fixkosten pro Jahr</t>
  </si>
  <si>
    <t>Gesamtkosten pro Jahr</t>
  </si>
  <si>
    <t>Stückkosten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</si>
</sst>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\ &quot;€&quot;"/>
    <numFmt numFmtId="165" formatCode="0.0%"/>
    <numFmt numFmtId="166" formatCode="&quot;AfA &quot;0&quot; Jahre&quot;"/>
    <numFmt numFmtId="167" formatCode="0&quot; Std.-Woche&quot;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3" fillId="0" borderId="1" xfId="0" applyFont="1" applyBorder="1"/>
    <xf numFmtId="164" fontId="3" fillId="0" borderId="1" xfId="0" applyNumberFormat="1" applyFont="1" applyBorder="1"/>
    <xf numFmtId="164" fontId="3" fillId="0" borderId="0" xfId="0" applyNumberFormat="1" applyFont="1" applyBorder="1"/>
    <xf numFmtId="0" fontId="0" fillId="2" borderId="1" xfId="0" applyFill="1" applyBorder="1"/>
    <xf numFmtId="164" fontId="2" fillId="0" borderId="1" xfId="0" applyNumberFormat="1" applyFont="1" applyBorder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right"/>
    </xf>
    <xf numFmtId="164" fontId="0" fillId="3" borderId="1" xfId="0" applyNumberFormat="1" applyFill="1" applyBorder="1"/>
    <xf numFmtId="0" fontId="0" fillId="0" borderId="2" xfId="0" applyBorder="1"/>
    <xf numFmtId="0" fontId="0" fillId="3" borderId="4" xfId="0" applyFont="1" applyFill="1" applyBorder="1"/>
    <xf numFmtId="0" fontId="0" fillId="0" borderId="4" xfId="0" applyBorder="1"/>
    <xf numFmtId="164" fontId="5" fillId="0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0" fontId="0" fillId="0" borderId="0" xfId="0" applyBorder="1"/>
    <xf numFmtId="0" fontId="3" fillId="0" borderId="1" xfId="0" applyFont="1" applyFill="1" applyBorder="1"/>
    <xf numFmtId="0" fontId="1" fillId="4" borderId="1" xfId="0" applyFont="1" applyFill="1" applyBorder="1"/>
    <xf numFmtId="0" fontId="1" fillId="4" borderId="4" xfId="0" applyFont="1" applyFill="1" applyBorder="1"/>
    <xf numFmtId="0" fontId="3" fillId="0" borderId="4" xfId="0" applyFont="1" applyBorder="1"/>
    <xf numFmtId="164" fontId="3" fillId="0" borderId="1" xfId="0" applyNumberFormat="1" applyFont="1" applyFill="1" applyBorder="1"/>
    <xf numFmtId="164" fontId="3" fillId="5" borderId="1" xfId="0" applyNumberFormat="1" applyFont="1" applyFill="1" applyBorder="1"/>
    <xf numFmtId="164" fontId="0" fillId="5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165" fontId="0" fillId="5" borderId="1" xfId="0" applyNumberFormat="1" applyFill="1" applyBorder="1" applyAlignment="1">
      <alignment horizontal="right"/>
    </xf>
    <xf numFmtId="0" fontId="3" fillId="0" borderId="2" xfId="0" applyFont="1" applyBorder="1"/>
    <xf numFmtId="0" fontId="0" fillId="2" borderId="2" xfId="0" applyFill="1" applyBorder="1"/>
    <xf numFmtId="0" fontId="3" fillId="0" borderId="2" xfId="0" applyFont="1" applyFill="1" applyBorder="1"/>
    <xf numFmtId="0" fontId="3" fillId="5" borderId="2" xfId="0" applyFont="1" applyFill="1" applyBorder="1"/>
    <xf numFmtId="0" fontId="1" fillId="4" borderId="2" xfId="0" applyFont="1" applyFill="1" applyBorder="1"/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3" fontId="3" fillId="0" borderId="1" xfId="0" applyNumberFormat="1" applyFont="1" applyBorder="1"/>
    <xf numFmtId="164" fontId="0" fillId="0" borderId="1" xfId="0" applyNumberFormat="1" applyFont="1" applyFill="1" applyBorder="1"/>
    <xf numFmtId="0" fontId="0" fillId="0" borderId="0" xfId="0" quotePrefix="1" applyAlignment="1">
      <alignment horizontal="center"/>
    </xf>
    <xf numFmtId="0" fontId="1" fillId="4" borderId="4" xfId="0" applyFont="1" applyFill="1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0" fillId="5" borderId="3" xfId="0" applyFont="1" applyFill="1" applyBorder="1"/>
    <xf numFmtId="0" fontId="0" fillId="5" borderId="2" xfId="0" applyFont="1" applyFill="1" applyBorder="1"/>
    <xf numFmtId="164" fontId="0" fillId="5" borderId="3" xfId="0" applyNumberFormat="1" applyFont="1" applyFill="1" applyBorder="1"/>
    <xf numFmtId="0" fontId="0" fillId="5" borderId="1" xfId="0" applyFont="1" applyFill="1" applyBorder="1"/>
    <xf numFmtId="9" fontId="0" fillId="5" borderId="1" xfId="0" applyNumberFormat="1" applyFont="1" applyFill="1" applyBorder="1"/>
    <xf numFmtId="10" fontId="0" fillId="5" borderId="1" xfId="0" applyNumberFormat="1" applyFont="1" applyFill="1" applyBorder="1"/>
    <xf numFmtId="166" fontId="0" fillId="5" borderId="1" xfId="0" applyNumberFormat="1" applyFont="1" applyFill="1" applyBorder="1" applyAlignment="1">
      <alignment horizontal="left"/>
    </xf>
    <xf numFmtId="167" fontId="0" fillId="5" borderId="1" xfId="0" applyNumberFormat="1" applyFont="1" applyFill="1" applyBorder="1"/>
    <xf numFmtId="164" fontId="9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0" fillId="5" borderId="7" xfId="0" applyFont="1" applyFill="1" applyBorder="1"/>
    <xf numFmtId="164" fontId="0" fillId="5" borderId="8" xfId="0" applyNumberFormat="1" applyFont="1" applyFill="1" applyBorder="1"/>
    <xf numFmtId="0" fontId="8" fillId="4" borderId="2" xfId="0" applyFont="1" applyFill="1" applyBorder="1"/>
    <xf numFmtId="164" fontId="0" fillId="5" borderId="1" xfId="0" applyNumberFormat="1" applyFont="1" applyFill="1" applyBorder="1"/>
    <xf numFmtId="0" fontId="6" fillId="0" borderId="4" xfId="0" applyFont="1" applyBorder="1"/>
    <xf numFmtId="164" fontId="6" fillId="0" borderId="1" xfId="0" applyNumberFormat="1" applyFont="1" applyBorder="1"/>
    <xf numFmtId="0" fontId="8" fillId="4" borderId="5" xfId="0" applyFont="1" applyFill="1" applyBorder="1"/>
    <xf numFmtId="0" fontId="9" fillId="4" borderId="6" xfId="0" applyFont="1" applyFill="1" applyBorder="1"/>
    <xf numFmtId="0" fontId="9" fillId="4" borderId="3" xfId="0" applyFont="1" applyFill="1" applyBorder="1"/>
    <xf numFmtId="164" fontId="9" fillId="4" borderId="3" xfId="0" applyNumberFormat="1" applyFont="1" applyFill="1" applyBorder="1"/>
    <xf numFmtId="164" fontId="9" fillId="4" borderId="4" xfId="0" applyNumberFormat="1" applyFont="1" applyFill="1" applyBorder="1"/>
    <xf numFmtId="164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1" fillId="4" borderId="1" xfId="0" applyFont="1" applyFill="1" applyBorder="1" applyAlignment="1" applyProtection="1">
      <alignment horizontal="center"/>
      <protection hidden="1"/>
    </xf>
    <xf numFmtId="164" fontId="0" fillId="0" borderId="1" xfId="0" applyNumberFormat="1" applyFont="1" applyFill="1" applyBorder="1" applyProtection="1">
      <protection hidden="1"/>
    </xf>
    <xf numFmtId="164" fontId="9" fillId="4" borderId="4" xfId="0" applyNumberFormat="1" applyFont="1" applyFill="1" applyBorder="1" applyProtection="1">
      <protection hidden="1"/>
    </xf>
    <xf numFmtId="164" fontId="9" fillId="4" borderId="1" xfId="0" applyNumberFormat="1" applyFont="1" applyFill="1" applyBorder="1" applyProtection="1">
      <protection hidden="1"/>
    </xf>
    <xf numFmtId="164" fontId="0" fillId="3" borderId="1" xfId="0" applyNumberFormat="1" applyFill="1" applyBorder="1" applyProtection="1">
      <protection hidden="1"/>
    </xf>
    <xf numFmtId="164" fontId="6" fillId="0" borderId="1" xfId="0" applyNumberFormat="1" applyFont="1" applyBorder="1" applyProtection="1">
      <protection hidden="1"/>
    </xf>
    <xf numFmtId="0" fontId="0" fillId="0" borderId="2" xfId="0" applyBorder="1" applyProtection="1">
      <protection hidden="1"/>
    </xf>
    <xf numFmtId="0" fontId="3" fillId="0" borderId="2" xfId="0" applyFont="1" applyBorder="1" applyProtection="1">
      <protection hidden="1"/>
    </xf>
    <xf numFmtId="164" fontId="3" fillId="0" borderId="1" xfId="0" applyNumberFormat="1" applyFont="1" applyBorder="1" applyProtection="1">
      <protection hidden="1"/>
    </xf>
    <xf numFmtId="0" fontId="0" fillId="0" borderId="2" xfId="0" applyFill="1" applyBorder="1" applyProtection="1">
      <protection hidden="1"/>
    </xf>
    <xf numFmtId="164" fontId="0" fillId="0" borderId="1" xfId="0" applyNumberFormat="1" applyFill="1" applyBorder="1" applyProtection="1">
      <protection hidden="1"/>
    </xf>
    <xf numFmtId="0" fontId="0" fillId="2" borderId="2" xfId="0" applyFill="1" applyBorder="1" applyProtection="1">
      <protection hidden="1"/>
    </xf>
    <xf numFmtId="164" fontId="5" fillId="0" borderId="1" xfId="0" applyNumberFormat="1" applyFont="1" applyFill="1" applyBorder="1" applyProtection="1">
      <protection hidden="1"/>
    </xf>
    <xf numFmtId="0" fontId="3" fillId="0" borderId="2" xfId="0" applyFont="1" applyFill="1" applyBorder="1" applyProtection="1">
      <protection hidden="1"/>
    </xf>
    <xf numFmtId="164" fontId="3" fillId="0" borderId="1" xfId="0" applyNumberFormat="1" applyFont="1" applyFill="1" applyBorder="1" applyProtection="1">
      <protection hidden="1"/>
    </xf>
    <xf numFmtId="0" fontId="0" fillId="0" borderId="0" xfId="0" applyProtection="1">
      <protection hidden="1"/>
    </xf>
    <xf numFmtId="0" fontId="1" fillId="4" borderId="2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3" fillId="0" borderId="0" xfId="0" applyFont="1"/>
    <xf numFmtId="0" fontId="7" fillId="0" borderId="0" xfId="0" applyFont="1" applyAlignment="1">
      <alignment horizontal="center"/>
    </xf>
    <xf numFmtId="0" fontId="6" fillId="0" borderId="0" xfId="0" applyFont="1"/>
    <xf numFmtId="0" fontId="4" fillId="4" borderId="1" xfId="0" applyFont="1" applyFill="1" applyBorder="1"/>
    <xf numFmtId="0" fontId="4" fillId="4" borderId="1" xfId="0" applyFont="1" applyFill="1" applyBorder="1" applyProtection="1">
      <protection hidden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applyFont="1" applyFill="1" applyBorder="1"/>
    <xf numFmtId="0" fontId="0" fillId="0" borderId="3" xfId="0" applyFont="1" applyFill="1" applyBorder="1"/>
    <xf numFmtId="0" fontId="0" fillId="0" borderId="4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3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1" fillId="4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10" fillId="0" borderId="0" xfId="0" applyFont="1" applyFill="1" applyAlignment="1">
      <alignment horizontal="center"/>
    </xf>
    <xf numFmtId="2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/>
    <xf numFmtId="0" fontId="0" fillId="0" borderId="0" xfId="0" applyFill="1" applyBorder="1"/>
    <xf numFmtId="4" fontId="0" fillId="0" borderId="0" xfId="0" applyNumberFormat="1" applyBorder="1" applyAlignment="1"/>
    <xf numFmtId="0" fontId="0" fillId="0" borderId="0" xfId="0" applyFill="1"/>
    <xf numFmtId="0" fontId="0" fillId="0" borderId="1" xfId="0" applyBorder="1" applyAlignment="1"/>
    <xf numFmtId="4" fontId="0" fillId="0" borderId="1" xfId="0" applyNumberFormat="1" applyBorder="1"/>
    <xf numFmtId="0" fontId="0" fillId="0" borderId="1" xfId="0" applyFill="1" applyBorder="1"/>
    <xf numFmtId="0" fontId="0" fillId="0" borderId="1" xfId="0" applyFill="1" applyBorder="1" applyAlignment="1"/>
    <xf numFmtId="2" fontId="0" fillId="0" borderId="0" xfId="0" applyNumberFormat="1"/>
    <xf numFmtId="2" fontId="0" fillId="0" borderId="8" xfId="0" applyNumberFormat="1" applyBorder="1"/>
    <xf numFmtId="2" fontId="3" fillId="0" borderId="0" xfId="0" applyNumberFormat="1" applyFont="1"/>
    <xf numFmtId="0" fontId="10" fillId="4" borderId="0" xfId="0" applyFont="1" applyFill="1" applyAlignment="1">
      <alignment horizontal="center"/>
    </xf>
    <xf numFmtId="0" fontId="9" fillId="4" borderId="1" xfId="0" applyFont="1" applyFill="1" applyBorder="1"/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2" xfId="0" applyFont="1" applyFill="1" applyBorder="1" applyAlignment="1"/>
    <xf numFmtId="0" fontId="9" fillId="4" borderId="4" xfId="0" applyFont="1" applyFill="1" applyBorder="1" applyAlignment="1"/>
    <xf numFmtId="1" fontId="0" fillId="0" borderId="1" xfId="0" applyNumberFormat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3" fontId="0" fillId="5" borderId="1" xfId="0" applyNumberFormat="1" applyFill="1" applyBorder="1"/>
    <xf numFmtId="4" fontId="0" fillId="5" borderId="1" xfId="0" applyNumberFormat="1" applyFill="1" applyBorder="1" applyAlignment="1"/>
    <xf numFmtId="4" fontId="0" fillId="5" borderId="1" xfId="0" applyNumberFormat="1" applyFill="1" applyBorder="1"/>
    <xf numFmtId="4" fontId="3" fillId="5" borderId="1" xfId="0" applyNumberFormat="1" applyFont="1" applyFill="1" applyBorder="1"/>
  </cellXfs>
  <cellStyles count="1">
    <cellStyle name="Standard" xfId="0" builtinId="0"/>
  </cellStyles>
  <dxfs count="14">
    <dxf>
      <font>
        <b/>
        <i val="0"/>
        <color theme="6" tint="-0.499984740745262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 tint="-0.499984740745262"/>
      </font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 tint="-0.499984740745262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13</xdr:col>
      <xdr:colOff>0</xdr:colOff>
      <xdr:row>17</xdr:row>
      <xdr:rowOff>0</xdr:rowOff>
    </xdr:to>
    <xdr:sp macro="" textlink="">
      <xdr:nvSpPr>
        <xdr:cNvPr id="2" name="Textfeld 1"/>
        <xdr:cNvSpPr txBox="1"/>
      </xdr:nvSpPr>
      <xdr:spPr>
        <a:xfrm>
          <a:off x="6924675" y="819150"/>
          <a:ext cx="4133850" cy="24765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chemeClr val="accent5"/>
              </a:solidFill>
            </a:rPr>
            <a:t>Sie wollen wissen wie die Inhalte einzelner Zellen berechnet</a:t>
          </a:r>
          <a:r>
            <a:rPr lang="de-DE" sz="1100" baseline="0">
              <a:solidFill>
                <a:schemeClr val="accent5"/>
              </a:solidFill>
            </a:rPr>
            <a:t> worden sind? Kein Problem, sprechen Sie uns einfach an.</a:t>
          </a:r>
        </a:p>
        <a:p>
          <a:endParaRPr lang="de-DE" sz="1100" baseline="0">
            <a:solidFill>
              <a:schemeClr val="accent5"/>
            </a:solidFill>
          </a:endParaRPr>
        </a:p>
        <a:p>
          <a:r>
            <a:rPr lang="de-DE" sz="1100" baseline="0">
              <a:solidFill>
                <a:schemeClr val="accent5"/>
              </a:solidFill>
            </a:rPr>
            <a:t>Alternativ legen Sie sich eine eigene Excel-Arbeitsmappe mit entsprechenden Tabellenblättern an. Markieren und kopieren Sie die Tabellen und fügen Sie diese in Ihre Tabellenblätter ein. Die Berechnungen und/oder Funktionen sind in den Kopien nicht hinterlegt; diese müssten Sie sich entsprechend selbst erarbeiten.</a:t>
          </a:r>
        </a:p>
        <a:p>
          <a:endParaRPr lang="de-DE" sz="1100" baseline="0">
            <a:solidFill>
              <a:schemeClr val="accent5"/>
            </a:solidFill>
          </a:endParaRPr>
        </a:p>
        <a:p>
          <a:r>
            <a:rPr lang="de-DE" sz="1100" baseline="0">
              <a:solidFill>
                <a:schemeClr val="accent5"/>
              </a:solidFill>
            </a:rPr>
            <a:t>Zum Glück haben Sie in dem vorliegenden Tabellenblatt  eine Möglichkeit für Vergleiche. </a:t>
          </a:r>
        </a:p>
        <a:p>
          <a:endParaRPr lang="de-DE" sz="1100" baseline="0">
            <a:solidFill>
              <a:schemeClr val="accent5"/>
            </a:solidFill>
          </a:endParaRPr>
        </a:p>
        <a:p>
          <a:r>
            <a:rPr lang="de-DE" sz="1100" baseline="0">
              <a:solidFill>
                <a:schemeClr val="accent5"/>
              </a:solidFill>
            </a:rPr>
            <a:t>Probieren Sie es ruhig einmal aus. Es lohnt sich. Bei Fragen ...</a:t>
          </a:r>
          <a:endParaRPr lang="de-DE" sz="1100">
            <a:solidFill>
              <a:schemeClr val="accent5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13</xdr:col>
      <xdr:colOff>323850</xdr:colOff>
      <xdr:row>14</xdr:row>
      <xdr:rowOff>180975</xdr:rowOff>
    </xdr:to>
    <xdr:sp macro="" textlink="">
      <xdr:nvSpPr>
        <xdr:cNvPr id="2" name="Textfeld 1"/>
        <xdr:cNvSpPr txBox="1"/>
      </xdr:nvSpPr>
      <xdr:spPr>
        <a:xfrm>
          <a:off x="8353425" y="381000"/>
          <a:ext cx="4133850" cy="24765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chemeClr val="accent5"/>
              </a:solidFill>
            </a:rPr>
            <a:t>Sie wollen wissen wie die Inhalte einzelner Zellen berechnet</a:t>
          </a:r>
          <a:r>
            <a:rPr lang="de-DE" sz="1100" baseline="0">
              <a:solidFill>
                <a:schemeClr val="accent5"/>
              </a:solidFill>
            </a:rPr>
            <a:t> worden sind? Kein Problem, sprechen Sie uns einfach an.</a:t>
          </a:r>
        </a:p>
        <a:p>
          <a:endParaRPr lang="de-DE" sz="1100" baseline="0">
            <a:solidFill>
              <a:schemeClr val="accent5"/>
            </a:solidFill>
          </a:endParaRPr>
        </a:p>
        <a:p>
          <a:r>
            <a:rPr lang="de-DE" sz="1100" baseline="0">
              <a:solidFill>
                <a:schemeClr val="accent5"/>
              </a:solidFill>
            </a:rPr>
            <a:t>Alternativ legen Sie sich eine eigene Excel-Arbeitsmappe mit entsprechenden Tabellenblättern an. Markieren und kopieren Sie die Tabellen und fügen Sie diese in Ihre Tabellenblätter ein. Die Berechnungen und/oder Funktionen sind in den Kopien nicht hinterlegt; diese müssten Sie sich entsprechend selbst erarbeiten.</a:t>
          </a:r>
        </a:p>
        <a:p>
          <a:endParaRPr lang="de-DE" sz="1100" baseline="0">
            <a:solidFill>
              <a:schemeClr val="accent5"/>
            </a:solidFill>
          </a:endParaRPr>
        </a:p>
        <a:p>
          <a:r>
            <a:rPr lang="de-DE" sz="1100" baseline="0">
              <a:solidFill>
                <a:schemeClr val="accent5"/>
              </a:solidFill>
            </a:rPr>
            <a:t>Zum Glück haben Sie in dem vorliegenden Tabellenblatt  eine Möglichkeit für Vergleiche. </a:t>
          </a:r>
        </a:p>
        <a:p>
          <a:endParaRPr lang="de-DE" sz="1100" baseline="0">
            <a:solidFill>
              <a:schemeClr val="accent5"/>
            </a:solidFill>
          </a:endParaRPr>
        </a:p>
        <a:p>
          <a:r>
            <a:rPr lang="de-DE" sz="1100" baseline="0">
              <a:solidFill>
                <a:schemeClr val="accent5"/>
              </a:solidFill>
            </a:rPr>
            <a:t>Probieren Sie es ruhig einmal aus. Es lohnt sich. Bei Fragen ...</a:t>
          </a:r>
          <a:endParaRPr lang="de-DE" sz="1100">
            <a:solidFill>
              <a:schemeClr val="accent5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"/>
  <sheetViews>
    <sheetView workbookViewId="0">
      <selection activeCell="D3" sqref="D3"/>
    </sheetView>
  </sheetViews>
  <sheetFormatPr baseColWidth="10" defaultColWidth="8.85546875" defaultRowHeight="15" x14ac:dyDescent="0.25"/>
  <cols>
    <col min="1" max="1" width="2.5703125" bestFit="1" customWidth="1"/>
    <col min="2" max="2" width="35.85546875" customWidth="1"/>
    <col min="3" max="5" width="18.85546875" customWidth="1"/>
  </cols>
  <sheetData>
    <row r="1" spans="1:5" ht="18.75" x14ac:dyDescent="0.3">
      <c r="B1" s="84" t="s">
        <v>61</v>
      </c>
      <c r="C1" s="84"/>
      <c r="D1" s="84"/>
      <c r="E1" s="84"/>
    </row>
    <row r="3" spans="1:5" ht="15.75" x14ac:dyDescent="0.25">
      <c r="A3" s="85" t="s">
        <v>0</v>
      </c>
      <c r="B3" s="85"/>
    </row>
    <row r="5" spans="1:5" x14ac:dyDescent="0.25">
      <c r="A5" s="17"/>
      <c r="B5" s="19" t="s">
        <v>2</v>
      </c>
      <c r="C5" s="16" t="s">
        <v>58</v>
      </c>
      <c r="D5" s="16" t="s">
        <v>59</v>
      </c>
      <c r="E5" s="16" t="s">
        <v>60</v>
      </c>
    </row>
    <row r="6" spans="1:5" x14ac:dyDescent="0.25">
      <c r="A6" s="17"/>
      <c r="B6" s="26" t="s">
        <v>1</v>
      </c>
      <c r="C6" s="24"/>
      <c r="D6" s="24"/>
      <c r="E6" s="24"/>
    </row>
    <row r="7" spans="1:5" x14ac:dyDescent="0.25">
      <c r="A7" s="17"/>
      <c r="B7" s="26" t="s">
        <v>3</v>
      </c>
      <c r="C7" s="25"/>
      <c r="D7" s="25"/>
      <c r="E7" s="25"/>
    </row>
    <row r="8" spans="1:5" x14ac:dyDescent="0.25">
      <c r="A8" s="17"/>
      <c r="B8" s="27" t="s">
        <v>6</v>
      </c>
      <c r="C8" s="28"/>
      <c r="D8" s="28"/>
      <c r="E8" s="28"/>
    </row>
    <row r="9" spans="1:5" x14ac:dyDescent="0.25">
      <c r="A9" s="17"/>
      <c r="B9" s="27" t="s">
        <v>9</v>
      </c>
      <c r="C9" s="28"/>
      <c r="D9" s="28"/>
      <c r="E9" s="28"/>
    </row>
    <row r="10" spans="1:5" x14ac:dyDescent="0.25">
      <c r="A10" s="17"/>
      <c r="B10" s="27" t="s">
        <v>13</v>
      </c>
      <c r="C10" s="28"/>
      <c r="D10" s="28"/>
      <c r="E10" s="28"/>
    </row>
    <row r="11" spans="1:5" x14ac:dyDescent="0.25">
      <c r="A11" s="17"/>
      <c r="B11" s="27" t="s">
        <v>17</v>
      </c>
      <c r="C11" s="28"/>
      <c r="D11" s="28"/>
      <c r="E11" s="28"/>
    </row>
    <row r="12" spans="1:5" x14ac:dyDescent="0.25">
      <c r="A12" s="17"/>
      <c r="B12" s="27" t="s">
        <v>18</v>
      </c>
      <c r="C12" s="28"/>
      <c r="D12" s="28"/>
      <c r="E12" s="28"/>
    </row>
    <row r="13" spans="1:5" x14ac:dyDescent="0.25">
      <c r="A13" s="17"/>
      <c r="B13" s="27" t="s">
        <v>20</v>
      </c>
      <c r="C13" s="28"/>
      <c r="D13" s="28"/>
      <c r="E13" s="28"/>
    </row>
    <row r="14" spans="1:5" x14ac:dyDescent="0.25">
      <c r="A14" s="17"/>
      <c r="B14" s="26" t="s">
        <v>4</v>
      </c>
      <c r="C14" s="24"/>
      <c r="D14" s="24"/>
      <c r="E14" s="24"/>
    </row>
    <row r="15" spans="1:5" x14ac:dyDescent="0.25">
      <c r="A15" s="17"/>
      <c r="B15" s="26" t="s">
        <v>24</v>
      </c>
      <c r="C15" s="24"/>
      <c r="D15" s="24"/>
      <c r="E15" s="24"/>
    </row>
    <row r="17" spans="1:6" x14ac:dyDescent="0.25">
      <c r="A17" s="1"/>
      <c r="B17" s="71" t="s">
        <v>1</v>
      </c>
      <c r="C17" s="63">
        <f>C6*C7</f>
        <v>0</v>
      </c>
      <c r="D17" s="63">
        <f>D6*D7</f>
        <v>0</v>
      </c>
      <c r="E17" s="63">
        <f>E6*E7</f>
        <v>0</v>
      </c>
    </row>
    <row r="18" spans="1:6" x14ac:dyDescent="0.25">
      <c r="A18" s="1" t="s">
        <v>5</v>
      </c>
      <c r="B18" s="71" t="s">
        <v>6</v>
      </c>
      <c r="C18" s="63">
        <f>C17*C8</f>
        <v>0</v>
      </c>
      <c r="D18" s="63">
        <f t="shared" ref="D18:E18" si="0">D17*D8</f>
        <v>0</v>
      </c>
      <c r="E18" s="63">
        <f t="shared" si="0"/>
        <v>0</v>
      </c>
    </row>
    <row r="19" spans="1:6" x14ac:dyDescent="0.25">
      <c r="A19" s="3" t="s">
        <v>7</v>
      </c>
      <c r="B19" s="72" t="s">
        <v>8</v>
      </c>
      <c r="C19" s="73">
        <f>C17-C18</f>
        <v>0</v>
      </c>
      <c r="D19" s="73">
        <f>D17-D18</f>
        <v>0</v>
      </c>
      <c r="E19" s="73">
        <f>E17-E18</f>
        <v>0</v>
      </c>
    </row>
    <row r="20" spans="1:6" x14ac:dyDescent="0.25">
      <c r="A20" s="1" t="s">
        <v>5</v>
      </c>
      <c r="B20" s="71" t="s">
        <v>9</v>
      </c>
      <c r="C20" s="63">
        <f>C19*C9</f>
        <v>0</v>
      </c>
      <c r="D20" s="63">
        <f t="shared" ref="D20:E20" si="1">D19*D9</f>
        <v>0</v>
      </c>
      <c r="E20" s="63">
        <f t="shared" si="1"/>
        <v>0</v>
      </c>
    </row>
    <row r="21" spans="1:6" x14ac:dyDescent="0.25">
      <c r="A21" s="3" t="s">
        <v>7</v>
      </c>
      <c r="B21" s="72" t="s">
        <v>10</v>
      </c>
      <c r="C21" s="73">
        <f>C19-C20</f>
        <v>0</v>
      </c>
      <c r="D21" s="73">
        <f>D19-D20</f>
        <v>0</v>
      </c>
      <c r="E21" s="73">
        <f>E19-E20</f>
        <v>0</v>
      </c>
    </row>
    <row r="22" spans="1:6" x14ac:dyDescent="0.25">
      <c r="A22" s="1" t="s">
        <v>11</v>
      </c>
      <c r="B22" s="74" t="s">
        <v>12</v>
      </c>
      <c r="C22" s="75">
        <f>C7*C15</f>
        <v>0</v>
      </c>
      <c r="D22" s="75">
        <f t="shared" ref="D22:E22" si="2">D7*D15</f>
        <v>0</v>
      </c>
      <c r="E22" s="75">
        <f t="shared" si="2"/>
        <v>0</v>
      </c>
    </row>
    <row r="23" spans="1:6" x14ac:dyDescent="0.25">
      <c r="A23" s="3" t="s">
        <v>7</v>
      </c>
      <c r="B23" s="72" t="s">
        <v>23</v>
      </c>
      <c r="C23" s="73">
        <f>C21+C22</f>
        <v>0</v>
      </c>
      <c r="D23" s="73">
        <f>D21+D22</f>
        <v>0</v>
      </c>
      <c r="E23" s="73">
        <f>E21+E22</f>
        <v>0</v>
      </c>
      <c r="F23" s="5"/>
    </row>
    <row r="24" spans="1:6" x14ac:dyDescent="0.25">
      <c r="A24" s="1" t="s">
        <v>11</v>
      </c>
      <c r="B24" s="71" t="s">
        <v>13</v>
      </c>
      <c r="C24" s="63">
        <f>C23*C10</f>
        <v>0</v>
      </c>
      <c r="D24" s="63">
        <f t="shared" ref="D24:E24" si="3">D23*D10</f>
        <v>0</v>
      </c>
      <c r="E24" s="63">
        <f t="shared" si="3"/>
        <v>0</v>
      </c>
    </row>
    <row r="25" spans="1:6" x14ac:dyDescent="0.25">
      <c r="A25" s="3" t="s">
        <v>7</v>
      </c>
      <c r="B25" s="72" t="s">
        <v>14</v>
      </c>
      <c r="C25" s="73">
        <f>C23+C24</f>
        <v>0</v>
      </c>
      <c r="D25" s="73">
        <f>D23+D24</f>
        <v>0</v>
      </c>
      <c r="E25" s="73">
        <f>E23+E24</f>
        <v>0</v>
      </c>
    </row>
    <row r="26" spans="1:6" x14ac:dyDescent="0.25">
      <c r="A26" s="6" t="s">
        <v>11</v>
      </c>
      <c r="B26" s="76" t="s">
        <v>15</v>
      </c>
      <c r="C26" s="77">
        <f>C27-C25</f>
        <v>0</v>
      </c>
      <c r="D26" s="77">
        <f>D27-D25</f>
        <v>0</v>
      </c>
      <c r="E26" s="77">
        <f>E27-E25</f>
        <v>0</v>
      </c>
    </row>
    <row r="27" spans="1:6" x14ac:dyDescent="0.25">
      <c r="A27" s="3" t="s">
        <v>7</v>
      </c>
      <c r="B27" s="72" t="s">
        <v>16</v>
      </c>
      <c r="C27" s="73">
        <f>C30-C29-C28</f>
        <v>0</v>
      </c>
      <c r="D27" s="73">
        <f>D30-D29-D28</f>
        <v>0</v>
      </c>
      <c r="E27" s="73">
        <f>E30-E29-E28</f>
        <v>0</v>
      </c>
    </row>
    <row r="28" spans="1:6" x14ac:dyDescent="0.25">
      <c r="A28" s="1" t="s">
        <v>11</v>
      </c>
      <c r="B28" s="71" t="s">
        <v>17</v>
      </c>
      <c r="C28" s="63">
        <f>C30*C11</f>
        <v>0</v>
      </c>
      <c r="D28" s="63">
        <f t="shared" ref="D28:E28" si="4">D30*D11</f>
        <v>0</v>
      </c>
      <c r="E28" s="63">
        <f t="shared" si="4"/>
        <v>0</v>
      </c>
    </row>
    <row r="29" spans="1:6" x14ac:dyDescent="0.25">
      <c r="A29" s="1" t="s">
        <v>11</v>
      </c>
      <c r="B29" s="71" t="s">
        <v>18</v>
      </c>
      <c r="C29" s="63">
        <f>C30*C12</f>
        <v>0</v>
      </c>
      <c r="D29" s="63">
        <f t="shared" ref="D29:E29" si="5">D30*D12</f>
        <v>0</v>
      </c>
      <c r="E29" s="63">
        <f t="shared" si="5"/>
        <v>0</v>
      </c>
    </row>
    <row r="30" spans="1:6" x14ac:dyDescent="0.25">
      <c r="A30" s="3" t="s">
        <v>7</v>
      </c>
      <c r="B30" s="72" t="s">
        <v>19</v>
      </c>
      <c r="C30" s="73">
        <f>C32-C31</f>
        <v>0</v>
      </c>
      <c r="D30" s="73">
        <f>D32-D31</f>
        <v>0</v>
      </c>
      <c r="E30" s="73">
        <f>E32-E31</f>
        <v>0</v>
      </c>
    </row>
    <row r="31" spans="1:6" x14ac:dyDescent="0.25">
      <c r="A31" s="1" t="s">
        <v>11</v>
      </c>
      <c r="B31" s="71" t="s">
        <v>20</v>
      </c>
      <c r="C31" s="63">
        <f>C32*C13</f>
        <v>0</v>
      </c>
      <c r="D31" s="63">
        <f t="shared" ref="D31:E31" si="6">D32*D13</f>
        <v>0</v>
      </c>
      <c r="E31" s="63">
        <f t="shared" si="6"/>
        <v>0</v>
      </c>
    </row>
    <row r="32" spans="1:6" x14ac:dyDescent="0.25">
      <c r="A32" s="18" t="s">
        <v>7</v>
      </c>
      <c r="B32" s="78" t="s">
        <v>21</v>
      </c>
      <c r="C32" s="79">
        <f>C33*C7</f>
        <v>0</v>
      </c>
      <c r="D32" s="79">
        <f>D33*D7</f>
        <v>0</v>
      </c>
      <c r="E32" s="79">
        <f>E33*E7</f>
        <v>0</v>
      </c>
    </row>
    <row r="33" spans="1:5" x14ac:dyDescent="0.25">
      <c r="A33" s="18" t="s">
        <v>7</v>
      </c>
      <c r="B33" s="78" t="s">
        <v>22</v>
      </c>
      <c r="C33" s="79">
        <f>C14</f>
        <v>0</v>
      </c>
      <c r="D33" s="79">
        <f>D14</f>
        <v>0</v>
      </c>
      <c r="E33" s="79">
        <f>E14</f>
        <v>0</v>
      </c>
    </row>
    <row r="36" spans="1:5" ht="15.75" x14ac:dyDescent="0.25">
      <c r="A36" s="85" t="s">
        <v>25</v>
      </c>
      <c r="B36" s="85"/>
    </row>
    <row r="38" spans="1:5" ht="15.75" x14ac:dyDescent="0.25">
      <c r="B38" s="86" t="s">
        <v>26</v>
      </c>
      <c r="C38" s="86"/>
      <c r="D38" s="86"/>
      <c r="E38" s="86"/>
    </row>
    <row r="39" spans="1:5" x14ac:dyDescent="0.25">
      <c r="B39" s="33" t="s">
        <v>2</v>
      </c>
      <c r="C39" s="16" t="str">
        <f>C5</f>
        <v>Firma 1</v>
      </c>
      <c r="D39" s="16" t="str">
        <f t="shared" ref="D39:E39" si="7">D5</f>
        <v>Firma 2</v>
      </c>
      <c r="E39" s="16" t="str">
        <f t="shared" si="7"/>
        <v>Firma 3</v>
      </c>
    </row>
    <row r="40" spans="1:5" x14ac:dyDescent="0.25">
      <c r="B40" s="71" t="s">
        <v>27</v>
      </c>
      <c r="C40" s="63" t="str">
        <f>IF(C27=0,"",C27)</f>
        <v/>
      </c>
      <c r="D40" s="63" t="str">
        <f t="shared" ref="D40:E40" si="8">IF(D27=0,"",D27)</f>
        <v/>
      </c>
      <c r="E40" s="63" t="str">
        <f t="shared" si="8"/>
        <v/>
      </c>
    </row>
    <row r="41" spans="1:5" x14ac:dyDescent="0.25">
      <c r="B41" s="71" t="s">
        <v>28</v>
      </c>
      <c r="C41" s="63" t="str">
        <f>IF(C27=0,"",C23)</f>
        <v/>
      </c>
      <c r="D41" s="63" t="str">
        <f t="shared" ref="D41:E41" si="9">IF(D27=0,"",D23)</f>
        <v/>
      </c>
      <c r="E41" s="63" t="str">
        <f t="shared" si="9"/>
        <v/>
      </c>
    </row>
    <row r="42" spans="1:5" x14ac:dyDescent="0.25">
      <c r="B42" s="71" t="s">
        <v>29</v>
      </c>
      <c r="C42" s="63" t="str">
        <f>IF(C27=0,"",C40-C41)</f>
        <v/>
      </c>
      <c r="D42" s="63" t="str">
        <f t="shared" ref="D42:E42" si="10">IF(D27=0,"",D40-D41)</f>
        <v/>
      </c>
      <c r="E42" s="63" t="str">
        <f t="shared" si="10"/>
        <v/>
      </c>
    </row>
    <row r="43" spans="1:5" x14ac:dyDescent="0.25">
      <c r="B43" s="80"/>
      <c r="C43" s="80"/>
      <c r="D43" s="80"/>
      <c r="E43" s="80"/>
    </row>
    <row r="44" spans="1:5" ht="15.75" x14ac:dyDescent="0.25">
      <c r="B44" s="87" t="s">
        <v>30</v>
      </c>
      <c r="C44" s="87"/>
      <c r="D44" s="87"/>
      <c r="E44" s="87"/>
    </row>
    <row r="45" spans="1:5" x14ac:dyDescent="0.25">
      <c r="B45" s="81" t="s">
        <v>2</v>
      </c>
      <c r="C45" s="65" t="str">
        <f>C5</f>
        <v>Firma 1</v>
      </c>
      <c r="D45" s="65" t="str">
        <f t="shared" ref="D45:E45" si="11">D5</f>
        <v>Firma 2</v>
      </c>
      <c r="E45" s="65" t="str">
        <f t="shared" si="11"/>
        <v>Firma 3</v>
      </c>
    </row>
    <row r="46" spans="1:5" x14ac:dyDescent="0.25">
      <c r="B46" s="71" t="s">
        <v>3</v>
      </c>
      <c r="C46" s="82" t="str">
        <f>IF(C27=0,"",C7)</f>
        <v/>
      </c>
      <c r="D46" s="82" t="str">
        <f t="shared" ref="D46:E46" si="12">IF(D27=0,"",D7)</f>
        <v/>
      </c>
      <c r="E46" s="82" t="str">
        <f t="shared" si="12"/>
        <v/>
      </c>
    </row>
    <row r="47" spans="1:5" x14ac:dyDescent="0.25">
      <c r="B47" s="71" t="s">
        <v>31</v>
      </c>
      <c r="C47" s="63" t="str">
        <f>IF(C27=0,"",C40/C46)</f>
        <v/>
      </c>
      <c r="D47" s="63" t="str">
        <f t="shared" ref="D47:E47" si="13">IF(D27=0,"",D40/D46)</f>
        <v/>
      </c>
      <c r="E47" s="63" t="str">
        <f t="shared" si="13"/>
        <v/>
      </c>
    </row>
    <row r="48" spans="1:5" x14ac:dyDescent="0.25">
      <c r="B48" s="71" t="s">
        <v>28</v>
      </c>
      <c r="C48" s="63" t="str">
        <f>IF(C27=0,"",C41/C46)</f>
        <v/>
      </c>
      <c r="D48" s="63" t="str">
        <f t="shared" ref="D48:E48" si="14">IF(D27=0,"",D41/D46)</f>
        <v/>
      </c>
      <c r="E48" s="63" t="str">
        <f t="shared" si="14"/>
        <v/>
      </c>
    </row>
    <row r="49" spans="2:5" x14ac:dyDescent="0.25">
      <c r="B49" s="71" t="s">
        <v>32</v>
      </c>
      <c r="C49" s="63" t="str">
        <f>IF(C27=0,"",C47-C48)</f>
        <v/>
      </c>
      <c r="D49" s="63" t="str">
        <f t="shared" ref="D49:E49" si="15">IF(D27=0,"",D47-D48)</f>
        <v/>
      </c>
      <c r="E49" s="63" t="str">
        <f t="shared" si="15"/>
        <v/>
      </c>
    </row>
  </sheetData>
  <protectedRanges>
    <protectedRange sqref="C5:E15" name="Bereich1"/>
  </protectedRanges>
  <mergeCells count="5">
    <mergeCell ref="B1:E1"/>
    <mergeCell ref="A3:B3"/>
    <mergeCell ref="B38:E38"/>
    <mergeCell ref="B44:E44"/>
    <mergeCell ref="A36:B36"/>
  </mergeCells>
  <conditionalFormatting sqref="C26:E26">
    <cfRule type="cellIs" dxfId="13" priority="7" operator="lessThan">
      <formula>0</formula>
    </cfRule>
    <cfRule type="cellIs" dxfId="12" priority="8" operator="greaterThan">
      <formula>0</formula>
    </cfRule>
  </conditionalFormatting>
  <conditionalFormatting sqref="C42:E42">
    <cfRule type="expression" dxfId="11" priority="2">
      <formula>AND(C27&gt;0,C27&lt;&gt;"")</formula>
    </cfRule>
    <cfRule type="cellIs" dxfId="10" priority="5" operator="lessThan">
      <formula>0</formula>
    </cfRule>
  </conditionalFormatting>
  <conditionalFormatting sqref="C49:E49">
    <cfRule type="expression" dxfId="9" priority="1">
      <formula>AND(C27&gt;0,C27&lt;&gt;0)</formula>
    </cfRule>
    <cfRule type="cellIs" dxfId="8" priority="3" operator="lessThan">
      <formula>0</formula>
    </cfRule>
  </conditionalFormatting>
  <pageMargins left="0.7" right="0.7" top="0.75" bottom="0.75" header="0.3" footer="0.3"/>
  <pageSetup paperSize="9" orientation="portrait" verticalDpi="0" r:id="rId1"/>
  <ignoredErrors>
    <ignoredError sqref="C19:E19 C23:E23 C21:E21 C25:E27 C30:E3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"/>
  <sheetViews>
    <sheetView topLeftCell="A22" workbookViewId="0">
      <selection activeCell="C10" sqref="C10"/>
    </sheetView>
  </sheetViews>
  <sheetFormatPr baseColWidth="10" defaultColWidth="8.85546875" defaultRowHeight="15" x14ac:dyDescent="0.25"/>
  <cols>
    <col min="1" max="1" width="2.5703125" bestFit="1" customWidth="1"/>
    <col min="2" max="2" width="35.85546875" customWidth="1"/>
    <col min="3" max="5" width="18.85546875" customWidth="1"/>
  </cols>
  <sheetData>
    <row r="1" spans="1:5" ht="18.75" x14ac:dyDescent="0.3">
      <c r="B1" s="84" t="s">
        <v>61</v>
      </c>
      <c r="C1" s="84"/>
      <c r="D1" s="84"/>
      <c r="E1" s="84"/>
    </row>
    <row r="3" spans="1:5" ht="15.75" x14ac:dyDescent="0.25">
      <c r="A3" s="85" t="s">
        <v>0</v>
      </c>
      <c r="B3" s="85"/>
    </row>
    <row r="5" spans="1:5" x14ac:dyDescent="0.25">
      <c r="A5" s="17"/>
      <c r="B5" s="19" t="s">
        <v>2</v>
      </c>
      <c r="C5" s="16" t="s">
        <v>58</v>
      </c>
      <c r="D5" s="16" t="s">
        <v>59</v>
      </c>
      <c r="E5" s="16" t="s">
        <v>60</v>
      </c>
    </row>
    <row r="6" spans="1:5" x14ac:dyDescent="0.25">
      <c r="A6" s="17"/>
      <c r="B6" s="26" t="s">
        <v>1</v>
      </c>
      <c r="C6" s="24">
        <v>151.4</v>
      </c>
      <c r="D6" s="24">
        <v>151.4</v>
      </c>
      <c r="E6" s="24">
        <v>151.4</v>
      </c>
    </row>
    <row r="7" spans="1:5" x14ac:dyDescent="0.25">
      <c r="A7" s="17"/>
      <c r="B7" s="26" t="s">
        <v>3</v>
      </c>
      <c r="C7" s="25">
        <v>100</v>
      </c>
      <c r="D7" s="25">
        <v>400</v>
      </c>
      <c r="E7" s="25">
        <v>200</v>
      </c>
    </row>
    <row r="8" spans="1:5" x14ac:dyDescent="0.25">
      <c r="A8" s="17"/>
      <c r="B8" s="27" t="s">
        <v>6</v>
      </c>
      <c r="C8" s="28">
        <v>0.12</v>
      </c>
      <c r="D8" s="28">
        <v>0.12</v>
      </c>
      <c r="E8" s="28">
        <v>0.12</v>
      </c>
    </row>
    <row r="9" spans="1:5" x14ac:dyDescent="0.25">
      <c r="A9" s="17"/>
      <c r="B9" s="27" t="s">
        <v>9</v>
      </c>
      <c r="C9" s="28">
        <v>1.4999999999999999E-2</v>
      </c>
      <c r="D9" s="28">
        <v>1.4999999999999999E-2</v>
      </c>
      <c r="E9" s="28">
        <v>1.4999999999999999E-2</v>
      </c>
    </row>
    <row r="10" spans="1:5" x14ac:dyDescent="0.25">
      <c r="A10" s="17"/>
      <c r="B10" s="27" t="s">
        <v>13</v>
      </c>
      <c r="C10" s="28">
        <v>0.21</v>
      </c>
      <c r="D10" s="28">
        <v>0.21</v>
      </c>
      <c r="E10" s="28">
        <v>0.21</v>
      </c>
    </row>
    <row r="11" spans="1:5" x14ac:dyDescent="0.25">
      <c r="A11" s="17"/>
      <c r="B11" s="27" t="s">
        <v>17</v>
      </c>
      <c r="C11" s="28">
        <v>0.01</v>
      </c>
      <c r="D11" s="28">
        <v>0.01</v>
      </c>
      <c r="E11" s="28">
        <v>0.01</v>
      </c>
    </row>
    <row r="12" spans="1:5" x14ac:dyDescent="0.25">
      <c r="A12" s="17"/>
      <c r="B12" s="27" t="s">
        <v>18</v>
      </c>
      <c r="C12" s="28">
        <v>0.03</v>
      </c>
      <c r="D12" s="28">
        <v>0.03</v>
      </c>
      <c r="E12" s="28">
        <v>0.03</v>
      </c>
    </row>
    <row r="13" spans="1:5" x14ac:dyDescent="0.25">
      <c r="A13" s="17"/>
      <c r="B13" s="27" t="s">
        <v>20</v>
      </c>
      <c r="C13" s="28">
        <v>0.08</v>
      </c>
      <c r="D13" s="28">
        <v>0.08</v>
      </c>
      <c r="E13" s="28">
        <v>0.08</v>
      </c>
    </row>
    <row r="14" spans="1:5" x14ac:dyDescent="0.25">
      <c r="A14" s="17"/>
      <c r="B14" s="26" t="s">
        <v>4</v>
      </c>
      <c r="C14" s="24">
        <v>179</v>
      </c>
      <c r="D14" s="24">
        <v>170</v>
      </c>
      <c r="E14" s="24">
        <v>140</v>
      </c>
    </row>
    <row r="15" spans="1:5" x14ac:dyDescent="0.25">
      <c r="A15" s="17"/>
      <c r="B15" s="26" t="s">
        <v>24</v>
      </c>
      <c r="C15" s="24">
        <v>5.8</v>
      </c>
      <c r="D15" s="24">
        <v>5.8</v>
      </c>
      <c r="E15" s="24">
        <v>5.8</v>
      </c>
    </row>
    <row r="17" spans="1:6" x14ac:dyDescent="0.25">
      <c r="A17" s="1"/>
      <c r="B17" s="12" t="s">
        <v>1</v>
      </c>
      <c r="C17" s="2">
        <f>C6*C7</f>
        <v>15140</v>
      </c>
      <c r="D17" s="2">
        <f>D6*D7</f>
        <v>60560</v>
      </c>
      <c r="E17" s="2">
        <f>E6*E7</f>
        <v>30280</v>
      </c>
    </row>
    <row r="18" spans="1:6" x14ac:dyDescent="0.25">
      <c r="A18" s="1" t="s">
        <v>5</v>
      </c>
      <c r="B18" s="12" t="s">
        <v>6</v>
      </c>
      <c r="C18" s="2">
        <f>C17*C8</f>
        <v>1816.8</v>
      </c>
      <c r="D18" s="2">
        <f t="shared" ref="D18:E18" si="0">D17*D8</f>
        <v>7267.2</v>
      </c>
      <c r="E18" s="2">
        <f t="shared" si="0"/>
        <v>3633.6</v>
      </c>
    </row>
    <row r="19" spans="1:6" x14ac:dyDescent="0.25">
      <c r="A19" s="3" t="s">
        <v>7</v>
      </c>
      <c r="B19" s="29" t="s">
        <v>8</v>
      </c>
      <c r="C19" s="4">
        <f>C17-C18</f>
        <v>13323.2</v>
      </c>
      <c r="D19" s="4">
        <f>D17-D18</f>
        <v>53292.800000000003</v>
      </c>
      <c r="E19" s="4">
        <f>E17-E18</f>
        <v>26646.400000000001</v>
      </c>
    </row>
    <row r="20" spans="1:6" x14ac:dyDescent="0.25">
      <c r="A20" s="1" t="s">
        <v>5</v>
      </c>
      <c r="B20" s="12" t="s">
        <v>9</v>
      </c>
      <c r="C20" s="2">
        <f>C19*C9</f>
        <v>199.84800000000001</v>
      </c>
      <c r="D20" s="2">
        <f t="shared" ref="D20:E20" si="1">D19*D9</f>
        <v>799.39200000000005</v>
      </c>
      <c r="E20" s="2">
        <f t="shared" si="1"/>
        <v>399.69600000000003</v>
      </c>
    </row>
    <row r="21" spans="1:6" x14ac:dyDescent="0.25">
      <c r="A21" s="3" t="s">
        <v>7</v>
      </c>
      <c r="B21" s="29" t="s">
        <v>10</v>
      </c>
      <c r="C21" s="4">
        <f>C19-C20</f>
        <v>13123.352000000001</v>
      </c>
      <c r="D21" s="4">
        <f>D19-D20</f>
        <v>52493.408000000003</v>
      </c>
      <c r="E21" s="4">
        <f>E19-E20</f>
        <v>26246.704000000002</v>
      </c>
    </row>
    <row r="22" spans="1:6" x14ac:dyDescent="0.25">
      <c r="A22" s="1" t="s">
        <v>11</v>
      </c>
      <c r="B22" s="27" t="s">
        <v>12</v>
      </c>
      <c r="C22" s="24">
        <f>C7*C15</f>
        <v>580</v>
      </c>
      <c r="D22" s="24">
        <f t="shared" ref="D22:E22" si="2">D7*D15</f>
        <v>2320</v>
      </c>
      <c r="E22" s="24">
        <f t="shared" si="2"/>
        <v>1160</v>
      </c>
    </row>
    <row r="23" spans="1:6" x14ac:dyDescent="0.25">
      <c r="A23" s="3" t="s">
        <v>7</v>
      </c>
      <c r="B23" s="29" t="s">
        <v>23</v>
      </c>
      <c r="C23" s="4">
        <f>C21+C22</f>
        <v>13703.352000000001</v>
      </c>
      <c r="D23" s="4">
        <f>D21+D22</f>
        <v>54813.408000000003</v>
      </c>
      <c r="E23" s="4">
        <f>E21+E22</f>
        <v>27406.704000000002</v>
      </c>
      <c r="F23" s="5"/>
    </row>
    <row r="24" spans="1:6" x14ac:dyDescent="0.25">
      <c r="A24" s="1" t="s">
        <v>11</v>
      </c>
      <c r="B24" s="12" t="s">
        <v>13</v>
      </c>
      <c r="C24" s="2">
        <f>C23*C10</f>
        <v>2877.7039199999999</v>
      </c>
      <c r="D24" s="2">
        <f t="shared" ref="D24:E24" si="3">D23*D10</f>
        <v>11510.81568</v>
      </c>
      <c r="E24" s="2">
        <f t="shared" si="3"/>
        <v>5755.4078399999999</v>
      </c>
    </row>
    <row r="25" spans="1:6" x14ac:dyDescent="0.25">
      <c r="A25" s="3" t="s">
        <v>7</v>
      </c>
      <c r="B25" s="29" t="s">
        <v>14</v>
      </c>
      <c r="C25" s="4">
        <f>C23+C24</f>
        <v>16581.055919999999</v>
      </c>
      <c r="D25" s="4">
        <f>D23+D24</f>
        <v>66324.223679999996</v>
      </c>
      <c r="E25" s="4">
        <f>E23+E24</f>
        <v>33162.111839999998</v>
      </c>
    </row>
    <row r="26" spans="1:6" x14ac:dyDescent="0.25">
      <c r="A26" s="6" t="s">
        <v>11</v>
      </c>
      <c r="B26" s="30" t="s">
        <v>15</v>
      </c>
      <c r="C26" s="15">
        <f>C27-C25</f>
        <v>-771.77592000000004</v>
      </c>
      <c r="D26" s="15">
        <f>D27-D25</f>
        <v>-6266.623679999997</v>
      </c>
      <c r="E26" s="15">
        <f>E27-E25</f>
        <v>-8432.5118399999956</v>
      </c>
    </row>
    <row r="27" spans="1:6" x14ac:dyDescent="0.25">
      <c r="A27" s="3" t="s">
        <v>7</v>
      </c>
      <c r="B27" s="29" t="s">
        <v>16</v>
      </c>
      <c r="C27" s="4">
        <f>C30-C29-C28</f>
        <v>15809.279999999999</v>
      </c>
      <c r="D27" s="4">
        <f>D30-D29-D28</f>
        <v>60057.599999999999</v>
      </c>
      <c r="E27" s="4">
        <f>E30-E29-E28</f>
        <v>24729.600000000002</v>
      </c>
    </row>
    <row r="28" spans="1:6" x14ac:dyDescent="0.25">
      <c r="A28" s="1" t="s">
        <v>11</v>
      </c>
      <c r="B28" s="12" t="s">
        <v>17</v>
      </c>
      <c r="C28" s="2">
        <f>C30*C11</f>
        <v>164.68</v>
      </c>
      <c r="D28" s="2">
        <f t="shared" ref="D28:E28" si="4">D30*D11</f>
        <v>625.6</v>
      </c>
      <c r="E28" s="2">
        <f t="shared" si="4"/>
        <v>257.60000000000002</v>
      </c>
    </row>
    <row r="29" spans="1:6" x14ac:dyDescent="0.25">
      <c r="A29" s="1" t="s">
        <v>11</v>
      </c>
      <c r="B29" s="12" t="s">
        <v>18</v>
      </c>
      <c r="C29" s="2">
        <f>C30*C12</f>
        <v>494.03999999999996</v>
      </c>
      <c r="D29" s="2">
        <f t="shared" ref="D29:E29" si="5">D30*D12</f>
        <v>1876.8</v>
      </c>
      <c r="E29" s="2">
        <f t="shared" si="5"/>
        <v>772.8</v>
      </c>
    </row>
    <row r="30" spans="1:6" x14ac:dyDescent="0.25">
      <c r="A30" s="3" t="s">
        <v>7</v>
      </c>
      <c r="B30" s="29" t="s">
        <v>19</v>
      </c>
      <c r="C30" s="4">
        <f>C32-C31</f>
        <v>16468</v>
      </c>
      <c r="D30" s="4">
        <f>D32-D31</f>
        <v>62560</v>
      </c>
      <c r="E30" s="4">
        <f>E32-E31</f>
        <v>25760</v>
      </c>
    </row>
    <row r="31" spans="1:6" x14ac:dyDescent="0.25">
      <c r="A31" s="1" t="s">
        <v>11</v>
      </c>
      <c r="B31" s="12" t="s">
        <v>20</v>
      </c>
      <c r="C31" s="2">
        <f>C32*C13</f>
        <v>1432</v>
      </c>
      <c r="D31" s="2">
        <f t="shared" ref="D31:E31" si="6">D32*D13</f>
        <v>5440</v>
      </c>
      <c r="E31" s="2">
        <f t="shared" si="6"/>
        <v>2240</v>
      </c>
    </row>
    <row r="32" spans="1:6" x14ac:dyDescent="0.25">
      <c r="A32" s="18" t="s">
        <v>7</v>
      </c>
      <c r="B32" s="31" t="s">
        <v>21</v>
      </c>
      <c r="C32" s="22">
        <f>C33*C7</f>
        <v>17900</v>
      </c>
      <c r="D32" s="22">
        <f>D33*D7</f>
        <v>68000</v>
      </c>
      <c r="E32" s="22">
        <f>E33*E7</f>
        <v>28000</v>
      </c>
    </row>
    <row r="33" spans="1:5" x14ac:dyDescent="0.25">
      <c r="A33" s="18" t="s">
        <v>7</v>
      </c>
      <c r="B33" s="32" t="s">
        <v>22</v>
      </c>
      <c r="C33" s="23">
        <f>C14</f>
        <v>179</v>
      </c>
      <c r="D33" s="23">
        <f>D14</f>
        <v>170</v>
      </c>
      <c r="E33" s="23">
        <f>E14</f>
        <v>140</v>
      </c>
    </row>
    <row r="36" spans="1:5" ht="15.75" x14ac:dyDescent="0.25">
      <c r="A36" s="85" t="s">
        <v>25</v>
      </c>
      <c r="B36" s="85"/>
    </row>
    <row r="38" spans="1:5" ht="15.75" x14ac:dyDescent="0.25">
      <c r="B38" s="86" t="s">
        <v>26</v>
      </c>
      <c r="C38" s="86"/>
      <c r="D38" s="86"/>
      <c r="E38" s="86"/>
    </row>
    <row r="39" spans="1:5" x14ac:dyDescent="0.25">
      <c r="B39" s="33" t="s">
        <v>2</v>
      </c>
      <c r="C39" s="16" t="str">
        <f>C5</f>
        <v>Firma 1</v>
      </c>
      <c r="D39" s="16" t="str">
        <f t="shared" ref="D39:E39" si="7">D5</f>
        <v>Firma 2</v>
      </c>
      <c r="E39" s="16" t="str">
        <f t="shared" si="7"/>
        <v>Firma 3</v>
      </c>
    </row>
    <row r="40" spans="1:5" x14ac:dyDescent="0.25">
      <c r="B40" s="12" t="s">
        <v>27</v>
      </c>
      <c r="C40" s="2">
        <f>C27</f>
        <v>15809.279999999999</v>
      </c>
      <c r="D40" s="2">
        <f t="shared" ref="D40:E40" si="8">D27</f>
        <v>60057.599999999999</v>
      </c>
      <c r="E40" s="2">
        <f t="shared" si="8"/>
        <v>24729.600000000002</v>
      </c>
    </row>
    <row r="41" spans="1:5" x14ac:dyDescent="0.25">
      <c r="B41" s="12" t="s">
        <v>28</v>
      </c>
      <c r="C41" s="2">
        <f>C23</f>
        <v>13703.352000000001</v>
      </c>
      <c r="D41" s="2">
        <f>D23</f>
        <v>54813.408000000003</v>
      </c>
      <c r="E41" s="2">
        <f>E23</f>
        <v>27406.704000000002</v>
      </c>
    </row>
    <row r="42" spans="1:5" x14ac:dyDescent="0.25">
      <c r="B42" s="12" t="s">
        <v>29</v>
      </c>
      <c r="C42" s="2">
        <f>C40-C41</f>
        <v>2105.9279999999981</v>
      </c>
      <c r="D42" s="2">
        <f>D40-D41</f>
        <v>5244.1919999999955</v>
      </c>
      <c r="E42" s="7">
        <f>E40-E41</f>
        <v>-2677.1039999999994</v>
      </c>
    </row>
    <row r="44" spans="1:5" ht="15.75" x14ac:dyDescent="0.25">
      <c r="B44" s="86" t="s">
        <v>30</v>
      </c>
      <c r="C44" s="86"/>
      <c r="D44" s="86"/>
      <c r="E44" s="86"/>
    </row>
    <row r="45" spans="1:5" x14ac:dyDescent="0.25">
      <c r="B45" s="33" t="s">
        <v>2</v>
      </c>
      <c r="C45" s="16" t="str">
        <f>C5</f>
        <v>Firma 1</v>
      </c>
      <c r="D45" s="16" t="str">
        <f t="shared" ref="D45:E45" si="9">D5</f>
        <v>Firma 2</v>
      </c>
      <c r="E45" s="16" t="str">
        <f t="shared" si="9"/>
        <v>Firma 3</v>
      </c>
    </row>
    <row r="46" spans="1:5" x14ac:dyDescent="0.25">
      <c r="B46" s="12" t="s">
        <v>3</v>
      </c>
      <c r="C46" s="1">
        <f>C7</f>
        <v>100</v>
      </c>
      <c r="D46" s="1">
        <f t="shared" ref="D46:E46" si="10">D7</f>
        <v>400</v>
      </c>
      <c r="E46" s="1">
        <f t="shared" si="10"/>
        <v>200</v>
      </c>
    </row>
    <row r="47" spans="1:5" x14ac:dyDescent="0.25">
      <c r="B47" s="12" t="s">
        <v>31</v>
      </c>
      <c r="C47" s="2">
        <f>C40/C46</f>
        <v>158.09279999999998</v>
      </c>
      <c r="D47" s="2">
        <f t="shared" ref="D47:E47" si="11">D40/D46</f>
        <v>150.14400000000001</v>
      </c>
      <c r="E47" s="2">
        <f t="shared" si="11"/>
        <v>123.64800000000001</v>
      </c>
    </row>
    <row r="48" spans="1:5" x14ac:dyDescent="0.25">
      <c r="B48" s="12" t="s">
        <v>28</v>
      </c>
      <c r="C48" s="2">
        <f>C41/C46</f>
        <v>137.03352000000001</v>
      </c>
      <c r="D48" s="2">
        <f t="shared" ref="D48:E48" si="12">D41/D46</f>
        <v>137.03352000000001</v>
      </c>
      <c r="E48" s="2">
        <f t="shared" si="12"/>
        <v>137.03352000000001</v>
      </c>
    </row>
    <row r="49" spans="2:5" x14ac:dyDescent="0.25">
      <c r="B49" s="12" t="s">
        <v>32</v>
      </c>
      <c r="C49" s="2">
        <f>C47-C48</f>
        <v>21.059279999999973</v>
      </c>
      <c r="D49" s="2">
        <f>D47-D48</f>
        <v>13.110479999999995</v>
      </c>
      <c r="E49" s="7">
        <f>E47-E48</f>
        <v>-13.38552</v>
      </c>
    </row>
  </sheetData>
  <mergeCells count="5">
    <mergeCell ref="B1:E1"/>
    <mergeCell ref="A3:B3"/>
    <mergeCell ref="A36:B36"/>
    <mergeCell ref="B38:E38"/>
    <mergeCell ref="B44:E44"/>
  </mergeCells>
  <conditionalFormatting sqref="C26:E26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C42:E42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C49:E49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workbookViewId="0">
      <selection activeCell="K19" sqref="K19"/>
    </sheetView>
  </sheetViews>
  <sheetFormatPr baseColWidth="10" defaultRowHeight="15" x14ac:dyDescent="0.25"/>
  <cols>
    <col min="1" max="1" width="2.7109375" customWidth="1"/>
    <col min="2" max="2" width="28.5703125" bestFit="1" customWidth="1"/>
    <col min="3" max="3" width="13.7109375" bestFit="1" customWidth="1"/>
    <col min="4" max="5" width="13.7109375" customWidth="1"/>
    <col min="6" max="7" width="20.7109375" customWidth="1"/>
  </cols>
  <sheetData>
    <row r="1" spans="1:7" x14ac:dyDescent="0.25">
      <c r="A1" s="103" t="s">
        <v>33</v>
      </c>
      <c r="B1" s="103"/>
    </row>
    <row r="3" spans="1:7" ht="15.75" x14ac:dyDescent="0.25">
      <c r="A3" s="34"/>
      <c r="B3" s="86" t="s">
        <v>34</v>
      </c>
      <c r="C3" s="86"/>
      <c r="D3" s="86"/>
      <c r="E3" s="86"/>
      <c r="F3" s="86"/>
      <c r="G3" s="86"/>
    </row>
    <row r="4" spans="1:7" x14ac:dyDescent="0.25">
      <c r="A4" s="34"/>
      <c r="B4" s="110" t="s">
        <v>35</v>
      </c>
      <c r="C4" s="111"/>
      <c r="D4" s="112"/>
      <c r="E4" s="39"/>
      <c r="F4" s="16" t="s">
        <v>37</v>
      </c>
      <c r="G4" s="16" t="s">
        <v>36</v>
      </c>
    </row>
    <row r="5" spans="1:7" x14ac:dyDescent="0.25">
      <c r="A5" s="34"/>
      <c r="B5" s="88" t="s">
        <v>38</v>
      </c>
      <c r="C5" s="89"/>
      <c r="D5" s="90"/>
      <c r="E5" s="14"/>
      <c r="F5" s="1" t="s">
        <v>43</v>
      </c>
      <c r="G5" s="26"/>
    </row>
    <row r="6" spans="1:7" x14ac:dyDescent="0.25">
      <c r="A6" s="34"/>
      <c r="B6" s="88" t="s">
        <v>40</v>
      </c>
      <c r="C6" s="89"/>
      <c r="D6" s="90"/>
      <c r="E6" s="14"/>
      <c r="F6" s="1" t="s">
        <v>45</v>
      </c>
      <c r="G6" s="26"/>
    </row>
    <row r="7" spans="1:7" x14ac:dyDescent="0.25">
      <c r="A7" s="34"/>
      <c r="B7" s="88" t="s">
        <v>39</v>
      </c>
      <c r="C7" s="89"/>
      <c r="D7" s="90"/>
      <c r="E7" s="14"/>
      <c r="F7" s="1" t="s">
        <v>44</v>
      </c>
      <c r="G7" s="24"/>
    </row>
    <row r="8" spans="1:7" x14ac:dyDescent="0.25">
      <c r="A8" s="34"/>
      <c r="B8" s="88" t="s">
        <v>41</v>
      </c>
      <c r="C8" s="89"/>
      <c r="D8" s="90"/>
      <c r="E8" s="14"/>
      <c r="F8" s="1" t="s">
        <v>44</v>
      </c>
      <c r="G8" s="24"/>
    </row>
    <row r="9" spans="1:7" x14ac:dyDescent="0.25">
      <c r="A9" s="34"/>
      <c r="B9" s="107" t="s">
        <v>42</v>
      </c>
      <c r="C9" s="108"/>
      <c r="D9" s="109"/>
      <c r="E9" s="21"/>
      <c r="F9" s="3" t="s">
        <v>43</v>
      </c>
      <c r="G9" s="36">
        <f>G5*G6</f>
        <v>0</v>
      </c>
    </row>
    <row r="10" spans="1:7" x14ac:dyDescent="0.25">
      <c r="A10" s="8"/>
      <c r="B10" s="88"/>
      <c r="C10" s="89"/>
      <c r="D10" s="89"/>
      <c r="E10" s="89"/>
      <c r="F10" s="89"/>
      <c r="G10" s="90"/>
    </row>
    <row r="11" spans="1:7" x14ac:dyDescent="0.25">
      <c r="A11" s="35"/>
      <c r="B11" s="88" t="s">
        <v>46</v>
      </c>
      <c r="C11" s="89"/>
      <c r="D11" s="89"/>
      <c r="E11" s="89"/>
      <c r="F11" s="90"/>
      <c r="G11" s="63">
        <f>G7*G9</f>
        <v>0</v>
      </c>
    </row>
    <row r="12" spans="1:7" x14ac:dyDescent="0.25">
      <c r="A12" s="35" t="s">
        <v>5</v>
      </c>
      <c r="B12" s="88" t="s">
        <v>47</v>
      </c>
      <c r="C12" s="89"/>
      <c r="D12" s="89"/>
      <c r="E12" s="89"/>
      <c r="F12" s="90"/>
      <c r="G12" s="63">
        <f>G8*G9</f>
        <v>0</v>
      </c>
    </row>
    <row r="13" spans="1:7" x14ac:dyDescent="0.25">
      <c r="A13" s="40" t="s">
        <v>63</v>
      </c>
      <c r="B13" s="88" t="s">
        <v>29</v>
      </c>
      <c r="C13" s="89"/>
      <c r="D13" s="89"/>
      <c r="E13" s="89"/>
      <c r="F13" s="90"/>
      <c r="G13" s="63">
        <f>G11-G12</f>
        <v>0</v>
      </c>
    </row>
    <row r="14" spans="1:7" x14ac:dyDescent="0.25">
      <c r="A14" s="40" t="s">
        <v>63</v>
      </c>
      <c r="B14" s="88" t="s">
        <v>32</v>
      </c>
      <c r="C14" s="89"/>
      <c r="D14" s="89"/>
      <c r="E14" s="89"/>
      <c r="F14" s="90"/>
      <c r="G14" s="63">
        <f>G7-G8</f>
        <v>0</v>
      </c>
    </row>
    <row r="15" spans="1:7" x14ac:dyDescent="0.25">
      <c r="B15" s="9"/>
    </row>
    <row r="16" spans="1:7" ht="15.75" x14ac:dyDescent="0.25">
      <c r="A16" s="85" t="s">
        <v>48</v>
      </c>
      <c r="B16" s="85"/>
    </row>
    <row r="18" spans="1:11" ht="15.75" x14ac:dyDescent="0.25">
      <c r="B18" s="104" t="s">
        <v>49</v>
      </c>
      <c r="C18" s="105"/>
      <c r="D18" s="105"/>
      <c r="E18" s="105"/>
      <c r="F18" s="105"/>
      <c r="G18" s="106"/>
    </row>
    <row r="19" spans="1:11" x14ac:dyDescent="0.25">
      <c r="B19" s="100" t="s">
        <v>35</v>
      </c>
      <c r="C19" s="101"/>
      <c r="D19" s="102"/>
      <c r="E19" s="20"/>
      <c r="F19" s="16" t="s">
        <v>37</v>
      </c>
      <c r="G19" s="16" t="str">
        <f>G4</f>
        <v>Schredder King</v>
      </c>
    </row>
    <row r="20" spans="1:11" x14ac:dyDescent="0.25">
      <c r="B20" s="88" t="s">
        <v>50</v>
      </c>
      <c r="C20" s="89"/>
      <c r="D20" s="90"/>
      <c r="E20" s="14"/>
      <c r="F20" s="1" t="s">
        <v>43</v>
      </c>
      <c r="G20" s="64">
        <f>G5</f>
        <v>0</v>
      </c>
    </row>
    <row r="21" spans="1:11" x14ac:dyDescent="0.25">
      <c r="B21" s="88" t="s">
        <v>51</v>
      </c>
      <c r="C21" s="89"/>
      <c r="D21" s="90"/>
      <c r="E21" s="14"/>
      <c r="F21" s="1" t="s">
        <v>45</v>
      </c>
      <c r="G21" s="64">
        <f>G6</f>
        <v>0</v>
      </c>
    </row>
    <row r="22" spans="1:11" x14ac:dyDescent="0.25">
      <c r="B22" s="88" t="s">
        <v>41</v>
      </c>
      <c r="C22" s="89"/>
      <c r="D22" s="90"/>
      <c r="E22" s="14"/>
      <c r="F22" s="1"/>
      <c r="G22" s="63">
        <f>G8</f>
        <v>0</v>
      </c>
    </row>
    <row r="23" spans="1:11" x14ac:dyDescent="0.25">
      <c r="B23" s="88" t="s">
        <v>52</v>
      </c>
      <c r="C23" s="89"/>
      <c r="D23" s="90"/>
      <c r="E23" s="14"/>
      <c r="F23" s="1"/>
      <c r="G23" s="63">
        <f>G7</f>
        <v>0</v>
      </c>
    </row>
    <row r="24" spans="1:11" x14ac:dyDescent="0.25">
      <c r="B24" s="100"/>
      <c r="C24" s="101"/>
      <c r="D24" s="102"/>
      <c r="E24" s="20"/>
      <c r="F24" s="16" t="s">
        <v>53</v>
      </c>
      <c r="G24" s="65" t="s">
        <v>54</v>
      </c>
    </row>
    <row r="25" spans="1:11" x14ac:dyDescent="0.25">
      <c r="B25" s="91" t="s">
        <v>55</v>
      </c>
      <c r="C25" s="92"/>
      <c r="D25" s="92"/>
      <c r="E25" s="93"/>
      <c r="F25" s="37" t="str">
        <f>IF(ISERROR(G25/G21),"",G25/G21)</f>
        <v/>
      </c>
      <c r="G25" s="66">
        <f>G13</f>
        <v>0</v>
      </c>
      <c r="J25" s="9"/>
      <c r="K25" s="9"/>
    </row>
    <row r="26" spans="1:11" x14ac:dyDescent="0.25">
      <c r="B26" s="58" t="s">
        <v>64</v>
      </c>
      <c r="C26" s="59"/>
      <c r="D26" s="60"/>
      <c r="E26" s="60"/>
      <c r="F26" s="61"/>
      <c r="G26" s="67"/>
      <c r="J26" s="9"/>
      <c r="K26" s="9"/>
    </row>
    <row r="27" spans="1:11" x14ac:dyDescent="0.25">
      <c r="B27" s="54" t="s">
        <v>68</v>
      </c>
      <c r="C27" s="51" t="s">
        <v>71</v>
      </c>
      <c r="D27" s="51" t="s">
        <v>70</v>
      </c>
      <c r="E27" s="50" t="s">
        <v>69</v>
      </c>
      <c r="F27" s="49"/>
      <c r="G27" s="68"/>
      <c r="J27" s="9"/>
      <c r="K27" s="9"/>
    </row>
    <row r="28" spans="1:11" x14ac:dyDescent="0.25">
      <c r="A28" s="38" t="s">
        <v>62</v>
      </c>
      <c r="B28" s="52" t="s">
        <v>65</v>
      </c>
      <c r="C28" s="53"/>
      <c r="D28" s="48">
        <v>40</v>
      </c>
      <c r="E28" s="44"/>
      <c r="F28" s="55"/>
      <c r="G28" s="66">
        <f>F28*$G$21</f>
        <v>0</v>
      </c>
      <c r="J28" s="9"/>
      <c r="K28" s="9"/>
    </row>
    <row r="29" spans="1:11" x14ac:dyDescent="0.25">
      <c r="A29" s="38" t="s">
        <v>62</v>
      </c>
      <c r="B29" s="42" t="s">
        <v>66</v>
      </c>
      <c r="C29" s="43"/>
      <c r="D29" s="47">
        <v>5</v>
      </c>
      <c r="E29" s="45"/>
      <c r="F29" s="55"/>
      <c r="G29" s="66">
        <f t="shared" ref="G29:G31" si="0">F29*$G$21</f>
        <v>0</v>
      </c>
      <c r="J29" s="9"/>
      <c r="K29" s="9"/>
    </row>
    <row r="30" spans="1:11" x14ac:dyDescent="0.25">
      <c r="A30" s="38" t="s">
        <v>62</v>
      </c>
      <c r="B30" s="42" t="s">
        <v>67</v>
      </c>
      <c r="C30" s="43"/>
      <c r="D30" s="44"/>
      <c r="E30" s="45"/>
      <c r="F30" s="55"/>
      <c r="G30" s="66">
        <f t="shared" si="0"/>
        <v>0</v>
      </c>
      <c r="J30" s="9"/>
      <c r="K30" s="9"/>
    </row>
    <row r="31" spans="1:11" x14ac:dyDescent="0.25">
      <c r="A31" s="38" t="s">
        <v>62</v>
      </c>
      <c r="B31" s="42" t="s">
        <v>13</v>
      </c>
      <c r="C31" s="41"/>
      <c r="D31" s="44"/>
      <c r="E31" s="46"/>
      <c r="F31" s="55"/>
      <c r="G31" s="66">
        <f t="shared" si="0"/>
        <v>0</v>
      </c>
      <c r="J31" s="9"/>
      <c r="K31" s="9"/>
    </row>
    <row r="32" spans="1:11" x14ac:dyDescent="0.25">
      <c r="A32" s="38" t="s">
        <v>62</v>
      </c>
      <c r="B32" s="42"/>
      <c r="C32" s="41"/>
      <c r="D32" s="44"/>
      <c r="E32" s="44"/>
      <c r="F32" s="55"/>
      <c r="G32" s="66"/>
      <c r="J32" s="9"/>
      <c r="K32" s="9"/>
    </row>
    <row r="33" spans="2:14" x14ac:dyDescent="0.25">
      <c r="B33" s="94" t="s">
        <v>56</v>
      </c>
      <c r="C33" s="95"/>
      <c r="D33" s="95"/>
      <c r="E33" s="96"/>
      <c r="F33" s="69" t="str">
        <f>IF(ISERROR(F25-SUM(F28:F32)),"",F25-SUM(F28:F32))</f>
        <v/>
      </c>
      <c r="G33" s="69">
        <f>G25-SUM(G28:G32)</f>
        <v>0</v>
      </c>
      <c r="I33" s="9"/>
      <c r="N33" s="9"/>
    </row>
    <row r="34" spans="2:14" ht="15.75" x14ac:dyDescent="0.25">
      <c r="B34" s="97" t="s">
        <v>72</v>
      </c>
      <c r="C34" s="98"/>
      <c r="D34" s="98"/>
      <c r="E34" s="99"/>
      <c r="F34" s="70" t="str">
        <f>IF(ISERROR(F33/G20),"",F33/G20)</f>
        <v/>
      </c>
      <c r="G34" s="70"/>
      <c r="I34" s="9"/>
    </row>
    <row r="35" spans="2:14" x14ac:dyDescent="0.25">
      <c r="I35" s="9"/>
    </row>
  </sheetData>
  <protectedRanges>
    <protectedRange sqref="B28:F32" name="Bereich2"/>
    <protectedRange sqref="G5:G8" name="Bereich1"/>
  </protectedRanges>
  <mergeCells count="24">
    <mergeCell ref="B8:D8"/>
    <mergeCell ref="B11:F11"/>
    <mergeCell ref="B12:F12"/>
    <mergeCell ref="B33:E33"/>
    <mergeCell ref="B34:E34"/>
    <mergeCell ref="B24:D24"/>
    <mergeCell ref="A1:B1"/>
    <mergeCell ref="A16:B16"/>
    <mergeCell ref="B18:G18"/>
    <mergeCell ref="B20:D20"/>
    <mergeCell ref="B21:D21"/>
    <mergeCell ref="B3:G3"/>
    <mergeCell ref="B9:D9"/>
    <mergeCell ref="B10:G10"/>
    <mergeCell ref="B19:D19"/>
    <mergeCell ref="B4:D4"/>
    <mergeCell ref="B5:D5"/>
    <mergeCell ref="B7:D7"/>
    <mergeCell ref="B6:D6"/>
    <mergeCell ref="B13:F13"/>
    <mergeCell ref="B14:F14"/>
    <mergeCell ref="B22:D22"/>
    <mergeCell ref="B23:D23"/>
    <mergeCell ref="B25:E25"/>
  </mergeCells>
  <conditionalFormatting sqref="F34:G34">
    <cfRule type="cellIs" dxfId="1" priority="3" operator="lessThan">
      <formula>0</formula>
    </cfRule>
    <cfRule type="expression" dxfId="0" priority="1">
      <formula>AND(F34&gt;0,F34&lt;&gt;"")</formula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G24" sqref="G24"/>
    </sheetView>
  </sheetViews>
  <sheetFormatPr baseColWidth="10" defaultRowHeight="15" x14ac:dyDescent="0.25"/>
  <cols>
    <col min="1" max="1" width="47.140625" bestFit="1" customWidth="1"/>
    <col min="4" max="4" width="15" bestFit="1" customWidth="1"/>
  </cols>
  <sheetData>
    <row r="1" spans="1:4" ht="18.75" x14ac:dyDescent="0.3">
      <c r="A1" s="127" t="s">
        <v>73</v>
      </c>
      <c r="B1" s="127"/>
      <c r="C1" s="127"/>
      <c r="D1" s="127"/>
    </row>
    <row r="2" spans="1:4" ht="18.75" x14ac:dyDescent="0.3">
      <c r="A2" s="113"/>
      <c r="B2" s="113"/>
      <c r="C2" s="113"/>
      <c r="D2" s="113"/>
    </row>
    <row r="3" spans="1:4" x14ac:dyDescent="0.25">
      <c r="A3" s="128" t="s">
        <v>35</v>
      </c>
      <c r="B3" s="129" t="s">
        <v>37</v>
      </c>
      <c r="C3" s="130"/>
      <c r="D3" s="131" t="s">
        <v>36</v>
      </c>
    </row>
    <row r="4" spans="1:4" x14ac:dyDescent="0.25">
      <c r="A4" s="1" t="s">
        <v>74</v>
      </c>
      <c r="B4" s="88" t="s">
        <v>75</v>
      </c>
      <c r="C4" s="90"/>
      <c r="D4" s="114"/>
    </row>
    <row r="5" spans="1:4" x14ac:dyDescent="0.25">
      <c r="A5" s="1"/>
      <c r="B5" s="88" t="s">
        <v>75</v>
      </c>
      <c r="C5" s="90"/>
      <c r="D5" s="114"/>
    </row>
    <row r="6" spans="1:4" x14ac:dyDescent="0.25">
      <c r="A6" s="1"/>
      <c r="B6" s="88"/>
      <c r="C6" s="90"/>
      <c r="D6" s="114"/>
    </row>
    <row r="8" spans="1:4" x14ac:dyDescent="0.25">
      <c r="A8" s="128" t="s">
        <v>32</v>
      </c>
      <c r="B8" s="115" t="s">
        <v>77</v>
      </c>
      <c r="C8" s="115"/>
      <c r="D8" s="116"/>
    </row>
    <row r="9" spans="1:4" x14ac:dyDescent="0.25">
      <c r="A9" s="117"/>
      <c r="B9" s="17"/>
      <c r="C9" s="17"/>
      <c r="D9" s="118"/>
    </row>
    <row r="10" spans="1:4" x14ac:dyDescent="0.25">
      <c r="A10" s="119"/>
    </row>
    <row r="11" spans="1:4" x14ac:dyDescent="0.25">
      <c r="A11" s="132" t="s">
        <v>78</v>
      </c>
      <c r="B11" s="133"/>
      <c r="C11" s="131" t="s">
        <v>53</v>
      </c>
      <c r="D11" s="131" t="s">
        <v>79</v>
      </c>
    </row>
    <row r="12" spans="1:4" x14ac:dyDescent="0.25">
      <c r="A12" s="1"/>
      <c r="B12" s="120" t="s">
        <v>77</v>
      </c>
      <c r="C12" s="116"/>
      <c r="D12" s="121"/>
    </row>
    <row r="13" spans="1:4" x14ac:dyDescent="0.25">
      <c r="A13" s="1"/>
      <c r="B13" s="120" t="s">
        <v>77</v>
      </c>
      <c r="C13" s="116"/>
      <c r="D13" s="121"/>
    </row>
    <row r="14" spans="1:4" x14ac:dyDescent="0.25">
      <c r="A14" s="1"/>
      <c r="B14" s="120" t="s">
        <v>77</v>
      </c>
      <c r="C14" s="116"/>
      <c r="D14" s="121"/>
    </row>
    <row r="15" spans="1:4" x14ac:dyDescent="0.25">
      <c r="A15" s="1"/>
      <c r="B15" s="120" t="s">
        <v>77</v>
      </c>
      <c r="C15" s="116"/>
      <c r="D15" s="121"/>
    </row>
    <row r="16" spans="1:4" x14ac:dyDescent="0.25">
      <c r="A16" s="122" t="s">
        <v>80</v>
      </c>
      <c r="B16" s="123" t="s">
        <v>77</v>
      </c>
      <c r="C16" s="116"/>
      <c r="D16" s="116"/>
    </row>
    <row r="18" spans="1:4" x14ac:dyDescent="0.25">
      <c r="A18" s="19" t="s">
        <v>81</v>
      </c>
      <c r="B18" s="3" t="s">
        <v>43</v>
      </c>
      <c r="C18" s="36"/>
      <c r="D18" s="36"/>
    </row>
    <row r="20" spans="1:4" x14ac:dyDescent="0.25">
      <c r="B20" t="s">
        <v>76</v>
      </c>
      <c r="D20" s="124"/>
    </row>
    <row r="21" spans="1:4" x14ac:dyDescent="0.25">
      <c r="B21" t="s">
        <v>13</v>
      </c>
      <c r="D21" s="125"/>
    </row>
    <row r="22" spans="1:4" x14ac:dyDescent="0.25">
      <c r="A22" s="83" t="s">
        <v>82</v>
      </c>
      <c r="B22" s="83"/>
      <c r="C22" s="83"/>
      <c r="D22" s="126"/>
    </row>
  </sheetData>
  <mergeCells count="7">
    <mergeCell ref="A11:B11"/>
    <mergeCell ref="A1:D1"/>
    <mergeCell ref="B3:C3"/>
    <mergeCell ref="B4:C4"/>
    <mergeCell ref="B5:C5"/>
    <mergeCell ref="B6:C6"/>
    <mergeCell ref="B8:C8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tabSelected="1" workbookViewId="0">
      <selection activeCell="L20" sqref="L20"/>
    </sheetView>
  </sheetViews>
  <sheetFormatPr baseColWidth="10" defaultRowHeight="15" x14ac:dyDescent="0.25"/>
  <cols>
    <col min="1" max="1" width="47.140625" bestFit="1" customWidth="1"/>
    <col min="2" max="5" width="14" customWidth="1"/>
  </cols>
  <sheetData>
    <row r="1" spans="1:5" ht="18.75" x14ac:dyDescent="0.3">
      <c r="A1" s="127" t="s">
        <v>83</v>
      </c>
      <c r="B1" s="127"/>
      <c r="C1" s="127"/>
      <c r="D1" s="127"/>
      <c r="E1" s="127"/>
    </row>
    <row r="2" spans="1:5" ht="18.75" x14ac:dyDescent="0.3">
      <c r="A2" s="113"/>
      <c r="B2" s="113"/>
    </row>
    <row r="3" spans="1:5" x14ac:dyDescent="0.25">
      <c r="A3" s="128" t="s">
        <v>35</v>
      </c>
      <c r="B3" s="135" t="s">
        <v>36</v>
      </c>
      <c r="C3" s="135"/>
      <c r="D3" s="135"/>
      <c r="E3" s="135"/>
    </row>
    <row r="4" spans="1:5" x14ac:dyDescent="0.25">
      <c r="A4" s="1" t="s">
        <v>84</v>
      </c>
      <c r="B4" s="134">
        <v>1</v>
      </c>
      <c r="C4" s="134">
        <v>2</v>
      </c>
      <c r="D4" s="134">
        <v>3</v>
      </c>
      <c r="E4" s="134">
        <v>4</v>
      </c>
    </row>
    <row r="5" spans="1:5" x14ac:dyDescent="0.25">
      <c r="A5" s="26" t="s">
        <v>85</v>
      </c>
      <c r="B5" s="136"/>
      <c r="C5" s="136"/>
      <c r="D5" s="136"/>
      <c r="E5" s="136"/>
    </row>
    <row r="7" spans="1:5" x14ac:dyDescent="0.25">
      <c r="A7" s="128" t="s">
        <v>86</v>
      </c>
      <c r="B7" s="137"/>
      <c r="C7" s="137"/>
      <c r="D7" s="137"/>
      <c r="E7" s="137"/>
    </row>
    <row r="8" spans="1:5" x14ac:dyDescent="0.25">
      <c r="A8" s="128" t="s">
        <v>87</v>
      </c>
      <c r="B8" s="116"/>
      <c r="C8" s="116"/>
      <c r="D8" s="116"/>
      <c r="E8" s="116"/>
    </row>
    <row r="9" spans="1:5" x14ac:dyDescent="0.25">
      <c r="A9" s="128" t="s">
        <v>88</v>
      </c>
      <c r="B9" s="137"/>
      <c r="C9" s="137"/>
      <c r="D9" s="137"/>
      <c r="E9" s="137"/>
    </row>
    <row r="11" spans="1:5" x14ac:dyDescent="0.25">
      <c r="A11" s="128" t="s">
        <v>89</v>
      </c>
      <c r="B11" s="138"/>
      <c r="C11" s="138"/>
      <c r="D11" s="138"/>
      <c r="E11" s="138"/>
    </row>
    <row r="13" spans="1:5" x14ac:dyDescent="0.25">
      <c r="A13" s="19" t="s">
        <v>90</v>
      </c>
      <c r="B13" s="139"/>
      <c r="C13" s="139"/>
      <c r="D13" s="139"/>
      <c r="E13" s="139"/>
    </row>
  </sheetData>
  <mergeCells count="2">
    <mergeCell ref="A1:E1"/>
    <mergeCell ref="B3:E3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"/>
  <sheetViews>
    <sheetView workbookViewId="0">
      <selection activeCell="I33" sqref="I33"/>
    </sheetView>
  </sheetViews>
  <sheetFormatPr baseColWidth="10" defaultRowHeight="15" x14ac:dyDescent="0.25"/>
  <cols>
    <col min="1" max="1" width="2.7109375" customWidth="1"/>
    <col min="2" max="2" width="28.5703125" bestFit="1" customWidth="1"/>
    <col min="3" max="3" width="13.7109375" bestFit="1" customWidth="1"/>
    <col min="4" max="5" width="13.7109375" customWidth="1"/>
    <col min="6" max="7" width="20.7109375" customWidth="1"/>
  </cols>
  <sheetData>
    <row r="1" spans="1:7" x14ac:dyDescent="0.25">
      <c r="A1" s="103" t="s">
        <v>33</v>
      </c>
      <c r="B1" s="103"/>
    </row>
    <row r="3" spans="1:7" ht="15.75" x14ac:dyDescent="0.25">
      <c r="A3" s="34"/>
      <c r="B3" s="86" t="s">
        <v>34</v>
      </c>
      <c r="C3" s="86"/>
      <c r="D3" s="86"/>
      <c r="E3" s="86"/>
      <c r="F3" s="86"/>
      <c r="G3" s="86"/>
    </row>
    <row r="4" spans="1:7" x14ac:dyDescent="0.25">
      <c r="A4" s="34"/>
      <c r="B4" s="110" t="s">
        <v>35</v>
      </c>
      <c r="C4" s="111"/>
      <c r="D4" s="112"/>
      <c r="E4" s="39"/>
      <c r="F4" s="16" t="s">
        <v>37</v>
      </c>
      <c r="G4" s="16" t="s">
        <v>36</v>
      </c>
    </row>
    <row r="5" spans="1:7" x14ac:dyDescent="0.25">
      <c r="A5" s="34"/>
      <c r="B5" s="88" t="s">
        <v>38</v>
      </c>
      <c r="C5" s="89"/>
      <c r="D5" s="90"/>
      <c r="E5" s="14"/>
      <c r="F5" s="1" t="s">
        <v>43</v>
      </c>
      <c r="G5" s="26">
        <v>500</v>
      </c>
    </row>
    <row r="6" spans="1:7" x14ac:dyDescent="0.25">
      <c r="A6" s="34"/>
      <c r="B6" s="88" t="s">
        <v>40</v>
      </c>
      <c r="C6" s="89"/>
      <c r="D6" s="90"/>
      <c r="E6" s="14"/>
      <c r="F6" s="1" t="s">
        <v>45</v>
      </c>
      <c r="G6" s="26">
        <v>18</v>
      </c>
    </row>
    <row r="7" spans="1:7" x14ac:dyDescent="0.25">
      <c r="A7" s="34"/>
      <c r="B7" s="88" t="s">
        <v>39</v>
      </c>
      <c r="C7" s="89"/>
      <c r="D7" s="90"/>
      <c r="E7" s="14"/>
      <c r="F7" s="1" t="s">
        <v>44</v>
      </c>
      <c r="G7" s="24">
        <v>135</v>
      </c>
    </row>
    <row r="8" spans="1:7" x14ac:dyDescent="0.25">
      <c r="A8" s="34"/>
      <c r="B8" s="88" t="s">
        <v>41</v>
      </c>
      <c r="C8" s="89"/>
      <c r="D8" s="90"/>
      <c r="E8" s="14"/>
      <c r="F8" s="1" t="s">
        <v>44</v>
      </c>
      <c r="G8" s="24">
        <v>120</v>
      </c>
    </row>
    <row r="9" spans="1:7" x14ac:dyDescent="0.25">
      <c r="A9" s="34"/>
      <c r="B9" s="107" t="s">
        <v>42</v>
      </c>
      <c r="C9" s="108"/>
      <c r="D9" s="109"/>
      <c r="E9" s="21"/>
      <c r="F9" s="3" t="s">
        <v>43</v>
      </c>
      <c r="G9" s="36">
        <f>G5*G6</f>
        <v>9000</v>
      </c>
    </row>
    <row r="10" spans="1:7" x14ac:dyDescent="0.25">
      <c r="A10" s="8"/>
      <c r="B10" s="88"/>
      <c r="C10" s="89"/>
      <c r="D10" s="89"/>
      <c r="E10" s="89"/>
      <c r="F10" s="89"/>
      <c r="G10" s="90"/>
    </row>
    <row r="11" spans="1:7" x14ac:dyDescent="0.25">
      <c r="A11" s="35"/>
      <c r="B11" s="88" t="s">
        <v>46</v>
      </c>
      <c r="C11" s="89"/>
      <c r="D11" s="89"/>
      <c r="E11" s="89"/>
      <c r="F11" s="90"/>
      <c r="G11" s="2">
        <f>G7*G9</f>
        <v>1215000</v>
      </c>
    </row>
    <row r="12" spans="1:7" x14ac:dyDescent="0.25">
      <c r="A12" s="35" t="s">
        <v>5</v>
      </c>
      <c r="B12" s="88" t="s">
        <v>47</v>
      </c>
      <c r="C12" s="89"/>
      <c r="D12" s="89"/>
      <c r="E12" s="89"/>
      <c r="F12" s="90"/>
      <c r="G12" s="2">
        <f>G8*G9</f>
        <v>1080000</v>
      </c>
    </row>
    <row r="13" spans="1:7" x14ac:dyDescent="0.25">
      <c r="A13" s="40" t="s">
        <v>63</v>
      </c>
      <c r="B13" s="88" t="s">
        <v>29</v>
      </c>
      <c r="C13" s="89"/>
      <c r="D13" s="89"/>
      <c r="E13" s="89"/>
      <c r="F13" s="90"/>
      <c r="G13" s="2">
        <f>G11-G12</f>
        <v>135000</v>
      </c>
    </row>
    <row r="14" spans="1:7" x14ac:dyDescent="0.25">
      <c r="A14" s="40" t="s">
        <v>63</v>
      </c>
      <c r="B14" s="88" t="s">
        <v>32</v>
      </c>
      <c r="C14" s="89"/>
      <c r="D14" s="89"/>
      <c r="E14" s="89"/>
      <c r="F14" s="90"/>
      <c r="G14" s="2">
        <f>G7-G8</f>
        <v>15</v>
      </c>
    </row>
    <row r="15" spans="1:7" x14ac:dyDescent="0.25">
      <c r="A15" s="8"/>
    </row>
    <row r="16" spans="1:7" x14ac:dyDescent="0.25">
      <c r="B16" s="9"/>
    </row>
    <row r="17" spans="1:11" ht="15.75" x14ac:dyDescent="0.25">
      <c r="A17" s="85" t="s">
        <v>48</v>
      </c>
      <c r="B17" s="85"/>
    </row>
    <row r="19" spans="1:11" ht="15.75" x14ac:dyDescent="0.25">
      <c r="B19" s="104" t="s">
        <v>49</v>
      </c>
      <c r="C19" s="105"/>
      <c r="D19" s="105"/>
      <c r="E19" s="105"/>
      <c r="F19" s="105"/>
      <c r="G19" s="106"/>
    </row>
    <row r="20" spans="1:11" x14ac:dyDescent="0.25">
      <c r="B20" s="100" t="s">
        <v>35</v>
      </c>
      <c r="C20" s="101"/>
      <c r="D20" s="102"/>
      <c r="E20" s="20"/>
      <c r="F20" s="16" t="s">
        <v>37</v>
      </c>
      <c r="G20" s="16" t="str">
        <f>G4</f>
        <v>Schredder King</v>
      </c>
    </row>
    <row r="21" spans="1:11" x14ac:dyDescent="0.25">
      <c r="B21" s="88" t="s">
        <v>50</v>
      </c>
      <c r="C21" s="89"/>
      <c r="D21" s="90"/>
      <c r="E21" s="14"/>
      <c r="F21" s="1" t="s">
        <v>43</v>
      </c>
      <c r="G21" s="10">
        <f>G5</f>
        <v>500</v>
      </c>
    </row>
    <row r="22" spans="1:11" x14ac:dyDescent="0.25">
      <c r="B22" s="88" t="s">
        <v>51</v>
      </c>
      <c r="C22" s="89"/>
      <c r="D22" s="90"/>
      <c r="E22" s="14"/>
      <c r="F22" s="1" t="s">
        <v>45</v>
      </c>
      <c r="G22" s="10">
        <f>G6</f>
        <v>18</v>
      </c>
    </row>
    <row r="23" spans="1:11" x14ac:dyDescent="0.25">
      <c r="B23" s="88" t="s">
        <v>41</v>
      </c>
      <c r="C23" s="89"/>
      <c r="D23" s="90"/>
      <c r="E23" s="14"/>
      <c r="F23" s="1"/>
      <c r="G23" s="2">
        <f>G8</f>
        <v>120</v>
      </c>
    </row>
    <row r="24" spans="1:11" x14ac:dyDescent="0.25">
      <c r="B24" s="88" t="s">
        <v>52</v>
      </c>
      <c r="C24" s="89"/>
      <c r="D24" s="90"/>
      <c r="E24" s="14"/>
      <c r="F24" s="1"/>
      <c r="G24" s="2">
        <f>G7</f>
        <v>135</v>
      </c>
    </row>
    <row r="25" spans="1:11" x14ac:dyDescent="0.25">
      <c r="B25" s="100"/>
      <c r="C25" s="101"/>
      <c r="D25" s="102"/>
      <c r="E25" s="20"/>
      <c r="F25" s="16" t="s">
        <v>53</v>
      </c>
      <c r="G25" s="16" t="s">
        <v>54</v>
      </c>
    </row>
    <row r="26" spans="1:11" x14ac:dyDescent="0.25">
      <c r="B26" s="91" t="s">
        <v>55</v>
      </c>
      <c r="C26" s="92"/>
      <c r="D26" s="92"/>
      <c r="E26" s="93"/>
      <c r="F26" s="37">
        <f>G26/G22</f>
        <v>7500</v>
      </c>
      <c r="G26" s="37">
        <f>G13</f>
        <v>135000</v>
      </c>
      <c r="J26" s="9"/>
      <c r="K26" s="9"/>
    </row>
    <row r="27" spans="1:11" x14ac:dyDescent="0.25">
      <c r="B27" s="58" t="s">
        <v>64</v>
      </c>
      <c r="C27" s="59"/>
      <c r="D27" s="60"/>
      <c r="E27" s="60"/>
      <c r="F27" s="61"/>
      <c r="G27" s="62"/>
      <c r="J27" s="9"/>
      <c r="K27" s="9"/>
    </row>
    <row r="28" spans="1:11" x14ac:dyDescent="0.25">
      <c r="B28" s="54" t="s">
        <v>68</v>
      </c>
      <c r="C28" s="51" t="s">
        <v>71</v>
      </c>
      <c r="D28" s="51" t="s">
        <v>70</v>
      </c>
      <c r="E28" s="50" t="s">
        <v>69</v>
      </c>
      <c r="F28" s="49"/>
      <c r="G28" s="49"/>
      <c r="J28" s="9"/>
      <c r="K28" s="9"/>
    </row>
    <row r="29" spans="1:11" x14ac:dyDescent="0.25">
      <c r="A29" s="38" t="s">
        <v>62</v>
      </c>
      <c r="B29" s="52" t="s">
        <v>65</v>
      </c>
      <c r="C29" s="53">
        <v>2500</v>
      </c>
      <c r="D29" s="48">
        <v>40</v>
      </c>
      <c r="E29" s="44">
        <v>10</v>
      </c>
      <c r="F29" s="55">
        <f>C29/D29*E29</f>
        <v>625</v>
      </c>
      <c r="G29" s="37">
        <f>F29*$G$22</f>
        <v>11250</v>
      </c>
      <c r="J29" s="9"/>
      <c r="K29" s="9"/>
    </row>
    <row r="30" spans="1:11" x14ac:dyDescent="0.25">
      <c r="A30" s="38" t="s">
        <v>62</v>
      </c>
      <c r="B30" s="42" t="s">
        <v>66</v>
      </c>
      <c r="C30" s="43">
        <v>10000</v>
      </c>
      <c r="D30" s="47">
        <v>5</v>
      </c>
      <c r="E30" s="45">
        <v>0.25</v>
      </c>
      <c r="F30" s="55">
        <f>C30/D30*E30/12</f>
        <v>41.666666666666664</v>
      </c>
      <c r="G30" s="37">
        <f t="shared" ref="G30:G32" si="0">F30*$G$22</f>
        <v>750</v>
      </c>
      <c r="J30" s="9"/>
      <c r="K30" s="9"/>
    </row>
    <row r="31" spans="1:11" x14ac:dyDescent="0.25">
      <c r="A31" s="38" t="s">
        <v>62</v>
      </c>
      <c r="B31" s="42" t="s">
        <v>67</v>
      </c>
      <c r="C31" s="43">
        <v>4000</v>
      </c>
      <c r="D31" s="44"/>
      <c r="E31" s="45">
        <v>0.25</v>
      </c>
      <c r="F31" s="55">
        <f>C31*E31</f>
        <v>1000</v>
      </c>
      <c r="G31" s="37">
        <f t="shared" si="0"/>
        <v>18000</v>
      </c>
      <c r="J31" s="9"/>
      <c r="K31" s="9"/>
    </row>
    <row r="32" spans="1:11" x14ac:dyDescent="0.25">
      <c r="A32" s="38" t="s">
        <v>62</v>
      </c>
      <c r="B32" s="42" t="s">
        <v>13</v>
      </c>
      <c r="C32" s="41"/>
      <c r="D32" s="44"/>
      <c r="E32" s="46">
        <v>7.4999999999999997E-2</v>
      </c>
      <c r="F32" s="55">
        <f>G21*G23*E32</f>
        <v>4500</v>
      </c>
      <c r="G32" s="37">
        <f t="shared" si="0"/>
        <v>81000</v>
      </c>
      <c r="J32" s="9"/>
      <c r="K32" s="9"/>
    </row>
    <row r="33" spans="1:14" x14ac:dyDescent="0.25">
      <c r="A33" s="38" t="s">
        <v>62</v>
      </c>
      <c r="B33" s="42"/>
      <c r="C33" s="41"/>
      <c r="D33" s="44"/>
      <c r="E33" s="44"/>
      <c r="F33" s="55"/>
      <c r="G33" s="37"/>
      <c r="J33" s="9"/>
      <c r="K33" s="9"/>
    </row>
    <row r="34" spans="1:14" x14ac:dyDescent="0.25">
      <c r="B34" s="94" t="s">
        <v>56</v>
      </c>
      <c r="C34" s="96"/>
      <c r="D34" s="13"/>
      <c r="E34" s="13"/>
      <c r="F34" s="11">
        <f>F26-SUM(F29:F33)</f>
        <v>1333.3333333333339</v>
      </c>
      <c r="G34" s="11">
        <f>G26-SUM(G29:G33)</f>
        <v>24000</v>
      </c>
      <c r="I34" s="9"/>
      <c r="N34" s="9"/>
    </row>
    <row r="35" spans="1:14" ht="15.75" x14ac:dyDescent="0.25">
      <c r="B35" s="97" t="s">
        <v>57</v>
      </c>
      <c r="C35" s="99"/>
      <c r="D35" s="56"/>
      <c r="E35" s="56"/>
      <c r="F35" s="57">
        <f>F34/G21</f>
        <v>2.6666666666666679</v>
      </c>
      <c r="G35" s="57"/>
      <c r="I35" s="9"/>
    </row>
    <row r="36" spans="1:14" x14ac:dyDescent="0.25">
      <c r="I36" s="9"/>
    </row>
  </sheetData>
  <sheetProtection sheet="1" objects="1" scenarios="1"/>
  <protectedRanges>
    <protectedRange sqref="B29:F33" name="Bereich2"/>
    <protectedRange sqref="G5:G8" name="Bereich1"/>
  </protectedRanges>
  <mergeCells count="24">
    <mergeCell ref="B35:C35"/>
    <mergeCell ref="B14:F14"/>
    <mergeCell ref="A17:B17"/>
    <mergeCell ref="B19:G19"/>
    <mergeCell ref="B20:D20"/>
    <mergeCell ref="B21:D21"/>
    <mergeCell ref="B22:D22"/>
    <mergeCell ref="B23:D23"/>
    <mergeCell ref="B24:D24"/>
    <mergeCell ref="B25:D25"/>
    <mergeCell ref="B26:E26"/>
    <mergeCell ref="B34:C34"/>
    <mergeCell ref="B13:F13"/>
    <mergeCell ref="A1:B1"/>
    <mergeCell ref="B3:G3"/>
    <mergeCell ref="B4:D4"/>
    <mergeCell ref="B5:D5"/>
    <mergeCell ref="B6:D6"/>
    <mergeCell ref="B7:D7"/>
    <mergeCell ref="B8:D8"/>
    <mergeCell ref="B9:D9"/>
    <mergeCell ref="B10:G10"/>
    <mergeCell ref="B11:F11"/>
    <mergeCell ref="B12:F12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Erster Aufgabenteil_AA 1+3</vt:lpstr>
      <vt:lpstr>Erster Aufgabenteil_AA 1+3 L</vt:lpstr>
      <vt:lpstr>Zweiter Aufgabenteil_AA 3</vt:lpstr>
      <vt:lpstr>Dritter Aufgabenteil AA 3a</vt:lpstr>
      <vt:lpstr>Vierter Aufgabenteil AA 3</vt:lpstr>
      <vt:lpstr>Zweiter Aufgabenteil_AA 3 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2022-01-21T07:03:06Z</dcterms:modified>
</cp:coreProperties>
</file>