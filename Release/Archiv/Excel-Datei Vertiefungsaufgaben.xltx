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ate1904="1"/>
  <mc:AlternateContent xmlns:mc="http://schemas.openxmlformats.org/markup-compatibility/2006">
    <mc:Choice Requires="x15">
      <x15ac:absPath xmlns:x15ac="http://schemas.microsoft.com/office/spreadsheetml/2010/11/ac" url="D:\OneDrive\Git-Projekte\PC-Konfigurator\Datei-Vorlagen\Careli GmbH\Unterlagen\"/>
    </mc:Choice>
  </mc:AlternateContent>
  <xr:revisionPtr revIDLastSave="0" documentId="13_ncr:1_{373F3AFE-8064-43CB-B245-7A74DA4545C5}" xr6:coauthVersionLast="47" xr6:coauthVersionMax="47" xr10:uidLastSave="{00000000-0000-0000-0000-000000000000}"/>
  <bookViews>
    <workbookView xWindow="-120" yWindow="-120" windowWidth="29040" windowHeight="15720" tabRatio="877" xr2:uid="{00000000-000D-0000-FFFF-FFFF00000000}"/>
  </bookViews>
  <sheets>
    <sheet name="Produktlebenszyklus" sheetId="27" r:id="rId1"/>
    <sheet name="Technon AG" sheetId="19" r:id="rId2"/>
    <sheet name="Levamon-Tessara" sheetId="25" r:id="rId3"/>
    <sheet name="Trecking Bikes" sheetId="20" r:id="rId4"/>
    <sheet name="Kalkulation Typ A" sheetId="17" r:id="rId5"/>
    <sheet name="Kalkulation Typ B" sheetId="23" r:id="rId6"/>
    <sheet name="Sanapharm KG" sheetId="26" r:id="rId7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25" l="1"/>
  <c r="C11" i="25"/>
  <c r="C12" i="25"/>
  <c r="F12" i="25"/>
  <c r="F11" i="25"/>
  <c r="F10" i="25"/>
  <c r="I8" i="25"/>
  <c r="C4" i="25"/>
  <c r="C5" i="25"/>
  <c r="C6" i="25"/>
  <c r="I2" i="25"/>
</calcChain>
</file>

<file path=xl/sharedStrings.xml><?xml version="1.0" encoding="utf-8"?>
<sst xmlns="http://schemas.openxmlformats.org/spreadsheetml/2006/main" count="152" uniqueCount="80">
  <si>
    <t>Gewinn</t>
  </si>
  <si>
    <t>Werberendite (%)</t>
  </si>
  <si>
    <t>Werbebudgetquote (%)</t>
  </si>
  <si>
    <t>Produktgruppe</t>
  </si>
  <si>
    <t>=</t>
  </si>
  <si>
    <t>+</t>
  </si>
  <si>
    <t>Zuschlagskalkulation</t>
  </si>
  <si>
    <t>Fertigungsmaterial</t>
  </si>
  <si>
    <t>Materialgemeinkosten</t>
  </si>
  <si>
    <t>Materialkosten</t>
  </si>
  <si>
    <t>Fertigungslöhne</t>
  </si>
  <si>
    <t>Fertigungsgemeinkosten</t>
  </si>
  <si>
    <t>Fertigungskosten</t>
  </si>
  <si>
    <t>Herstellkosten</t>
  </si>
  <si>
    <t>Verwaltungsgemeinkosten</t>
  </si>
  <si>
    <t>Vertriebsgemeinkosten</t>
  </si>
  <si>
    <t>Selbstkosten</t>
  </si>
  <si>
    <t>Barverkaufspreis</t>
  </si>
  <si>
    <t>Kundenskonto</t>
  </si>
  <si>
    <t>Zielverkaufspreis</t>
  </si>
  <si>
    <t>Kundenrabatt</t>
  </si>
  <si>
    <t>Listenverkaufspreis</t>
  </si>
  <si>
    <t>Zuschlags-
satz</t>
  </si>
  <si>
    <t>Position</t>
  </si>
  <si>
    <t>Betrag</t>
  </si>
  <si>
    <t>Preisänderung in %</t>
  </si>
  <si>
    <t>Absatzänderung in Stück</t>
  </si>
  <si>
    <t>Absatzänderung in %</t>
  </si>
  <si>
    <t>Elastizität</t>
  </si>
  <si>
    <t>Wertetabelle</t>
  </si>
  <si>
    <t>Umsatzanteil (%)</t>
  </si>
  <si>
    <t>relativer Marktanteil
(dezimal)</t>
  </si>
  <si>
    <t>Marktwachstum (%)</t>
  </si>
  <si>
    <t>Analyse der Nachfrage</t>
  </si>
  <si>
    <t>200,00 auf 300,00</t>
  </si>
  <si>
    <t>200,00 auf 100,00</t>
  </si>
  <si>
    <t>800,00 auf 900,00</t>
  </si>
  <si>
    <t>800,00 auf 700,00</t>
  </si>
  <si>
    <t>Strategische
Geschäftseinheit</t>
  </si>
  <si>
    <t>Umsatz
Geschäftsjahr</t>
  </si>
  <si>
    <t>Kosten
Geschäftsjahr</t>
  </si>
  <si>
    <t>Umsatz stärkster
Wettbewerber</t>
  </si>
  <si>
    <t>Marktvolumen
Geschäftsjahr</t>
  </si>
  <si>
    <t>Marktvolumen
Folgejahr</t>
  </si>
  <si>
    <t>relativer
Marktanteil</t>
  </si>
  <si>
    <t>A</t>
  </si>
  <si>
    <t>B</t>
  </si>
  <si>
    <t>C</t>
  </si>
  <si>
    <t>Controlling Werbekennziffern - Sanapharm KG</t>
  </si>
  <si>
    <t>Controllingdaten</t>
  </si>
  <si>
    <t>Duschöl</t>
  </si>
  <si>
    <t>Duschgel</t>
  </si>
  <si>
    <t xml:space="preserve">   davon durch Werbung erwirtschaftet</t>
  </si>
  <si>
    <t xml:space="preserve">   variabler Anteil an Gesamtkosten</t>
  </si>
  <si>
    <t>Reichweite TV-Spot</t>
  </si>
  <si>
    <t>Reichweite Anzeigenkampagne</t>
  </si>
  <si>
    <t>KENNZAHLEN</t>
  </si>
  <si>
    <t>Marktanteil (%)</t>
  </si>
  <si>
    <t>Gesamtdeckungsbeitrag (%)</t>
  </si>
  <si>
    <t>Portfolioanalyse Technon AG</t>
  </si>
  <si>
    <t>Jahr</t>
  </si>
  <si>
    <t>Umsatz (Tsd. €)</t>
  </si>
  <si>
    <t>Kosten (Tsd. €)</t>
  </si>
  <si>
    <t>Levamon AG (Angaben in Mio. €)</t>
  </si>
  <si>
    <t>Tessara AG (Angaben in Mio. €)</t>
  </si>
  <si>
    <t>Preis (€)</t>
  </si>
  <si>
    <t>Nachfrage</t>
  </si>
  <si>
    <t>Umsatzänderung (€)</t>
  </si>
  <si>
    <t>Preisänderung von ... (€)</t>
  </si>
  <si>
    <t>Marktvolumen (€)</t>
  </si>
  <si>
    <t>Umsatz (€)</t>
  </si>
  <si>
    <t>Gesamtkosten (€)</t>
  </si>
  <si>
    <t xml:space="preserve">   davon durch Werbung verursacht (€)</t>
  </si>
  <si>
    <t>Kosten TV-Spots (€)</t>
  </si>
  <si>
    <t>Kosten Anzeigenkampagne (€)</t>
  </si>
  <si>
    <t>Gewinn (€)</t>
  </si>
  <si>
    <t>Gesamtdeckungsbeitrag (€)</t>
  </si>
  <si>
    <t>Tausenderpreis für die TV-Kampagne (€)</t>
  </si>
  <si>
    <t>Tausenderpreis für die Anzeigenkampagne (€)</t>
  </si>
  <si>
    <t>Werbegewinn (€)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</si>
</sst>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name val="Arial"/>
    </font>
    <font>
      <sz val="10"/>
      <name val="Arial"/>
      <family val="2"/>
    </font>
    <font>
      <b/>
      <sz val="12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name val="Aptos"/>
      <family val="2"/>
    </font>
    <font>
      <sz val="10"/>
      <name val="Aptos"/>
      <family val="2"/>
    </font>
    <font>
      <sz val="10"/>
      <color indexed="12"/>
      <name val="Aptos"/>
      <family val="2"/>
    </font>
    <font>
      <b/>
      <sz val="10"/>
      <color rgb="FFFF0000"/>
      <name val="Aptos"/>
      <family val="2"/>
    </font>
    <font>
      <b/>
      <sz val="10"/>
      <color theme="4"/>
      <name val="Aptos"/>
      <family val="2"/>
    </font>
    <font>
      <sz val="10"/>
      <color indexed="8"/>
      <name val="Aptos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6">
    <xf numFmtId="0" fontId="0" fillId="0" borderId="0" xfId="0"/>
    <xf numFmtId="3" fontId="3" fillId="3" borderId="0" xfId="0" applyNumberFormat="1" applyFont="1" applyFill="1" applyAlignment="1">
      <alignment vertical="center"/>
    </xf>
    <xf numFmtId="3" fontId="3" fillId="3" borderId="1" xfId="0" applyNumberFormat="1" applyFont="1" applyFill="1" applyBorder="1" applyAlignment="1">
      <alignment vertical="center"/>
    </xf>
    <xf numFmtId="3" fontId="3" fillId="3" borderId="0" xfId="0" applyNumberFormat="1" applyFont="1" applyFill="1"/>
    <xf numFmtId="3" fontId="4" fillId="4" borderId="1" xfId="0" applyNumberFormat="1" applyFont="1" applyFill="1" applyBorder="1" applyAlignment="1">
      <alignment vertical="center"/>
    </xf>
    <xf numFmtId="3" fontId="4" fillId="4" borderId="1" xfId="0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left" vertical="center"/>
    </xf>
    <xf numFmtId="10" fontId="7" fillId="2" borderId="1" xfId="0" applyNumberFormat="1" applyFont="1" applyFill="1" applyBorder="1" applyAlignment="1">
      <alignment horizontal="center" vertical="center"/>
    </xf>
    <xf numFmtId="4" fontId="7" fillId="2" borderId="1" xfId="0" applyNumberFormat="1" applyFont="1" applyFill="1" applyBorder="1" applyAlignment="1">
      <alignment horizontal="center" vertical="center"/>
    </xf>
    <xf numFmtId="4" fontId="6" fillId="2" borderId="0" xfId="0" applyNumberFormat="1" applyFont="1" applyFill="1" applyAlignment="1">
      <alignment horizontal="left" vertical="center"/>
    </xf>
    <xf numFmtId="4" fontId="6" fillId="2" borderId="0" xfId="0" applyNumberFormat="1" applyFont="1" applyFill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2" fillId="4" borderId="3" xfId="0" applyFont="1" applyFill="1" applyBorder="1" applyAlignment="1">
      <alignment horizontal="centerContinuous" vertical="center"/>
    </xf>
    <xf numFmtId="0" fontId="2" fillId="4" borderId="4" xfId="0" applyFont="1" applyFill="1" applyBorder="1" applyAlignment="1">
      <alignment horizontal="centerContinuous" vertical="center"/>
    </xf>
    <xf numFmtId="0" fontId="2" fillId="4" borderId="5" xfId="0" applyFont="1" applyFill="1" applyBorder="1" applyAlignment="1">
      <alignment horizontal="centerContinuous" vertical="center"/>
    </xf>
    <xf numFmtId="0" fontId="5" fillId="4" borderId="1" xfId="0" applyFont="1" applyFill="1" applyBorder="1" applyAlignment="1">
      <alignment horizontal="left" vertical="center" wrapText="1"/>
    </xf>
    <xf numFmtId="0" fontId="5" fillId="4" borderId="1" xfId="0" applyFont="1" applyFill="1" applyBorder="1" applyAlignment="1">
      <alignment horizontal="center" vertical="center" wrapText="1"/>
    </xf>
    <xf numFmtId="4" fontId="2" fillId="3" borderId="0" xfId="0" applyNumberFormat="1" applyFont="1" applyFill="1" applyAlignment="1">
      <alignment horizontal="center" vertical="center"/>
    </xf>
    <xf numFmtId="4" fontId="6" fillId="3" borderId="0" xfId="0" applyNumberFormat="1" applyFont="1" applyFill="1" applyAlignment="1">
      <alignment horizontal="center" vertical="center"/>
    </xf>
    <xf numFmtId="4" fontId="5" fillId="3" borderId="0" xfId="0" applyNumberFormat="1" applyFont="1" applyFill="1" applyAlignment="1">
      <alignment horizontal="center" vertical="center" wrapText="1"/>
    </xf>
    <xf numFmtId="4" fontId="5" fillId="3" borderId="0" xfId="0" applyNumberFormat="1" applyFont="1" applyFill="1" applyAlignment="1">
      <alignment horizontal="center" vertical="center"/>
    </xf>
    <xf numFmtId="4" fontId="6" fillId="3" borderId="1" xfId="0" applyNumberFormat="1" applyFont="1" applyFill="1" applyBorder="1" applyAlignment="1">
      <alignment horizontal="left" vertical="center"/>
    </xf>
    <xf numFmtId="3" fontId="6" fillId="3" borderId="1" xfId="0" applyNumberFormat="1" applyFont="1" applyFill="1" applyBorder="1" applyAlignment="1">
      <alignment horizontal="right" vertical="center"/>
    </xf>
    <xf numFmtId="3" fontId="6" fillId="3" borderId="0" xfId="0" applyNumberFormat="1" applyFont="1" applyFill="1" applyAlignment="1">
      <alignment horizontal="center" vertical="center"/>
    </xf>
    <xf numFmtId="10" fontId="6" fillId="3" borderId="1" xfId="1" applyNumberFormat="1" applyFont="1" applyFill="1" applyBorder="1" applyAlignment="1">
      <alignment horizontal="right" vertical="center"/>
    </xf>
    <xf numFmtId="2" fontId="6" fillId="3" borderId="1" xfId="1" applyNumberFormat="1" applyFont="1" applyFill="1" applyBorder="1" applyAlignment="1">
      <alignment horizontal="right" vertical="center"/>
    </xf>
    <xf numFmtId="4" fontId="2" fillId="4" borderId="3" xfId="0" applyNumberFormat="1" applyFont="1" applyFill="1" applyBorder="1" applyAlignment="1">
      <alignment horizontal="centerContinuous" vertical="center"/>
    </xf>
    <xf numFmtId="4" fontId="2" fillId="4" borderId="4" xfId="0" applyNumberFormat="1" applyFont="1" applyFill="1" applyBorder="1" applyAlignment="1">
      <alignment horizontal="centerContinuous" vertical="center"/>
    </xf>
    <xf numFmtId="4" fontId="2" fillId="4" borderId="5" xfId="0" applyNumberFormat="1" applyFont="1" applyFill="1" applyBorder="1" applyAlignment="1">
      <alignment horizontal="centerContinuous" vertical="center"/>
    </xf>
    <xf numFmtId="4" fontId="5" fillId="4" borderId="1" xfId="0" applyNumberFormat="1" applyFont="1" applyFill="1" applyBorder="1" applyAlignment="1">
      <alignment horizontal="left" vertical="center" wrapText="1"/>
    </xf>
    <xf numFmtId="4" fontId="5" fillId="4" borderId="1" xfId="0" applyNumberFormat="1" applyFont="1" applyFill="1" applyBorder="1" applyAlignment="1">
      <alignment horizontal="center" vertical="center" wrapText="1"/>
    </xf>
    <xf numFmtId="4" fontId="5" fillId="4" borderId="1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4" fontId="6" fillId="3" borderId="1" xfId="0" applyNumberFormat="1" applyFont="1" applyFill="1" applyBorder="1" applyAlignment="1">
      <alignment horizontal="right" vertical="center"/>
    </xf>
    <xf numFmtId="0" fontId="6" fillId="3" borderId="1" xfId="0" applyFont="1" applyFill="1" applyBorder="1" applyAlignment="1">
      <alignment horizontal="right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4" borderId="1" xfId="0" applyFont="1" applyFill="1" applyBorder="1" applyAlignment="1">
      <alignment vertical="center"/>
    </xf>
    <xf numFmtId="0" fontId="5" fillId="4" borderId="1" xfId="0" applyFont="1" applyFill="1" applyBorder="1" applyAlignment="1">
      <alignment horizontal="left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4" fontId="8" fillId="3" borderId="1" xfId="0" applyNumberFormat="1" applyFont="1" applyFill="1" applyBorder="1" applyAlignment="1">
      <alignment horizontal="right" vertical="center"/>
    </xf>
    <xf numFmtId="4" fontId="6" fillId="3" borderId="0" xfId="0" applyNumberFormat="1" applyFont="1" applyFill="1" applyAlignment="1">
      <alignment vertical="center"/>
    </xf>
    <xf numFmtId="4" fontId="6" fillId="3" borderId="0" xfId="0" applyNumberFormat="1" applyFont="1" applyFill="1" applyAlignment="1">
      <alignment horizontal="right" vertical="center"/>
    </xf>
    <xf numFmtId="49" fontId="6" fillId="3" borderId="2" xfId="0" applyNumberFormat="1" applyFont="1" applyFill="1" applyBorder="1" applyAlignment="1">
      <alignment horizontal="center" vertical="center"/>
    </xf>
    <xf numFmtId="9" fontId="6" fillId="3" borderId="0" xfId="0" applyNumberFormat="1" applyFont="1" applyFill="1" applyAlignment="1">
      <alignment horizontal="center" vertical="center"/>
    </xf>
    <xf numFmtId="49" fontId="6" fillId="3" borderId="2" xfId="0" applyNumberFormat="1" applyFont="1" applyFill="1" applyBorder="1" applyAlignment="1">
      <alignment vertical="center"/>
    </xf>
    <xf numFmtId="4" fontId="6" fillId="3" borderId="2" xfId="0" applyNumberFormat="1" applyFont="1" applyFill="1" applyBorder="1" applyAlignment="1">
      <alignment horizontal="right" vertical="center"/>
    </xf>
    <xf numFmtId="49" fontId="6" fillId="3" borderId="1" xfId="0" applyNumberFormat="1" applyFont="1" applyFill="1" applyBorder="1" applyAlignment="1">
      <alignment horizontal="center" vertical="center"/>
    </xf>
    <xf numFmtId="9" fontId="6" fillId="3" borderId="1" xfId="0" applyNumberFormat="1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vertical="center"/>
    </xf>
    <xf numFmtId="49" fontId="5" fillId="3" borderId="1" xfId="0" applyNumberFormat="1" applyFont="1" applyFill="1" applyBorder="1" applyAlignment="1">
      <alignment horizontal="center" vertical="center"/>
    </xf>
    <xf numFmtId="9" fontId="5" fillId="3" borderId="1" xfId="0" applyNumberFormat="1" applyFont="1" applyFill="1" applyBorder="1" applyAlignment="1">
      <alignment horizontal="center" vertical="center"/>
    </xf>
    <xf numFmtId="4" fontId="5" fillId="3" borderId="1" xfId="0" applyNumberFormat="1" applyFont="1" applyFill="1" applyBorder="1" applyAlignment="1">
      <alignment horizontal="right" vertical="center"/>
    </xf>
    <xf numFmtId="4" fontId="5" fillId="4" borderId="3" xfId="0" applyNumberFormat="1" applyFont="1" applyFill="1" applyBorder="1" applyAlignment="1">
      <alignment horizontal="left" vertical="center"/>
    </xf>
    <xf numFmtId="4" fontId="5" fillId="4" borderId="4" xfId="0" applyNumberFormat="1" applyFont="1" applyFill="1" applyBorder="1" applyAlignment="1">
      <alignment horizontal="left" vertical="center"/>
    </xf>
    <xf numFmtId="4" fontId="5" fillId="4" borderId="5" xfId="0" applyNumberFormat="1" applyFont="1" applyFill="1" applyBorder="1" applyAlignment="1">
      <alignment horizontal="left" vertical="center"/>
    </xf>
    <xf numFmtId="4" fontId="2" fillId="4" borderId="1" xfId="0" applyNumberFormat="1" applyFont="1" applyFill="1" applyBorder="1" applyAlignment="1">
      <alignment horizontal="center" vertical="center"/>
    </xf>
    <xf numFmtId="4" fontId="5" fillId="4" borderId="1" xfId="0" applyNumberFormat="1" applyFont="1" applyFill="1" applyBorder="1" applyAlignment="1">
      <alignment horizontal="left" vertical="center"/>
    </xf>
    <xf numFmtId="49" fontId="9" fillId="3" borderId="1" xfId="0" applyNumberFormat="1" applyFont="1" applyFill="1" applyBorder="1" applyAlignment="1">
      <alignment vertical="center"/>
    </xf>
    <xf numFmtId="4" fontId="2" fillId="4" borderId="1" xfId="0" applyNumberFormat="1" applyFont="1" applyFill="1" applyBorder="1" applyAlignment="1">
      <alignment horizontal="centerContinuous" vertical="center"/>
    </xf>
    <xf numFmtId="4" fontId="10" fillId="2" borderId="1" xfId="0" applyNumberFormat="1" applyFont="1" applyFill="1" applyBorder="1" applyAlignment="1">
      <alignment vertical="center"/>
    </xf>
    <xf numFmtId="4" fontId="6" fillId="2" borderId="1" xfId="0" applyNumberFormat="1" applyFont="1" applyFill="1" applyBorder="1" applyAlignment="1">
      <alignment vertical="center"/>
    </xf>
    <xf numFmtId="10" fontId="6" fillId="2" borderId="1" xfId="1" applyNumberFormat="1" applyFont="1" applyFill="1" applyBorder="1" applyAlignment="1">
      <alignment vertical="center"/>
    </xf>
    <xf numFmtId="10" fontId="7" fillId="2" borderId="1" xfId="1" applyNumberFormat="1" applyFont="1" applyFill="1" applyBorder="1" applyAlignment="1">
      <alignment vertical="center"/>
    </xf>
    <xf numFmtId="4" fontId="7" fillId="2" borderId="1" xfId="0" applyNumberFormat="1" applyFont="1" applyFill="1" applyBorder="1" applyAlignment="1">
      <alignment vertical="center"/>
    </xf>
    <xf numFmtId="9" fontId="6" fillId="2" borderId="0" xfId="1" applyFont="1" applyFill="1" applyAlignment="1">
      <alignment vertical="center"/>
    </xf>
    <xf numFmtId="0" fontId="10" fillId="4" borderId="1" xfId="0" applyFont="1" applyFill="1" applyBorder="1" applyAlignment="1">
      <alignment vertical="center"/>
    </xf>
    <xf numFmtId="0" fontId="6" fillId="4" borderId="1" xfId="0" applyFont="1" applyFill="1" applyBorder="1" applyAlignment="1">
      <alignment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5" fillId="4" borderId="5" xfId="0" applyFont="1" applyFill="1" applyBorder="1" applyAlignment="1">
      <alignment vertical="center"/>
    </xf>
  </cellXfs>
  <cellStyles count="2">
    <cellStyle name="Prozent" xfId="1" builtinId="5"/>
    <cellStyle name="Standard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Design_Careli-Aptos">
  <a:themeElements>
    <a:clrScheme name="Careli">
      <a:dk1>
        <a:srgbClr val="2C2A29"/>
      </a:dk1>
      <a:lt1>
        <a:sysClr val="window" lastClr="FFFFFF"/>
      </a:lt1>
      <a:dk2>
        <a:srgbClr val="CBC9C8"/>
      </a:dk2>
      <a:lt2>
        <a:srgbClr val="EAE9E8"/>
      </a:lt2>
      <a:accent1>
        <a:srgbClr val="883230"/>
      </a:accent1>
      <a:accent2>
        <a:srgbClr val="AA3F3C"/>
      </a:accent2>
      <a:accent3>
        <a:srgbClr val="C05350"/>
      </a:accent3>
      <a:accent4>
        <a:srgbClr val="C55E5B"/>
      </a:accent4>
      <a:accent5>
        <a:srgbClr val="C6605E"/>
      </a:accent5>
      <a:accent6>
        <a:srgbClr val="005D80"/>
      </a:accent6>
      <a:hlink>
        <a:srgbClr val="2C2A29"/>
      </a:hlink>
      <a:folHlink>
        <a:srgbClr val="423F3D"/>
      </a:folHlink>
    </a:clrScheme>
    <a:fontScheme name="Aptos">
      <a:majorFont>
        <a:latin typeface="Aptos"/>
        <a:ea typeface=""/>
        <a:cs typeface=""/>
      </a:majorFont>
      <a:minorFont>
        <a:latin typeface="Apto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esign_Careli-Aptos" id="{C98816A0-6FED-40B8-9B9A-00868E3E1DF3}" vid="{D01C2D3E-1E2E-4F61-8446-7F17AECAC605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7C573-05E3-8444-9733-EA1553E5AEF5}">
  <dimension ref="B1:P26"/>
  <sheetViews>
    <sheetView tabSelected="1" zoomScaleNormal="100" workbookViewId="0">
      <selection activeCell="P12" sqref="P12"/>
    </sheetView>
  </sheetViews>
  <sheetFormatPr baseColWidth="10" defaultColWidth="10.85546875" defaultRowHeight="13.5" x14ac:dyDescent="0.25"/>
  <cols>
    <col min="1" max="1" width="2.7109375" style="3" customWidth="1"/>
    <col min="2" max="2" width="18.7109375" style="3" bestFit="1" customWidth="1"/>
    <col min="3" max="16" width="6.85546875" style="3" customWidth="1"/>
    <col min="17" max="16384" width="10.85546875" style="3"/>
  </cols>
  <sheetData>
    <row r="1" spans="2:16" s="1" customFormat="1" ht="20.100000000000001" customHeight="1" x14ac:dyDescent="0.2"/>
    <row r="2" spans="2:16" s="1" customFormat="1" ht="24" customHeight="1" x14ac:dyDescent="0.2">
      <c r="B2" s="4" t="s">
        <v>60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</row>
    <row r="3" spans="2:16" s="1" customFormat="1" ht="24" customHeight="1" x14ac:dyDescent="0.2">
      <c r="B3" s="2" t="s">
        <v>61</v>
      </c>
      <c r="C3" s="2">
        <v>40</v>
      </c>
      <c r="D3" s="2">
        <v>50</v>
      </c>
      <c r="E3" s="2">
        <v>60</v>
      </c>
      <c r="F3" s="2">
        <v>80</v>
      </c>
      <c r="G3" s="2">
        <v>90</v>
      </c>
      <c r="H3" s="2">
        <v>100</v>
      </c>
      <c r="I3" s="2">
        <v>200</v>
      </c>
      <c r="J3" s="2">
        <v>300</v>
      </c>
      <c r="K3" s="2">
        <v>350</v>
      </c>
      <c r="L3" s="2">
        <v>330</v>
      </c>
      <c r="M3" s="2">
        <v>250</v>
      </c>
      <c r="N3" s="2">
        <v>150</v>
      </c>
      <c r="O3" s="2">
        <v>100</v>
      </c>
      <c r="P3" s="2">
        <v>75</v>
      </c>
    </row>
    <row r="4" spans="2:16" s="1" customFormat="1" ht="24" customHeight="1" x14ac:dyDescent="0.2">
      <c r="B4" s="2" t="s">
        <v>62</v>
      </c>
      <c r="C4" s="2">
        <v>72</v>
      </c>
      <c r="D4" s="2">
        <v>70</v>
      </c>
      <c r="E4" s="2">
        <v>78</v>
      </c>
      <c r="F4" s="2">
        <v>84</v>
      </c>
      <c r="G4" s="2">
        <v>92</v>
      </c>
      <c r="H4" s="2">
        <v>80</v>
      </c>
      <c r="I4" s="2">
        <v>160</v>
      </c>
      <c r="J4" s="2">
        <v>240</v>
      </c>
      <c r="K4" s="2">
        <v>280</v>
      </c>
      <c r="L4" s="2">
        <v>274</v>
      </c>
      <c r="M4" s="2">
        <v>220</v>
      </c>
      <c r="N4" s="2">
        <v>140</v>
      </c>
      <c r="O4" s="2">
        <v>110</v>
      </c>
      <c r="P4" s="2">
        <v>100</v>
      </c>
    </row>
    <row r="5" spans="2:16" s="1" customFormat="1" ht="24.95" customHeight="1" x14ac:dyDescent="0.2"/>
    <row r="6" spans="2:16" s="1" customFormat="1" ht="24.95" customHeight="1" x14ac:dyDescent="0.2"/>
    <row r="7" spans="2:16" s="1" customFormat="1" ht="24.95" customHeight="1" x14ac:dyDescent="0.2"/>
    <row r="8" spans="2:16" s="1" customFormat="1" ht="24.95" customHeight="1" x14ac:dyDescent="0.2"/>
    <row r="9" spans="2:16" s="1" customFormat="1" ht="24.95" customHeight="1" x14ac:dyDescent="0.2"/>
    <row r="10" spans="2:16" s="1" customFormat="1" ht="24.95" customHeight="1" x14ac:dyDescent="0.2"/>
    <row r="11" spans="2:16" s="1" customFormat="1" ht="24.95" customHeight="1" x14ac:dyDescent="0.2"/>
    <row r="12" spans="2:16" s="1" customFormat="1" ht="24.95" customHeight="1" x14ac:dyDescent="0.2"/>
    <row r="13" spans="2:16" s="1" customFormat="1" ht="24.95" customHeight="1" x14ac:dyDescent="0.2"/>
    <row r="14" spans="2:16" s="1" customFormat="1" ht="24.95" customHeight="1" x14ac:dyDescent="0.2"/>
    <row r="15" spans="2:16" s="1" customFormat="1" ht="24.95" customHeight="1" x14ac:dyDescent="0.2"/>
    <row r="16" spans="2:16" s="1" customFormat="1" ht="24.95" customHeight="1" x14ac:dyDescent="0.2"/>
    <row r="17" s="1" customFormat="1" ht="24.95" customHeight="1" x14ac:dyDescent="0.2"/>
    <row r="18" s="1" customFormat="1" ht="24.95" customHeight="1" x14ac:dyDescent="0.2"/>
    <row r="19" s="1" customFormat="1" ht="24.95" customHeight="1" x14ac:dyDescent="0.2"/>
    <row r="20" s="1" customFormat="1" ht="24.95" customHeight="1" x14ac:dyDescent="0.2"/>
    <row r="21" s="1" customFormat="1" ht="24.95" customHeight="1" x14ac:dyDescent="0.2"/>
    <row r="22" s="1" customFormat="1" ht="24.95" customHeight="1" x14ac:dyDescent="0.2"/>
    <row r="23" s="1" customFormat="1" ht="24.95" customHeight="1" x14ac:dyDescent="0.2"/>
    <row r="24" s="1" customFormat="1" ht="24.95" customHeight="1" x14ac:dyDescent="0.2"/>
    <row r="25" s="1" customFormat="1" ht="24.95" customHeight="1" x14ac:dyDescent="0.2"/>
    <row r="26" s="1" customFormat="1" ht="24.95" customHeight="1" x14ac:dyDescent="0.2"/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E50"/>
  <sheetViews>
    <sheetView zoomScaleNormal="100" workbookViewId="0">
      <selection activeCell="E9" sqref="E9"/>
    </sheetView>
  </sheetViews>
  <sheetFormatPr baseColWidth="10" defaultColWidth="10.85546875" defaultRowHeight="13.5" x14ac:dyDescent="0.2"/>
  <cols>
    <col min="1" max="1" width="2.28515625" style="6" customWidth="1"/>
    <col min="2" max="2" width="23.7109375" style="12" customWidth="1"/>
    <col min="3" max="5" width="23.7109375" style="6" customWidth="1"/>
    <col min="6" max="6" width="15.42578125" style="6" bestFit="1" customWidth="1"/>
    <col min="7" max="7" width="14.28515625" style="6" customWidth="1"/>
    <col min="8" max="8" width="4.28515625" style="6" customWidth="1"/>
    <col min="9" max="16384" width="10.85546875" style="6"/>
  </cols>
  <sheetData>
    <row r="2" spans="2:5" ht="24" customHeight="1" x14ac:dyDescent="0.2">
      <c r="B2" s="13" t="s">
        <v>59</v>
      </c>
      <c r="C2" s="14"/>
      <c r="D2" s="14"/>
      <c r="E2" s="15"/>
    </row>
    <row r="3" spans="2:5" ht="33.950000000000003" customHeight="1" x14ac:dyDescent="0.2">
      <c r="B3" s="16" t="s">
        <v>3</v>
      </c>
      <c r="C3" s="17" t="s">
        <v>30</v>
      </c>
      <c r="D3" s="17" t="s">
        <v>31</v>
      </c>
      <c r="E3" s="17" t="s">
        <v>32</v>
      </c>
    </row>
    <row r="4" spans="2:5" ht="24" customHeight="1" x14ac:dyDescent="0.2">
      <c r="B4" s="7"/>
      <c r="C4" s="8"/>
      <c r="D4" s="9"/>
      <c r="E4" s="8"/>
    </row>
    <row r="5" spans="2:5" ht="24" customHeight="1" x14ac:dyDescent="0.2">
      <c r="B5" s="7"/>
      <c r="C5" s="8"/>
      <c r="D5" s="9"/>
      <c r="E5" s="8"/>
    </row>
    <row r="6" spans="2:5" ht="24" customHeight="1" x14ac:dyDescent="0.2">
      <c r="B6" s="7"/>
      <c r="C6" s="8"/>
      <c r="D6" s="9"/>
      <c r="E6" s="8"/>
    </row>
    <row r="7" spans="2:5" ht="24" customHeight="1" x14ac:dyDescent="0.2">
      <c r="B7" s="7"/>
      <c r="C7" s="8"/>
      <c r="D7" s="9"/>
      <c r="E7" s="8"/>
    </row>
    <row r="50" spans="2:3" x14ac:dyDescent="0.2">
      <c r="B50" s="10"/>
      <c r="C50" s="11"/>
    </row>
  </sheetData>
  <pageMargins left="0.78740157499999996" right="0.78740157499999996" top="0.984251969" bottom="0.984251969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L12"/>
  <sheetViews>
    <sheetView zoomScaleNormal="100" workbookViewId="0">
      <selection activeCell="D14" sqref="D14"/>
    </sheetView>
  </sheetViews>
  <sheetFormatPr baseColWidth="10" defaultColWidth="10.85546875" defaultRowHeight="13.5" x14ac:dyDescent="0.2"/>
  <cols>
    <col min="1" max="1" width="1.7109375" style="19" customWidth="1"/>
    <col min="2" max="7" width="18.7109375" style="19" customWidth="1"/>
    <col min="8" max="8" width="4.42578125" style="19" customWidth="1"/>
    <col min="9" max="12" width="18.7109375" style="19" customWidth="1"/>
    <col min="13" max="16384" width="10.85546875" style="19"/>
  </cols>
  <sheetData>
    <row r="2" spans="2:12" ht="24" customHeight="1" x14ac:dyDescent="0.2">
      <c r="B2" s="27" t="s">
        <v>63</v>
      </c>
      <c r="C2" s="28"/>
      <c r="D2" s="28"/>
      <c r="E2" s="28"/>
      <c r="F2" s="28"/>
      <c r="G2" s="29"/>
      <c r="H2" s="18"/>
      <c r="I2" s="27" t="str">
        <f>B2</f>
        <v>Levamon AG (Angaben in Mio. €)</v>
      </c>
      <c r="J2" s="28"/>
      <c r="K2" s="28"/>
      <c r="L2" s="29"/>
    </row>
    <row r="3" spans="2:12" s="21" customFormat="1" ht="33.950000000000003" customHeight="1" x14ac:dyDescent="0.2">
      <c r="B3" s="30" t="s">
        <v>38</v>
      </c>
      <c r="C3" s="31" t="s">
        <v>39</v>
      </c>
      <c r="D3" s="31" t="s">
        <v>40</v>
      </c>
      <c r="E3" s="31" t="s">
        <v>41</v>
      </c>
      <c r="F3" s="31" t="s">
        <v>42</v>
      </c>
      <c r="G3" s="31" t="s">
        <v>43</v>
      </c>
      <c r="H3" s="20"/>
      <c r="I3" s="30" t="s">
        <v>38</v>
      </c>
      <c r="J3" s="32" t="s">
        <v>30</v>
      </c>
      <c r="K3" s="32" t="s">
        <v>32</v>
      </c>
      <c r="L3" s="31" t="s">
        <v>44</v>
      </c>
    </row>
    <row r="4" spans="2:12" ht="24" customHeight="1" x14ac:dyDescent="0.2">
      <c r="B4" s="22" t="s">
        <v>45</v>
      </c>
      <c r="C4" s="23">
        <f>ROUND(E4*3,0)</f>
        <v>375</v>
      </c>
      <c r="D4" s="23">
        <v>356</v>
      </c>
      <c r="E4" s="23">
        <v>125</v>
      </c>
      <c r="F4" s="23">
        <v>750</v>
      </c>
      <c r="G4" s="23">
        <v>878</v>
      </c>
      <c r="H4" s="24"/>
      <c r="I4" s="22" t="s">
        <v>45</v>
      </c>
      <c r="J4" s="25"/>
      <c r="K4" s="25"/>
      <c r="L4" s="26"/>
    </row>
    <row r="5" spans="2:12" ht="24" customHeight="1" x14ac:dyDescent="0.2">
      <c r="B5" s="22" t="s">
        <v>46</v>
      </c>
      <c r="C5" s="23">
        <f>ROUND(E5*1.5,0)</f>
        <v>270</v>
      </c>
      <c r="D5" s="23">
        <v>257</v>
      </c>
      <c r="E5" s="23">
        <v>180</v>
      </c>
      <c r="F5" s="23">
        <v>810</v>
      </c>
      <c r="G5" s="23">
        <v>1013</v>
      </c>
      <c r="H5" s="24"/>
      <c r="I5" s="22" t="s">
        <v>46</v>
      </c>
      <c r="J5" s="25"/>
      <c r="K5" s="25"/>
      <c r="L5" s="26"/>
    </row>
    <row r="6" spans="2:12" ht="24" customHeight="1" x14ac:dyDescent="0.2">
      <c r="B6" s="22" t="s">
        <v>47</v>
      </c>
      <c r="C6" s="23">
        <f>ROUND(E6*1.2,0)</f>
        <v>312</v>
      </c>
      <c r="D6" s="23">
        <v>296</v>
      </c>
      <c r="E6" s="23">
        <v>260</v>
      </c>
      <c r="F6" s="23">
        <v>1201</v>
      </c>
      <c r="G6" s="23">
        <v>1285</v>
      </c>
      <c r="H6" s="24"/>
      <c r="I6" s="22" t="s">
        <v>47</v>
      </c>
      <c r="J6" s="25"/>
      <c r="K6" s="25"/>
      <c r="L6" s="26"/>
    </row>
    <row r="7" spans="2:12" ht="24" customHeight="1" x14ac:dyDescent="0.2"/>
    <row r="8" spans="2:12" ht="24" customHeight="1" x14ac:dyDescent="0.2">
      <c r="B8" s="27" t="s">
        <v>64</v>
      </c>
      <c r="C8" s="28"/>
      <c r="D8" s="28"/>
      <c r="E8" s="28"/>
      <c r="F8" s="28"/>
      <c r="G8" s="29"/>
      <c r="H8" s="18"/>
      <c r="I8" s="27" t="str">
        <f>B8</f>
        <v>Tessara AG (Angaben in Mio. €)</v>
      </c>
      <c r="J8" s="28"/>
      <c r="K8" s="28"/>
      <c r="L8" s="29"/>
    </row>
    <row r="9" spans="2:12" s="21" customFormat="1" ht="33.950000000000003" customHeight="1" x14ac:dyDescent="0.2">
      <c r="B9" s="30" t="s">
        <v>38</v>
      </c>
      <c r="C9" s="31" t="s">
        <v>39</v>
      </c>
      <c r="D9" s="31" t="s">
        <v>40</v>
      </c>
      <c r="E9" s="31" t="s">
        <v>41</v>
      </c>
      <c r="F9" s="31" t="s">
        <v>42</v>
      </c>
      <c r="G9" s="31" t="s">
        <v>43</v>
      </c>
      <c r="H9" s="20"/>
      <c r="I9" s="30" t="s">
        <v>38</v>
      </c>
      <c r="J9" s="32" t="s">
        <v>30</v>
      </c>
      <c r="K9" s="32" t="s">
        <v>32</v>
      </c>
      <c r="L9" s="31" t="s">
        <v>44</v>
      </c>
    </row>
    <row r="10" spans="2:12" ht="24" customHeight="1" x14ac:dyDescent="0.2">
      <c r="B10" s="22" t="s">
        <v>45</v>
      </c>
      <c r="C10" s="23">
        <f>ROUND(E10*0.4,0)</f>
        <v>144</v>
      </c>
      <c r="D10" s="23">
        <v>137</v>
      </c>
      <c r="E10" s="23">
        <v>360</v>
      </c>
      <c r="F10" s="23">
        <f>ROUND((C10+E10)*1.5,0)</f>
        <v>756</v>
      </c>
      <c r="G10" s="23">
        <v>869</v>
      </c>
      <c r="H10" s="24"/>
      <c r="I10" s="22" t="s">
        <v>45</v>
      </c>
      <c r="J10" s="25"/>
      <c r="K10" s="25"/>
      <c r="L10" s="26"/>
    </row>
    <row r="11" spans="2:12" ht="24" customHeight="1" x14ac:dyDescent="0.2">
      <c r="B11" s="22" t="s">
        <v>46</v>
      </c>
      <c r="C11" s="23">
        <f>ROUND(E11*0.8,0)</f>
        <v>440</v>
      </c>
      <c r="D11" s="23">
        <v>418</v>
      </c>
      <c r="E11" s="23">
        <v>550</v>
      </c>
      <c r="F11" s="23">
        <f>ROUND((C11+E11)*1.8,0)</f>
        <v>1782</v>
      </c>
      <c r="G11" s="23">
        <v>1960</v>
      </c>
      <c r="H11" s="24"/>
      <c r="I11" s="22" t="s">
        <v>46</v>
      </c>
      <c r="J11" s="25"/>
      <c r="K11" s="25"/>
      <c r="L11" s="26"/>
    </row>
    <row r="12" spans="2:12" ht="24" customHeight="1" x14ac:dyDescent="0.2">
      <c r="B12" s="22" t="s">
        <v>47</v>
      </c>
      <c r="C12" s="23">
        <f>ROUND(E12*0.7,0)</f>
        <v>455</v>
      </c>
      <c r="D12" s="23">
        <v>432</v>
      </c>
      <c r="E12" s="23">
        <v>650</v>
      </c>
      <c r="F12" s="23">
        <f>ROUND((C12+E12)*2.1,0)</f>
        <v>2321</v>
      </c>
      <c r="G12" s="23">
        <v>2437</v>
      </c>
      <c r="H12" s="24"/>
      <c r="I12" s="22" t="s">
        <v>47</v>
      </c>
      <c r="J12" s="25"/>
      <c r="K12" s="25"/>
      <c r="L12" s="26"/>
    </row>
  </sheetData>
  <pageMargins left="0.78740157499999996" right="0.78740157499999996" top="0.984251969" bottom="0.984251969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L32"/>
  <sheetViews>
    <sheetView zoomScaleNormal="100" workbookViewId="0">
      <selection activeCell="B13" sqref="B13"/>
    </sheetView>
  </sheetViews>
  <sheetFormatPr baseColWidth="10" defaultColWidth="10.85546875" defaultRowHeight="13.5" x14ac:dyDescent="0.2"/>
  <cols>
    <col min="1" max="1" width="2.28515625" style="34" customWidth="1"/>
    <col min="2" max="2" width="26.7109375" style="33" customWidth="1"/>
    <col min="3" max="12" width="13.28515625" style="34" customWidth="1"/>
    <col min="13" max="16384" width="10.85546875" style="34"/>
  </cols>
  <sheetData>
    <row r="1" spans="2:12" ht="15" customHeight="1" x14ac:dyDescent="0.2"/>
    <row r="2" spans="2:12" ht="24" customHeight="1" x14ac:dyDescent="0.2">
      <c r="B2" s="13" t="s">
        <v>29</v>
      </c>
      <c r="C2" s="14"/>
      <c r="D2" s="14"/>
      <c r="E2" s="14"/>
      <c r="F2" s="14"/>
      <c r="G2" s="14"/>
      <c r="H2" s="14"/>
      <c r="I2" s="14"/>
      <c r="J2" s="14"/>
      <c r="K2" s="14"/>
      <c r="L2" s="15"/>
    </row>
    <row r="3" spans="2:12" ht="24" customHeight="1" x14ac:dyDescent="0.2">
      <c r="B3" s="40" t="s">
        <v>65</v>
      </c>
      <c r="C3" s="35">
        <v>1000</v>
      </c>
      <c r="D3" s="35">
        <v>900</v>
      </c>
      <c r="E3" s="35">
        <v>800</v>
      </c>
      <c r="F3" s="35">
        <v>700</v>
      </c>
      <c r="G3" s="35">
        <v>600</v>
      </c>
      <c r="H3" s="35">
        <v>500</v>
      </c>
      <c r="I3" s="35">
        <v>400</v>
      </c>
      <c r="J3" s="35">
        <v>300</v>
      </c>
      <c r="K3" s="35">
        <v>200</v>
      </c>
      <c r="L3" s="35">
        <v>100</v>
      </c>
    </row>
    <row r="4" spans="2:12" ht="24" customHeight="1" x14ac:dyDescent="0.2">
      <c r="B4" s="40" t="s">
        <v>66</v>
      </c>
      <c r="C4" s="36">
        <v>0</v>
      </c>
      <c r="D4" s="36">
        <v>5</v>
      </c>
      <c r="E4" s="36">
        <v>10</v>
      </c>
      <c r="F4" s="36">
        <v>15</v>
      </c>
      <c r="G4" s="36">
        <v>20</v>
      </c>
      <c r="H4" s="36">
        <v>25</v>
      </c>
      <c r="I4" s="36">
        <v>30</v>
      </c>
      <c r="J4" s="36">
        <v>35</v>
      </c>
      <c r="K4" s="36">
        <v>40</v>
      </c>
      <c r="L4" s="36">
        <v>45</v>
      </c>
    </row>
    <row r="5" spans="2:12" ht="24" customHeight="1" x14ac:dyDescent="0.2"/>
    <row r="6" spans="2:12" ht="24" customHeight="1" x14ac:dyDescent="0.2">
      <c r="B6" s="13" t="s">
        <v>33</v>
      </c>
      <c r="C6" s="14"/>
      <c r="D6" s="14"/>
      <c r="E6" s="14"/>
      <c r="F6" s="14"/>
      <c r="G6" s="14"/>
      <c r="H6" s="14"/>
      <c r="I6" s="14"/>
      <c r="J6" s="14"/>
      <c r="K6" s="14"/>
      <c r="L6" s="15"/>
    </row>
    <row r="7" spans="2:12" ht="24" customHeight="1" x14ac:dyDescent="0.2">
      <c r="B7" s="40" t="s">
        <v>68</v>
      </c>
      <c r="C7" s="42" t="s">
        <v>25</v>
      </c>
      <c r="D7" s="43"/>
      <c r="E7" s="42" t="s">
        <v>26</v>
      </c>
      <c r="F7" s="43"/>
      <c r="G7" s="42" t="s">
        <v>27</v>
      </c>
      <c r="H7" s="43"/>
      <c r="I7" s="42" t="s">
        <v>28</v>
      </c>
      <c r="J7" s="43"/>
      <c r="K7" s="42" t="s">
        <v>67</v>
      </c>
      <c r="L7" s="43"/>
    </row>
    <row r="8" spans="2:12" ht="24" customHeight="1" x14ac:dyDescent="0.2">
      <c r="B8" s="41" t="s">
        <v>34</v>
      </c>
      <c r="C8" s="37"/>
      <c r="D8" s="38"/>
      <c r="E8" s="37"/>
      <c r="F8" s="38"/>
      <c r="G8" s="37"/>
      <c r="H8" s="38"/>
      <c r="I8" s="37"/>
      <c r="J8" s="38"/>
      <c r="K8" s="37"/>
      <c r="L8" s="38"/>
    </row>
    <row r="9" spans="2:12" ht="24" customHeight="1" x14ac:dyDescent="0.2">
      <c r="B9" s="41" t="s">
        <v>35</v>
      </c>
      <c r="C9" s="37"/>
      <c r="D9" s="38"/>
      <c r="E9" s="37"/>
      <c r="F9" s="38"/>
      <c r="G9" s="37"/>
      <c r="H9" s="38"/>
      <c r="I9" s="37"/>
      <c r="J9" s="38"/>
      <c r="K9" s="37"/>
      <c r="L9" s="38"/>
    </row>
    <row r="10" spans="2:12" ht="24" customHeight="1" x14ac:dyDescent="0.2">
      <c r="B10" s="41" t="s">
        <v>36</v>
      </c>
      <c r="C10" s="37"/>
      <c r="D10" s="38"/>
      <c r="E10" s="37"/>
      <c r="F10" s="38"/>
      <c r="G10" s="37"/>
      <c r="H10" s="38"/>
      <c r="I10" s="37"/>
      <c r="J10" s="38"/>
      <c r="K10" s="37"/>
      <c r="L10" s="38"/>
    </row>
    <row r="11" spans="2:12" ht="24" customHeight="1" x14ac:dyDescent="0.2">
      <c r="B11" s="41" t="s">
        <v>37</v>
      </c>
      <c r="C11" s="37"/>
      <c r="D11" s="38"/>
      <c r="E11" s="37"/>
      <c r="F11" s="38"/>
      <c r="G11" s="37"/>
      <c r="H11" s="38"/>
      <c r="I11" s="37"/>
      <c r="J11" s="38"/>
      <c r="K11" s="37"/>
      <c r="L11" s="38"/>
    </row>
    <row r="12" spans="2:12" ht="17.100000000000001" customHeight="1" x14ac:dyDescent="0.2"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2:12" ht="17.100000000000001" customHeight="1" x14ac:dyDescent="0.2"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2:12" ht="17.100000000000001" customHeight="1" x14ac:dyDescent="0.2"/>
    <row r="15" spans="2:12" ht="17.100000000000001" customHeight="1" x14ac:dyDescent="0.2"/>
    <row r="16" spans="2:12" ht="17.100000000000001" customHeight="1" x14ac:dyDescent="0.2"/>
    <row r="17" ht="17.100000000000001" customHeight="1" x14ac:dyDescent="0.2"/>
    <row r="18" ht="17.100000000000001" customHeight="1" x14ac:dyDescent="0.2"/>
    <row r="19" ht="17.100000000000001" customHeight="1" x14ac:dyDescent="0.2"/>
    <row r="20" ht="17.100000000000001" customHeight="1" x14ac:dyDescent="0.2"/>
    <row r="21" ht="17.100000000000001" customHeight="1" x14ac:dyDescent="0.2"/>
    <row r="22" ht="17.100000000000001" customHeight="1" x14ac:dyDescent="0.2"/>
    <row r="23" ht="17.100000000000001" customHeight="1" x14ac:dyDescent="0.2"/>
    <row r="24" ht="17.100000000000001" customHeight="1" x14ac:dyDescent="0.2"/>
    <row r="25" ht="17.100000000000001" customHeight="1" x14ac:dyDescent="0.2"/>
    <row r="26" ht="17.100000000000001" customHeight="1" x14ac:dyDescent="0.2"/>
    <row r="27" ht="17.100000000000001" customHeight="1" x14ac:dyDescent="0.2"/>
    <row r="28" ht="17.100000000000001" customHeight="1" x14ac:dyDescent="0.2"/>
    <row r="29" ht="17.100000000000001" customHeight="1" x14ac:dyDescent="0.2"/>
    <row r="30" ht="17.100000000000001" customHeight="1" x14ac:dyDescent="0.2"/>
    <row r="31" ht="17.100000000000001" customHeight="1" x14ac:dyDescent="0.2"/>
    <row r="32" ht="17.100000000000001" customHeight="1" x14ac:dyDescent="0.2"/>
  </sheetData>
  <mergeCells count="25">
    <mergeCell ref="K11:L11"/>
    <mergeCell ref="I7:J7"/>
    <mergeCell ref="I8:J8"/>
    <mergeCell ref="G7:H7"/>
    <mergeCell ref="G8:H8"/>
    <mergeCell ref="G9:H9"/>
    <mergeCell ref="G10:H10"/>
    <mergeCell ref="G11:H11"/>
    <mergeCell ref="I9:J9"/>
    <mergeCell ref="I10:J10"/>
    <mergeCell ref="K10:L10"/>
    <mergeCell ref="I11:J11"/>
    <mergeCell ref="K7:L7"/>
    <mergeCell ref="K8:L8"/>
    <mergeCell ref="K9:L9"/>
    <mergeCell ref="C11:D11"/>
    <mergeCell ref="E7:F7"/>
    <mergeCell ref="E8:F8"/>
    <mergeCell ref="E9:F9"/>
    <mergeCell ref="E10:F10"/>
    <mergeCell ref="E11:F11"/>
    <mergeCell ref="C10:D10"/>
    <mergeCell ref="C7:D7"/>
    <mergeCell ref="C8:D8"/>
    <mergeCell ref="C9:D9"/>
  </mergeCells>
  <pageMargins left="0.78740157499999996" right="0.78740157499999996" top="0.984251969" bottom="0.984251969" header="0.5" footer="0.5"/>
  <pageSetup paperSize="9" orientation="portrait" horizontalDpi="4294967292" verticalDpi="429496729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2:E22"/>
  <sheetViews>
    <sheetView zoomScaleNormal="100" workbookViewId="0">
      <selection activeCell="H13" sqref="H13"/>
    </sheetView>
  </sheetViews>
  <sheetFormatPr baseColWidth="10" defaultColWidth="10.85546875" defaultRowHeight="13.5" x14ac:dyDescent="0.2"/>
  <cols>
    <col min="1" max="1" width="2.28515625" style="45" customWidth="1"/>
    <col min="2" max="2" width="3" style="19" customWidth="1"/>
    <col min="3" max="3" width="35.28515625" style="19" customWidth="1"/>
    <col min="4" max="4" width="16" style="45" customWidth="1"/>
    <col min="5" max="5" width="16" style="46" customWidth="1"/>
    <col min="6" max="6" width="4.85546875" style="45" customWidth="1"/>
    <col min="7" max="16384" width="10.85546875" style="45"/>
  </cols>
  <sheetData>
    <row r="2" spans="2:5" ht="23.1" customHeight="1" x14ac:dyDescent="0.2">
      <c r="B2" s="57" t="s">
        <v>7</v>
      </c>
      <c r="C2" s="58"/>
      <c r="D2" s="59"/>
      <c r="E2" s="44"/>
    </row>
    <row r="3" spans="2:5" ht="23.1" customHeight="1" x14ac:dyDescent="0.2">
      <c r="B3" s="57" t="s">
        <v>10</v>
      </c>
      <c r="C3" s="58"/>
      <c r="D3" s="59"/>
      <c r="E3" s="44"/>
    </row>
    <row r="4" spans="2:5" ht="23.1" customHeight="1" x14ac:dyDescent="0.2"/>
    <row r="5" spans="2:5" ht="23.1" customHeight="1" x14ac:dyDescent="0.2">
      <c r="B5" s="60" t="s">
        <v>6</v>
      </c>
      <c r="C5" s="60"/>
      <c r="D5" s="60"/>
      <c r="E5" s="60"/>
    </row>
    <row r="6" spans="2:5" ht="33.950000000000003" customHeight="1" x14ac:dyDescent="0.2">
      <c r="B6" s="32"/>
      <c r="C6" s="61" t="s">
        <v>23</v>
      </c>
      <c r="D6" s="31" t="s">
        <v>22</v>
      </c>
      <c r="E6" s="32" t="s">
        <v>24</v>
      </c>
    </row>
    <row r="7" spans="2:5" ht="23.1" customHeight="1" x14ac:dyDescent="0.2">
      <c r="B7" s="47"/>
      <c r="C7" s="49" t="s">
        <v>7</v>
      </c>
      <c r="D7" s="48"/>
      <c r="E7" s="50"/>
    </row>
    <row r="8" spans="2:5" ht="23.1" customHeight="1" x14ac:dyDescent="0.2">
      <c r="B8" s="51" t="s">
        <v>5</v>
      </c>
      <c r="C8" s="53" t="s">
        <v>8</v>
      </c>
      <c r="D8" s="52"/>
      <c r="E8" s="35"/>
    </row>
    <row r="9" spans="2:5" ht="23.1" customHeight="1" x14ac:dyDescent="0.2">
      <c r="B9" s="54" t="s">
        <v>4</v>
      </c>
      <c r="C9" s="62" t="s">
        <v>9</v>
      </c>
      <c r="D9" s="55"/>
      <c r="E9" s="56"/>
    </row>
    <row r="10" spans="2:5" ht="23.1" customHeight="1" x14ac:dyDescent="0.2">
      <c r="B10" s="51"/>
      <c r="C10" s="53" t="s">
        <v>10</v>
      </c>
      <c r="D10" s="52"/>
      <c r="E10" s="35"/>
    </row>
    <row r="11" spans="2:5" ht="23.1" customHeight="1" x14ac:dyDescent="0.2">
      <c r="B11" s="51" t="s">
        <v>5</v>
      </c>
      <c r="C11" s="53" t="s">
        <v>11</v>
      </c>
      <c r="D11" s="52"/>
      <c r="E11" s="35"/>
    </row>
    <row r="12" spans="2:5" ht="23.1" customHeight="1" x14ac:dyDescent="0.2">
      <c r="B12" s="54" t="s">
        <v>4</v>
      </c>
      <c r="C12" s="62" t="s">
        <v>12</v>
      </c>
      <c r="D12" s="55"/>
      <c r="E12" s="56"/>
    </row>
    <row r="13" spans="2:5" ht="23.1" customHeight="1" x14ac:dyDescent="0.2">
      <c r="B13" s="54" t="s">
        <v>4</v>
      </c>
      <c r="C13" s="62" t="s">
        <v>13</v>
      </c>
      <c r="D13" s="55"/>
      <c r="E13" s="56"/>
    </row>
    <row r="14" spans="2:5" ht="23.1" customHeight="1" x14ac:dyDescent="0.2">
      <c r="B14" s="51" t="s">
        <v>5</v>
      </c>
      <c r="C14" s="53" t="s">
        <v>14</v>
      </c>
      <c r="D14" s="52"/>
      <c r="E14" s="35"/>
    </row>
    <row r="15" spans="2:5" ht="23.1" customHeight="1" x14ac:dyDescent="0.2">
      <c r="B15" s="51" t="s">
        <v>5</v>
      </c>
      <c r="C15" s="53" t="s">
        <v>15</v>
      </c>
      <c r="D15" s="52"/>
      <c r="E15" s="35"/>
    </row>
    <row r="16" spans="2:5" ht="23.1" customHeight="1" x14ac:dyDescent="0.2">
      <c r="B16" s="54" t="s">
        <v>4</v>
      </c>
      <c r="C16" s="62" t="s">
        <v>16</v>
      </c>
      <c r="D16" s="55"/>
      <c r="E16" s="56"/>
    </row>
    <row r="17" spans="2:5" ht="23.1" customHeight="1" x14ac:dyDescent="0.2">
      <c r="B17" s="51" t="s">
        <v>5</v>
      </c>
      <c r="C17" s="53" t="s">
        <v>0</v>
      </c>
      <c r="D17" s="52"/>
      <c r="E17" s="35"/>
    </row>
    <row r="18" spans="2:5" ht="23.1" customHeight="1" x14ac:dyDescent="0.2">
      <c r="B18" s="54" t="s">
        <v>4</v>
      </c>
      <c r="C18" s="62" t="s">
        <v>17</v>
      </c>
      <c r="D18" s="55"/>
      <c r="E18" s="56"/>
    </row>
    <row r="19" spans="2:5" ht="23.1" customHeight="1" x14ac:dyDescent="0.2">
      <c r="B19" s="51" t="s">
        <v>5</v>
      </c>
      <c r="C19" s="53" t="s">
        <v>18</v>
      </c>
      <c r="D19" s="52"/>
      <c r="E19" s="35"/>
    </row>
    <row r="20" spans="2:5" ht="23.1" customHeight="1" x14ac:dyDescent="0.2">
      <c r="B20" s="54" t="s">
        <v>4</v>
      </c>
      <c r="C20" s="62" t="s">
        <v>19</v>
      </c>
      <c r="D20" s="55"/>
      <c r="E20" s="56"/>
    </row>
    <row r="21" spans="2:5" ht="23.1" customHeight="1" x14ac:dyDescent="0.2">
      <c r="B21" s="51" t="s">
        <v>5</v>
      </c>
      <c r="C21" s="53" t="s">
        <v>20</v>
      </c>
      <c r="D21" s="52"/>
      <c r="E21" s="35"/>
    </row>
    <row r="22" spans="2:5" ht="23.1" customHeight="1" x14ac:dyDescent="0.2">
      <c r="B22" s="54" t="s">
        <v>4</v>
      </c>
      <c r="C22" s="62" t="s">
        <v>21</v>
      </c>
      <c r="D22" s="55"/>
      <c r="E22" s="56"/>
    </row>
  </sheetData>
  <mergeCells count="3">
    <mergeCell ref="B5:E5"/>
    <mergeCell ref="B2:D2"/>
    <mergeCell ref="B3:D3"/>
  </mergeCells>
  <pageMargins left="0.78740157499999996" right="0.78740157499999996" top="0.984251969" bottom="0.984251969" header="0.5" footer="0.5"/>
  <pageSetup paperSize="9" orientation="portrait" horizontalDpi="4294967292" verticalDpi="429496729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E22"/>
  <sheetViews>
    <sheetView zoomScaleNormal="100" workbookViewId="0">
      <selection activeCell="J11" sqref="J11"/>
    </sheetView>
  </sheetViews>
  <sheetFormatPr baseColWidth="10" defaultColWidth="10.85546875" defaultRowHeight="13.5" x14ac:dyDescent="0.2"/>
  <cols>
    <col min="1" max="1" width="1.42578125" style="45" customWidth="1"/>
    <col min="2" max="2" width="3" style="19" customWidth="1"/>
    <col min="3" max="3" width="27.42578125" style="19" customWidth="1"/>
    <col min="4" max="4" width="23.140625" style="45" customWidth="1"/>
    <col min="5" max="5" width="23.140625" style="46" customWidth="1"/>
    <col min="6" max="6" width="4.85546875" style="45" customWidth="1"/>
    <col min="7" max="16384" width="10.85546875" style="45"/>
  </cols>
  <sheetData>
    <row r="2" spans="2:5" ht="24" customHeight="1" x14ac:dyDescent="0.2">
      <c r="B2" s="57" t="s">
        <v>7</v>
      </c>
      <c r="C2" s="58"/>
      <c r="D2" s="59"/>
      <c r="E2" s="44"/>
    </row>
    <row r="3" spans="2:5" ht="24" customHeight="1" x14ac:dyDescent="0.2">
      <c r="B3" s="57" t="s">
        <v>10</v>
      </c>
      <c r="C3" s="58"/>
      <c r="D3" s="59"/>
      <c r="E3" s="44"/>
    </row>
    <row r="4" spans="2:5" ht="24" customHeight="1" x14ac:dyDescent="0.2"/>
    <row r="5" spans="2:5" ht="24" customHeight="1" x14ac:dyDescent="0.2">
      <c r="B5" s="63" t="s">
        <v>6</v>
      </c>
      <c r="C5" s="63"/>
      <c r="D5" s="63"/>
      <c r="E5" s="63"/>
    </row>
    <row r="6" spans="2:5" ht="33.950000000000003" customHeight="1" x14ac:dyDescent="0.2">
      <c r="B6" s="32"/>
      <c r="C6" s="32" t="s">
        <v>23</v>
      </c>
      <c r="D6" s="31" t="s">
        <v>22</v>
      </c>
      <c r="E6" s="32" t="s">
        <v>24</v>
      </c>
    </row>
    <row r="7" spans="2:5" ht="24" customHeight="1" x14ac:dyDescent="0.2">
      <c r="B7" s="47"/>
      <c r="C7" s="49" t="s">
        <v>7</v>
      </c>
      <c r="D7" s="48"/>
      <c r="E7" s="50"/>
    </row>
    <row r="8" spans="2:5" ht="24" customHeight="1" x14ac:dyDescent="0.2">
      <c r="B8" s="51" t="s">
        <v>5</v>
      </c>
      <c r="C8" s="53" t="s">
        <v>8</v>
      </c>
      <c r="D8" s="52"/>
      <c r="E8" s="35"/>
    </row>
    <row r="9" spans="2:5" ht="24" customHeight="1" x14ac:dyDescent="0.2">
      <c r="B9" s="54" t="s">
        <v>4</v>
      </c>
      <c r="C9" s="62" t="s">
        <v>9</v>
      </c>
      <c r="D9" s="55"/>
      <c r="E9" s="56"/>
    </row>
    <row r="10" spans="2:5" ht="24" customHeight="1" x14ac:dyDescent="0.2">
      <c r="B10" s="51"/>
      <c r="C10" s="53" t="s">
        <v>10</v>
      </c>
      <c r="D10" s="52"/>
      <c r="E10" s="35"/>
    </row>
    <row r="11" spans="2:5" ht="24" customHeight="1" x14ac:dyDescent="0.2">
      <c r="B11" s="51" t="s">
        <v>5</v>
      </c>
      <c r="C11" s="53" t="s">
        <v>11</v>
      </c>
      <c r="D11" s="52"/>
      <c r="E11" s="35"/>
    </row>
    <row r="12" spans="2:5" ht="24" customHeight="1" x14ac:dyDescent="0.2">
      <c r="B12" s="54" t="s">
        <v>4</v>
      </c>
      <c r="C12" s="62" t="s">
        <v>12</v>
      </c>
      <c r="D12" s="55"/>
      <c r="E12" s="56"/>
    </row>
    <row r="13" spans="2:5" ht="24" customHeight="1" x14ac:dyDescent="0.2">
      <c r="B13" s="54" t="s">
        <v>4</v>
      </c>
      <c r="C13" s="62" t="s">
        <v>13</v>
      </c>
      <c r="D13" s="55"/>
      <c r="E13" s="56"/>
    </row>
    <row r="14" spans="2:5" ht="24" customHeight="1" x14ac:dyDescent="0.2">
      <c r="B14" s="51" t="s">
        <v>5</v>
      </c>
      <c r="C14" s="53" t="s">
        <v>14</v>
      </c>
      <c r="D14" s="52"/>
      <c r="E14" s="35"/>
    </row>
    <row r="15" spans="2:5" ht="24" customHeight="1" x14ac:dyDescent="0.2">
      <c r="B15" s="51" t="s">
        <v>5</v>
      </c>
      <c r="C15" s="53" t="s">
        <v>15</v>
      </c>
      <c r="D15" s="52"/>
      <c r="E15" s="35"/>
    </row>
    <row r="16" spans="2:5" ht="24" customHeight="1" x14ac:dyDescent="0.2">
      <c r="B16" s="54" t="s">
        <v>4</v>
      </c>
      <c r="C16" s="62" t="s">
        <v>16</v>
      </c>
      <c r="D16" s="55"/>
      <c r="E16" s="56"/>
    </row>
    <row r="17" spans="2:5" ht="24" customHeight="1" x14ac:dyDescent="0.2">
      <c r="B17" s="51" t="s">
        <v>5</v>
      </c>
      <c r="C17" s="53" t="s">
        <v>0</v>
      </c>
      <c r="D17" s="52"/>
      <c r="E17" s="35"/>
    </row>
    <row r="18" spans="2:5" ht="24" customHeight="1" x14ac:dyDescent="0.2">
      <c r="B18" s="54" t="s">
        <v>4</v>
      </c>
      <c r="C18" s="62" t="s">
        <v>17</v>
      </c>
      <c r="D18" s="55"/>
      <c r="E18" s="56"/>
    </row>
    <row r="19" spans="2:5" ht="24" customHeight="1" x14ac:dyDescent="0.2">
      <c r="B19" s="51" t="s">
        <v>5</v>
      </c>
      <c r="C19" s="53" t="s">
        <v>18</v>
      </c>
      <c r="D19" s="52"/>
      <c r="E19" s="35"/>
    </row>
    <row r="20" spans="2:5" ht="24" customHeight="1" x14ac:dyDescent="0.2">
      <c r="B20" s="54" t="s">
        <v>4</v>
      </c>
      <c r="C20" s="62" t="s">
        <v>19</v>
      </c>
      <c r="D20" s="55"/>
      <c r="E20" s="56"/>
    </row>
    <row r="21" spans="2:5" ht="24" customHeight="1" x14ac:dyDescent="0.2">
      <c r="B21" s="51" t="s">
        <v>5</v>
      </c>
      <c r="C21" s="53" t="s">
        <v>20</v>
      </c>
      <c r="D21" s="52"/>
      <c r="E21" s="35"/>
    </row>
    <row r="22" spans="2:5" ht="24" customHeight="1" x14ac:dyDescent="0.2">
      <c r="B22" s="54" t="s">
        <v>4</v>
      </c>
      <c r="C22" s="62" t="s">
        <v>21</v>
      </c>
      <c r="D22" s="55"/>
      <c r="E22" s="56"/>
    </row>
  </sheetData>
  <mergeCells count="2">
    <mergeCell ref="B2:D2"/>
    <mergeCell ref="B3:D3"/>
  </mergeCells>
  <pageMargins left="0.78740157499999996" right="0.78740157499999996" top="0.984251969" bottom="0.984251969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:E23"/>
  <sheetViews>
    <sheetView zoomScaleNormal="100" workbookViewId="0">
      <selection activeCell="G8" sqref="G8"/>
    </sheetView>
  </sheetViews>
  <sheetFormatPr baseColWidth="10" defaultColWidth="10.85546875" defaultRowHeight="13.5" x14ac:dyDescent="0.2"/>
  <cols>
    <col min="1" max="1" width="2.28515625" style="34" customWidth="1"/>
    <col min="2" max="2" width="43.7109375" style="34" customWidth="1"/>
    <col min="3" max="4" width="18.85546875" style="34" customWidth="1"/>
    <col min="5" max="16384" width="10.85546875" style="34"/>
  </cols>
  <sheetData>
    <row r="2" spans="2:4" ht="35.1" customHeight="1" x14ac:dyDescent="0.2">
      <c r="B2" s="13" t="s">
        <v>48</v>
      </c>
      <c r="C2" s="14"/>
      <c r="D2" s="15"/>
    </row>
    <row r="3" spans="2:4" s="33" customFormat="1" ht="23.1" customHeight="1" x14ac:dyDescent="0.2">
      <c r="B3" s="40" t="s">
        <v>49</v>
      </c>
      <c r="C3" s="72" t="s">
        <v>50</v>
      </c>
      <c r="D3" s="72" t="s">
        <v>51</v>
      </c>
    </row>
    <row r="4" spans="2:4" ht="23.1" customHeight="1" x14ac:dyDescent="0.2">
      <c r="B4" s="70" t="s">
        <v>69</v>
      </c>
      <c r="C4" s="64">
        <v>14500000</v>
      </c>
      <c r="D4" s="64">
        <v>65000000</v>
      </c>
    </row>
    <row r="5" spans="2:4" ht="23.1" customHeight="1" x14ac:dyDescent="0.2">
      <c r="B5" s="71" t="s">
        <v>70</v>
      </c>
      <c r="C5" s="65">
        <v>1253400</v>
      </c>
      <c r="D5" s="65">
        <v>2350000</v>
      </c>
    </row>
    <row r="6" spans="2:4" ht="23.1" customHeight="1" x14ac:dyDescent="0.2">
      <c r="B6" s="71" t="s">
        <v>52</v>
      </c>
      <c r="C6" s="65">
        <v>315000</v>
      </c>
      <c r="D6" s="65">
        <v>450000</v>
      </c>
    </row>
    <row r="7" spans="2:4" ht="23.1" customHeight="1" x14ac:dyDescent="0.2">
      <c r="B7" s="71" t="s">
        <v>71</v>
      </c>
      <c r="C7" s="65">
        <v>895000</v>
      </c>
      <c r="D7" s="65">
        <v>1950000</v>
      </c>
    </row>
    <row r="8" spans="2:4" ht="23.1" customHeight="1" x14ac:dyDescent="0.2">
      <c r="B8" s="71" t="s">
        <v>72</v>
      </c>
      <c r="C8" s="65">
        <v>235000</v>
      </c>
      <c r="D8" s="65">
        <v>450000</v>
      </c>
    </row>
    <row r="9" spans="2:4" ht="23.1" customHeight="1" x14ac:dyDescent="0.2">
      <c r="B9" s="71" t="s">
        <v>53</v>
      </c>
      <c r="C9" s="66">
        <v>0.6</v>
      </c>
      <c r="D9" s="66">
        <v>0.55000000000000004</v>
      </c>
    </row>
    <row r="10" spans="2:4" ht="23.1" customHeight="1" x14ac:dyDescent="0.2">
      <c r="B10" s="71" t="s">
        <v>73</v>
      </c>
      <c r="C10" s="65">
        <v>125000</v>
      </c>
      <c r="D10" s="65">
        <v>320000</v>
      </c>
    </row>
    <row r="11" spans="2:4" ht="23.1" customHeight="1" x14ac:dyDescent="0.2">
      <c r="B11" s="71" t="s">
        <v>74</v>
      </c>
      <c r="C11" s="65">
        <v>110000</v>
      </c>
      <c r="D11" s="65">
        <v>130000</v>
      </c>
    </row>
    <row r="12" spans="2:4" ht="23.1" customHeight="1" x14ac:dyDescent="0.2">
      <c r="B12" s="71" t="s">
        <v>54</v>
      </c>
      <c r="C12" s="65">
        <v>6500000</v>
      </c>
      <c r="D12" s="65">
        <v>22000000</v>
      </c>
    </row>
    <row r="13" spans="2:4" ht="23.1" customHeight="1" x14ac:dyDescent="0.2">
      <c r="B13" s="71" t="s">
        <v>55</v>
      </c>
      <c r="C13" s="65">
        <v>1600000</v>
      </c>
      <c r="D13" s="65">
        <v>2200000</v>
      </c>
    </row>
    <row r="14" spans="2:4" s="33" customFormat="1" ht="23.1" customHeight="1" x14ac:dyDescent="0.2">
      <c r="B14" s="73" t="s">
        <v>56</v>
      </c>
      <c r="C14" s="74"/>
      <c r="D14" s="75"/>
    </row>
    <row r="15" spans="2:4" ht="23.1" customHeight="1" x14ac:dyDescent="0.2">
      <c r="B15" s="71" t="s">
        <v>57</v>
      </c>
      <c r="C15" s="67"/>
      <c r="D15" s="67"/>
    </row>
    <row r="16" spans="2:4" ht="23.1" customHeight="1" x14ac:dyDescent="0.2">
      <c r="B16" s="71" t="s">
        <v>75</v>
      </c>
      <c r="C16" s="68"/>
      <c r="D16" s="68"/>
    </row>
    <row r="17" spans="2:5" ht="23.1" customHeight="1" x14ac:dyDescent="0.2">
      <c r="B17" s="71" t="s">
        <v>76</v>
      </c>
      <c r="C17" s="68"/>
      <c r="D17" s="68"/>
    </row>
    <row r="18" spans="2:5" ht="23.1" customHeight="1" x14ac:dyDescent="0.2">
      <c r="B18" s="71" t="s">
        <v>58</v>
      </c>
      <c r="C18" s="67"/>
      <c r="D18" s="67"/>
      <c r="E18" s="69"/>
    </row>
    <row r="19" spans="2:5" ht="23.1" customHeight="1" x14ac:dyDescent="0.2">
      <c r="B19" s="71" t="s">
        <v>77</v>
      </c>
      <c r="C19" s="68"/>
      <c r="D19" s="68"/>
    </row>
    <row r="20" spans="2:5" ht="23.1" customHeight="1" x14ac:dyDescent="0.2">
      <c r="B20" s="71" t="s">
        <v>78</v>
      </c>
      <c r="C20" s="68"/>
      <c r="D20" s="68"/>
    </row>
    <row r="21" spans="2:5" ht="23.1" customHeight="1" x14ac:dyDescent="0.2">
      <c r="B21" s="71" t="s">
        <v>79</v>
      </c>
      <c r="C21" s="68"/>
      <c r="D21" s="68"/>
    </row>
    <row r="22" spans="2:5" ht="23.1" customHeight="1" x14ac:dyDescent="0.2">
      <c r="B22" s="71" t="s">
        <v>2</v>
      </c>
      <c r="C22" s="67"/>
      <c r="D22" s="67"/>
    </row>
    <row r="23" spans="2:5" ht="23.1" customHeight="1" x14ac:dyDescent="0.2">
      <c r="B23" s="71" t="s">
        <v>1</v>
      </c>
      <c r="C23" s="67"/>
      <c r="D23" s="67"/>
    </row>
  </sheetData>
  <mergeCells count="1">
    <mergeCell ref="B14:D14"/>
  </mergeCells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Produktlebenszyklus</vt:lpstr>
      <vt:lpstr>Technon AG</vt:lpstr>
      <vt:lpstr>Levamon-Tessara</vt:lpstr>
      <vt:lpstr>Trecking Bikes</vt:lpstr>
      <vt:lpstr>Kalkulation Typ A</vt:lpstr>
      <vt:lpstr>Kalkulation Typ B</vt:lpstr>
      <vt:lpstr>Sanapharm KG</vt:lpstr>
    </vt:vector>
  </TitlesOfParts>
  <Company>Berufsbildende Schulen Osterholz-Scharmbeck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Arndt Beiderwieden</dc:creator>
  <cp:lastModifiedBy>Thomas Gorontzy</cp:lastModifiedBy>
  <cp:lastPrinted>2009-06-18T06:24:25Z</cp:lastPrinted>
  <dcterms:created xsi:type="dcterms:W3CDTF">2005-12-23T18:37:54Z</dcterms:created>
  <dcterms:modified xsi:type="dcterms:W3CDTF">2026-09-04T18:34:22Z</dcterms:modified>
</cp:coreProperties>
</file>