
<file path=[Content_Types].xml><?xml version="1.0" encoding="utf-8"?>
<Types xmlns="http://schemas.openxmlformats.org/package/2006/content-types">
  <Default Extension="rels" ContentType="application/vnd.openxmlformats-package.relationships+xml"/>
  <Default Extension="xml" ContentType="application/xml"/>
  <Override PartName="/xl/workbook.xml" ContentType="application/vnd.openxmlformats-officedocument.spreadsheetml.template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30326"/>
  <workbookPr date1904="1"/>
  <mc:AlternateContent xmlns:mc="http://schemas.openxmlformats.org/markup-compatibility/2006">
    <mc:Choice Requires="x15">
      <x15ac:absPath xmlns:x15ac="http://schemas.microsoft.com/office/spreadsheetml/2010/11/ac" url="D:\OneDrive\Git-Projekte\PC-Konfigurator\Datei-Vorlagen\Careli GmbH\Unterlagen\"/>
    </mc:Choice>
  </mc:AlternateContent>
  <xr:revisionPtr revIDLastSave="0" documentId="13_ncr:1_{A6573DF3-512E-414A-9C6C-F2EDAE5C7213}" xr6:coauthVersionLast="47" xr6:coauthVersionMax="47" xr10:uidLastSave="{00000000-0000-0000-0000-000000000000}"/>
  <bookViews>
    <workbookView xWindow="-120" yWindow="-120" windowWidth="29040" windowHeight="15720" tabRatio="877" xr2:uid="{00000000-000D-0000-FFFF-FFFF00000000}"/>
  </bookViews>
  <sheets>
    <sheet name="Daten für Situationsanalysen" sheetId="8" r:id="rId1"/>
    <sheet name="Marktgrößenanalyse" sheetId="18" r:id="rId2"/>
    <sheet name="Produktlebenszyklusanalysen" sheetId="15" r:id="rId3"/>
    <sheet name="Portfolioanalyse" sheetId="19" r:id="rId4"/>
    <sheet name="Preiselastizität der Nachfrage" sheetId="20" r:id="rId5"/>
    <sheet name="Preiskalkulation" sheetId="17" r:id="rId6"/>
    <sheet name="Mediaplan" sheetId="22" r:id="rId7"/>
    <sheet name="Betriebserfolg" sheetId="10" r:id="rId8"/>
    <sheet name="Werbeerfolg" sheetId="2" r:id="rId9"/>
    <sheet name="Deckungsbeitragserfolg" sheetId="9" r:id="rId10"/>
    <sheet name="E-Commerce-Erfolg" sheetId="23" r:id="rId11"/>
  </sheets>
  <calcPr calcId="191029" concurrentCalc="0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C8" i="23" l="1"/>
  <c r="C9" i="23"/>
  <c r="D8" i="23"/>
  <c r="D9" i="23"/>
  <c r="E8" i="23"/>
  <c r="E9" i="23"/>
  <c r="C4" i="23"/>
  <c r="D4" i="23"/>
  <c r="E4" i="23"/>
  <c r="C5" i="23"/>
  <c r="D5" i="23"/>
  <c r="E5" i="23"/>
  <c r="G16" i="8"/>
  <c r="F16" i="8"/>
  <c r="E16" i="8"/>
  <c r="D16" i="8"/>
</calcChain>
</file>

<file path=xl/sharedStrings.xml><?xml version="1.0" encoding="utf-8"?>
<sst xmlns="http://schemas.openxmlformats.org/spreadsheetml/2006/main" count="218" uniqueCount="159">
  <si>
    <t>Careli
Produktgruppe</t>
  </si>
  <si>
    <t>Businesstaschen</t>
  </si>
  <si>
    <t>Reisetaschen</t>
  </si>
  <si>
    <t>Damenhandtaschen</t>
  </si>
  <si>
    <t>Portfolioanalyse</t>
  </si>
  <si>
    <t>Umsatzentwicklung der Produktgruppen (in %)</t>
  </si>
  <si>
    <t>Werbeerfolgskontrolle Careli GmbH: Geschäftsjahr</t>
  </si>
  <si>
    <t>Ist-Deckungsbeitrag (%)</t>
  </si>
  <si>
    <t>Soll-Deckungsbeitrag (%)</t>
  </si>
  <si>
    <t>Soll-Ist-Abweichung (%)</t>
  </si>
  <si>
    <t>Quartal I</t>
  </si>
  <si>
    <t>Quartal II</t>
  </si>
  <si>
    <t>Quartal III</t>
  </si>
  <si>
    <t>Quartal IV</t>
  </si>
  <si>
    <t>Soll-Ist-Abweichungen: Deckungsbeiträge "study-line"</t>
  </si>
  <si>
    <t>Kosten</t>
  </si>
  <si>
    <t>Gewinn/Verlust</t>
  </si>
  <si>
    <t>Abweichg.
(%)</t>
  </si>
  <si>
    <t>Gesamt</t>
  </si>
  <si>
    <t>study-line</t>
  </si>
  <si>
    <t>Outdoor-Rucksäcke</t>
  </si>
  <si>
    <t>Kennzahl</t>
  </si>
  <si>
    <t>Psychologischer Werbeerfolg</t>
  </si>
  <si>
    <t>Ökonomischer Werbeerfolg</t>
  </si>
  <si>
    <t>Soll-Werte</t>
  </si>
  <si>
    <t>Ist-Werte</t>
  </si>
  <si>
    <t>Abweichung in %</t>
  </si>
  <si>
    <t>Gewinn</t>
  </si>
  <si>
    <t>Umsatz</t>
  </si>
  <si>
    <t>Vorjahresumsätze Careli GmbH (in Mio. EUR)</t>
  </si>
  <si>
    <t>Marktanalyse und -prognose: Taschenmarktsegmente Deutschland (Schätzwerte)</t>
  </si>
  <si>
    <t>Vorjahr -3</t>
  </si>
  <si>
    <t>Werberendite (%)</t>
  </si>
  <si>
    <t>Werbebudgetquote (%)</t>
  </si>
  <si>
    <t>Bekanntheitsgrad (%)</t>
  </si>
  <si>
    <t>Imageerfolg (%)</t>
  </si>
  <si>
    <t>Produktgruppe</t>
  </si>
  <si>
    <t>Vorjahr -2</t>
  </si>
  <si>
    <t>Vorjahr -1</t>
  </si>
  <si>
    <t>Vorjahr</t>
  </si>
  <si>
    <t>female</t>
  </si>
  <si>
    <t>business</t>
  </si>
  <si>
    <t>traveller</t>
  </si>
  <si>
    <t>outdoor</t>
  </si>
  <si>
    <t>Summen</t>
  </si>
  <si>
    <t>Marktsegment</t>
  </si>
  <si>
    <t>=</t>
  </si>
  <si>
    <t>+</t>
  </si>
  <si>
    <t>Marktanteil (%)</t>
  </si>
  <si>
    <t>Umsatz des stärksten
Wettbewerbers
Vorjahr
(Mio. EUR)</t>
  </si>
  <si>
    <t>Markt-
volumen
Vorjahr
(Mio. EUR)</t>
  </si>
  <si>
    <t>erwartetes
Marktvolumen
Geschäftsjahr
(Mio. EUR)</t>
  </si>
  <si>
    <t>Marktgrößen Vorjahr</t>
  </si>
  <si>
    <t>Careli</t>
  </si>
  <si>
    <t>stärkster 
Wettbewerber</t>
  </si>
  <si>
    <t>restliche 
Anbieter</t>
  </si>
  <si>
    <t>Marktaus-
schöpfungsgrad
Vorjahr
(%)</t>
  </si>
  <si>
    <t>Zuschlagskalkulation</t>
  </si>
  <si>
    <t>Fertigungsmaterial</t>
  </si>
  <si>
    <t>Materialgemeinkosten</t>
  </si>
  <si>
    <t>Materialkosten</t>
  </si>
  <si>
    <t>Fertigungslöhne</t>
  </si>
  <si>
    <t>Fertigungsgemeinkosten</t>
  </si>
  <si>
    <t>Fertigungskosten</t>
  </si>
  <si>
    <t>Herstellkosten</t>
  </si>
  <si>
    <t>Verwaltungsgemeinkosten</t>
  </si>
  <si>
    <t>Vertriebsgemeinkosten</t>
  </si>
  <si>
    <t>Selbstkosten</t>
  </si>
  <si>
    <t>Barverkaufspreis</t>
  </si>
  <si>
    <t>Kundenskonto</t>
  </si>
  <si>
    <t>Zielverkaufspreis</t>
  </si>
  <si>
    <t>Kundenrabatt</t>
  </si>
  <si>
    <t>Listenverkaufspreis</t>
  </si>
  <si>
    <t>Position</t>
  </si>
  <si>
    <t>Preis in EUR</t>
  </si>
  <si>
    <t>weibliche Befragte</t>
  </si>
  <si>
    <t>männliche Befragte</t>
  </si>
  <si>
    <t>30,00 auf 40,00</t>
  </si>
  <si>
    <t>Vorjahr -3
gegenüber Vorjahr -2</t>
  </si>
  <si>
    <t>Vorjahr -2
gegenüber Vorjahr -1</t>
  </si>
  <si>
    <t>Vorjahr -1
gegenüber Vorjahr</t>
  </si>
  <si>
    <t>Anteil am Jahresumsatz 
Careli Vorjahr (in %)</t>
  </si>
  <si>
    <t>relativer Marktanteil
Vorjahr (dezimal)</t>
  </si>
  <si>
    <t>erwartetes Marktwachstum
Geschäftsjahr (in %)</t>
  </si>
  <si>
    <t>30,00 auf 20,00</t>
  </si>
  <si>
    <t>70,00 auf 80,00</t>
  </si>
  <si>
    <t>70,00 auf 60,00</t>
  </si>
  <si>
    <t>Elastizität</t>
  </si>
  <si>
    <t>Wertetabelle</t>
  </si>
  <si>
    <t>Zielgruppe: Junge Frauen</t>
  </si>
  <si>
    <t>Zielgruppe: Junge Männer</t>
  </si>
  <si>
    <t>Werbeträger</t>
  </si>
  <si>
    <t xml:space="preserve">Summe: </t>
  </si>
  <si>
    <t>Januar</t>
  </si>
  <si>
    <t>Februar</t>
  </si>
  <si>
    <t>März</t>
  </si>
  <si>
    <t>April</t>
  </si>
  <si>
    <t>Mai</t>
  </si>
  <si>
    <t>Juni</t>
  </si>
  <si>
    <t>Juli</t>
  </si>
  <si>
    <t>August</t>
  </si>
  <si>
    <t>September</t>
  </si>
  <si>
    <t>Oktober</t>
  </si>
  <si>
    <t>November</t>
  </si>
  <si>
    <t>Dezember</t>
  </si>
  <si>
    <t>Preisänderung 
in %</t>
  </si>
  <si>
    <t>Absatzänderung 
in Stück</t>
  </si>
  <si>
    <t>Absatzänderung 
in %</t>
  </si>
  <si>
    <t>Umsatzänderung 
(EUR)</t>
  </si>
  <si>
    <t>Onlineshop-Daten Careli (Stand: 31. Dezember 20..)</t>
  </si>
  <si>
    <t>Okt</t>
  </si>
  <si>
    <t>Nov</t>
  </si>
  <si>
    <t>Dez</t>
  </si>
  <si>
    <t>Verweildauer (Sekunden)</t>
  </si>
  <si>
    <t>Anzahl Bestellungen (Stück)</t>
  </si>
  <si>
    <t>Onlineshop Umsatz (€)</t>
  </si>
  <si>
    <t>Retouren (€)</t>
  </si>
  <si>
    <t>Gesamtumsatz Careli (€)</t>
  </si>
  <si>
    <t>Quartal 4</t>
  </si>
  <si>
    <t>Soll</t>
  </si>
  <si>
    <t>Ist</t>
  </si>
  <si>
    <t>E-Commerce-Anteil (%)</t>
  </si>
  <si>
    <t>Conversion Rate (%)</t>
  </si>
  <si>
    <t>Warenkorbwert (€)</t>
  </si>
  <si>
    <t>Retourenquote (%)</t>
  </si>
  <si>
    <t xml:space="preserve">Anzahl Besucher des Onlineshops </t>
  </si>
  <si>
    <t>Anzahl Besucher, die nur eine Seite aufgerufen haben</t>
  </si>
  <si>
    <t>Anzahl Besucher (Unique Vistors)</t>
  </si>
  <si>
    <t>Verweildauer (Sekunden.)</t>
  </si>
  <si>
    <t>Absprungrate (Bounce Rate) (%)</t>
  </si>
  <si>
    <t>Marktvolumen
(Mio. €)</t>
  </si>
  <si>
    <t>Marktpotenzial
(Mio. €)</t>
  </si>
  <si>
    <t>Preisänderung von ... (€)</t>
  </si>
  <si>
    <t>Betrag (€)</t>
  </si>
  <si>
    <t>Format</t>
  </si>
  <si>
    <t>Anzahl
Schaltungen</t>
  </si>
  <si>
    <t>Kosten (€)</t>
  </si>
  <si>
    <t>M E D I A P L A N   2 0 . .</t>
  </si>
  <si>
    <t>Print</t>
  </si>
  <si>
    <t>TV</t>
  </si>
  <si>
    <t>Radio</t>
  </si>
  <si>
    <t>Web</t>
  </si>
  <si>
    <t>Soll
(Mio. €)</t>
  </si>
  <si>
    <t>Ist
(Mio. €)</t>
  </si>
  <si>
    <t>Anzahl potenzieller Kunden in Deutschland</t>
  </si>
  <si>
    <t>Gesamtkosten aller Werbemaßnahmen (€)</t>
  </si>
  <si>
    <t>Kosten aller Anzeigenkampagnen in verschiedenen Zeitschriften (€)</t>
  </si>
  <si>
    <t>Anzahl der erreichten Zeitschriftenleser</t>
  </si>
  <si>
    <t>Anzahl potenzieller Kunden, die die Marke „Careli“ kennen</t>
  </si>
  <si>
    <t>Durch Werbung erzielter Umsatzzuwachs (€)</t>
  </si>
  <si>
    <t>Anzahl der potentenziellen Kunden, welche die Marke "Careli"
mit dem gewünschten Image verbinden</t>
  </si>
  <si>
    <t>Werbegewinn (€)</t>
  </si>
  <si>
    <t>Tausenderpreis (Anzeigenkampagne, €)</t>
  </si>
  <si>
    <t>Umsatz (Tsd. €)</t>
  </si>
  <si>
    <t>Variable Kosten (Tsd. €)</t>
  </si>
  <si>
    <t>Ist-Deckungsbeitrag (Tsd. €)</t>
  </si>
  <si>
    <t>Abweichung (%)</t>
  </si>
  <si>
    <t>Controllingdaten Werbeerfolg (Istwerte Geschäftsjahr in EUR)</t>
  </si>
  <si>
    <t>Zuschlagssatz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</si>
</sst>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3">
    <numFmt numFmtId="164" formatCode="#,##0.0"/>
    <numFmt numFmtId="165" formatCode="0.0%"/>
    <numFmt numFmtId="166" formatCode="0.0"/>
  </numFmts>
  <fonts count="22" x14ac:knownFonts="1">
    <font>
      <sz val="10"/>
      <name val="Arial"/>
    </font>
    <font>
      <sz val="10"/>
      <name val="Arial"/>
      <family val="2"/>
    </font>
    <font>
      <sz val="8"/>
      <name val="Verdana"/>
      <family val="2"/>
    </font>
    <font>
      <sz val="8"/>
      <name val="Arial"/>
      <family val="2"/>
    </font>
    <font>
      <b/>
      <sz val="12"/>
      <name val="Aptos"/>
      <family val="2"/>
    </font>
    <font>
      <b/>
      <sz val="11"/>
      <name val="Aptos"/>
      <family val="2"/>
    </font>
    <font>
      <sz val="11"/>
      <name val="Aptos"/>
      <family val="2"/>
    </font>
    <font>
      <b/>
      <sz val="12"/>
      <color indexed="8"/>
      <name val="Aptos"/>
      <family val="2"/>
    </font>
    <font>
      <b/>
      <sz val="10"/>
      <name val="Aptos"/>
      <family val="2"/>
    </font>
    <font>
      <sz val="10"/>
      <name val="Aptos"/>
      <family val="2"/>
    </font>
    <font>
      <b/>
      <sz val="10"/>
      <color indexed="8"/>
      <name val="Aptos"/>
      <family val="2"/>
    </font>
    <font>
      <sz val="10"/>
      <color rgb="FF0000FF"/>
      <name val="Aptos"/>
      <family val="2"/>
    </font>
    <font>
      <sz val="10"/>
      <color indexed="12"/>
      <name val="Aptos"/>
      <family val="2"/>
    </font>
    <font>
      <b/>
      <sz val="10"/>
      <color rgb="FFFF0000"/>
      <name val="Aptos"/>
      <family val="2"/>
    </font>
    <font>
      <b/>
      <sz val="10"/>
      <color theme="4"/>
      <name val="Aptos"/>
      <family val="2"/>
    </font>
    <font>
      <b/>
      <u/>
      <sz val="10"/>
      <color indexed="8"/>
      <name val="Aptos"/>
      <family val="2"/>
    </font>
    <font>
      <sz val="10"/>
      <color indexed="8"/>
      <name val="Aptos"/>
      <family val="2"/>
    </font>
    <font>
      <b/>
      <sz val="10"/>
      <color indexed="10"/>
      <name val="Aptos"/>
      <family val="2"/>
    </font>
    <font>
      <sz val="10"/>
      <color indexed="10"/>
      <name val="Aptos"/>
      <family val="2"/>
    </font>
    <font>
      <b/>
      <sz val="10"/>
      <color theme="1"/>
      <name val="Aptos"/>
      <family val="2"/>
    </font>
    <font>
      <sz val="10"/>
      <color theme="1"/>
      <name val="Aptos"/>
      <family val="2"/>
    </font>
    <font>
      <b/>
      <sz val="12"/>
      <color theme="1"/>
      <name val="Aptos"/>
      <family val="2"/>
    </font>
  </fonts>
  <fills count="8">
    <fill>
      <patternFill patternType="none"/>
    </fill>
    <fill>
      <patternFill patternType="gray125"/>
    </fill>
    <fill>
      <patternFill patternType="solid">
        <fgColor indexed="9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0"/>
        <bgColor rgb="FF000000"/>
      </patternFill>
    </fill>
    <fill>
      <patternFill patternType="solid">
        <fgColor theme="4" tint="0.79998168889431442"/>
        <bgColor indexed="64"/>
      </patternFill>
    </fill>
    <fill>
      <patternFill patternType="solid">
        <fgColor theme="4" tint="0.79998168889431442"/>
        <bgColor rgb="FF000000"/>
      </patternFill>
    </fill>
    <fill>
      <patternFill patternType="solid">
        <fgColor theme="8" tint="0.79998168889431442"/>
        <bgColor rgb="FF000000"/>
      </patternFill>
    </fill>
  </fills>
  <borders count="10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</borders>
  <cellStyleXfs count="2">
    <xf numFmtId="0" fontId="0" fillId="0" borderId="0"/>
    <xf numFmtId="9" fontId="1" fillId="0" borderId="0" applyFont="0" applyFill="0" applyBorder="0" applyAlignment="0" applyProtection="0"/>
  </cellStyleXfs>
  <cellXfs count="153">
    <xf numFmtId="0" fontId="0" fillId="0" borderId="0" xfId="0"/>
    <xf numFmtId="0" fontId="6" fillId="2" borderId="0" xfId="0" applyFont="1" applyFill="1" applyAlignment="1">
      <alignment horizontal="center" vertical="center"/>
    </xf>
    <xf numFmtId="4" fontId="6" fillId="2" borderId="0" xfId="0" applyNumberFormat="1" applyFont="1" applyFill="1" applyAlignment="1">
      <alignment horizontal="left" vertical="center"/>
    </xf>
    <xf numFmtId="4" fontId="6" fillId="2" borderId="0" xfId="0" applyNumberFormat="1" applyFont="1" applyFill="1" applyAlignment="1">
      <alignment horizontal="center" vertical="center"/>
    </xf>
    <xf numFmtId="0" fontId="6" fillId="2" borderId="0" xfId="0" applyFont="1" applyFill="1" applyAlignment="1">
      <alignment horizontal="left" vertical="center"/>
    </xf>
    <xf numFmtId="3" fontId="6" fillId="2" borderId="0" xfId="0" applyNumberFormat="1" applyFont="1" applyFill="1" applyAlignment="1">
      <alignment horizontal="center" vertical="center"/>
    </xf>
    <xf numFmtId="0" fontId="6" fillId="3" borderId="0" xfId="0" applyFont="1" applyFill="1" applyAlignment="1">
      <alignment vertical="center"/>
    </xf>
    <xf numFmtId="0" fontId="5" fillId="3" borderId="0" xfId="0" applyFont="1" applyFill="1" applyAlignment="1">
      <alignment vertical="center"/>
    </xf>
    <xf numFmtId="0" fontId="6" fillId="3" borderId="0" xfId="0" applyFont="1" applyFill="1" applyAlignment="1">
      <alignment horizontal="center" vertical="center"/>
    </xf>
    <xf numFmtId="0" fontId="8" fillId="2" borderId="1" xfId="0" applyFont="1" applyFill="1" applyBorder="1" applyAlignment="1">
      <alignment horizontal="left" vertical="center"/>
    </xf>
    <xf numFmtId="164" fontId="9" fillId="2" borderId="1" xfId="0" applyNumberFormat="1" applyFont="1" applyFill="1" applyBorder="1" applyAlignment="1">
      <alignment horizontal="right" vertical="center"/>
    </xf>
    <xf numFmtId="9" fontId="9" fillId="2" borderId="1" xfId="1" applyFont="1" applyFill="1" applyBorder="1" applyAlignment="1">
      <alignment horizontal="right" vertical="center"/>
    </xf>
    <xf numFmtId="0" fontId="10" fillId="2" borderId="1" xfId="0" applyFont="1" applyFill="1" applyBorder="1" applyAlignment="1">
      <alignment horizontal="left" vertical="center"/>
    </xf>
    <xf numFmtId="164" fontId="10" fillId="2" borderId="1" xfId="0" applyNumberFormat="1" applyFont="1" applyFill="1" applyBorder="1" applyAlignment="1">
      <alignment horizontal="right" vertical="center"/>
    </xf>
    <xf numFmtId="0" fontId="11" fillId="2" borderId="1" xfId="0" applyFont="1" applyFill="1" applyBorder="1" applyAlignment="1">
      <alignment horizontal="left" vertical="center"/>
    </xf>
    <xf numFmtId="3" fontId="11" fillId="2" borderId="1" xfId="0" applyNumberFormat="1" applyFont="1" applyFill="1" applyBorder="1" applyAlignment="1">
      <alignment horizontal="center" vertical="center"/>
    </xf>
    <xf numFmtId="10" fontId="11" fillId="2" borderId="1" xfId="0" applyNumberFormat="1" applyFont="1" applyFill="1" applyBorder="1" applyAlignment="1">
      <alignment horizontal="center" vertical="center"/>
    </xf>
    <xf numFmtId="4" fontId="11" fillId="2" borderId="1" xfId="0" applyNumberFormat="1" applyFont="1" applyFill="1" applyBorder="1" applyAlignment="1">
      <alignment horizontal="center" vertical="center"/>
    </xf>
    <xf numFmtId="0" fontId="4" fillId="5" borderId="6" xfId="0" applyFont="1" applyFill="1" applyBorder="1" applyAlignment="1">
      <alignment horizontal="centerContinuous" vertical="center"/>
    </xf>
    <xf numFmtId="0" fontId="5" fillId="5" borderId="7" xfId="0" applyFont="1" applyFill="1" applyBorder="1" applyAlignment="1">
      <alignment horizontal="centerContinuous" vertical="center"/>
    </xf>
    <xf numFmtId="0" fontId="5" fillId="5" borderId="8" xfId="0" applyFont="1" applyFill="1" applyBorder="1" applyAlignment="1">
      <alignment horizontal="centerContinuous" vertical="center"/>
    </xf>
    <xf numFmtId="0" fontId="8" fillId="5" borderId="2" xfId="0" applyFont="1" applyFill="1" applyBorder="1" applyAlignment="1">
      <alignment horizontal="left" vertical="center"/>
    </xf>
    <xf numFmtId="0" fontId="8" fillId="5" borderId="2" xfId="0" applyFont="1" applyFill="1" applyBorder="1" applyAlignment="1">
      <alignment horizontal="center" vertical="center" wrapText="1"/>
    </xf>
    <xf numFmtId="0" fontId="8" fillId="5" borderId="6" xfId="0" applyFont="1" applyFill="1" applyBorder="1" applyAlignment="1">
      <alignment horizontal="center" vertical="center"/>
    </xf>
    <xf numFmtId="0" fontId="8" fillId="5" borderId="7" xfId="0" applyFont="1" applyFill="1" applyBorder="1" applyAlignment="1">
      <alignment horizontal="center" vertical="center"/>
    </xf>
    <xf numFmtId="0" fontId="8" fillId="5" borderId="8" xfId="0" applyFont="1" applyFill="1" applyBorder="1" applyAlignment="1">
      <alignment horizontal="center" vertical="center"/>
    </xf>
    <xf numFmtId="0" fontId="8" fillId="5" borderId="3" xfId="0" applyFont="1" applyFill="1" applyBorder="1" applyAlignment="1">
      <alignment horizontal="left" vertical="center"/>
    </xf>
    <xf numFmtId="0" fontId="8" fillId="5" borderId="3" xfId="0" applyFont="1" applyFill="1" applyBorder="1" applyAlignment="1">
      <alignment horizontal="center" vertical="center" wrapText="1"/>
    </xf>
    <xf numFmtId="0" fontId="8" fillId="5" borderId="1" xfId="0" applyFont="1" applyFill="1" applyBorder="1" applyAlignment="1">
      <alignment horizontal="center" vertical="center" wrapText="1"/>
    </xf>
    <xf numFmtId="0" fontId="8" fillId="5" borderId="3" xfId="0" applyFont="1" applyFill="1" applyBorder="1" applyAlignment="1">
      <alignment horizontal="center" vertical="center"/>
    </xf>
    <xf numFmtId="10" fontId="12" fillId="2" borderId="1" xfId="0" applyNumberFormat="1" applyFont="1" applyFill="1" applyBorder="1" applyAlignment="1">
      <alignment horizontal="center" vertical="center"/>
    </xf>
    <xf numFmtId="0" fontId="8" fillId="5" borderId="1" xfId="0" applyFont="1" applyFill="1" applyBorder="1" applyAlignment="1">
      <alignment horizontal="left" vertical="center" wrapText="1"/>
    </xf>
    <xf numFmtId="4" fontId="12" fillId="2" borderId="1" xfId="0" applyNumberFormat="1" applyFont="1" applyFill="1" applyBorder="1" applyAlignment="1">
      <alignment horizontal="center" vertical="center"/>
    </xf>
    <xf numFmtId="0" fontId="4" fillId="5" borderId="7" xfId="0" applyFont="1" applyFill="1" applyBorder="1" applyAlignment="1">
      <alignment horizontal="centerContinuous" vertical="center"/>
    </xf>
    <xf numFmtId="4" fontId="9" fillId="3" borderId="1" xfId="0" applyNumberFormat="1" applyFont="1" applyFill="1" applyBorder="1" applyAlignment="1">
      <alignment horizontal="right" vertical="center"/>
    </xf>
    <xf numFmtId="0" fontId="9" fillId="3" borderId="1" xfId="0" applyFont="1" applyFill="1" applyBorder="1" applyAlignment="1">
      <alignment horizontal="right" vertical="center"/>
    </xf>
    <xf numFmtId="0" fontId="8" fillId="5" borderId="1" xfId="0" applyFont="1" applyFill="1" applyBorder="1" applyAlignment="1">
      <alignment vertical="center"/>
    </xf>
    <xf numFmtId="0" fontId="8" fillId="5" borderId="6" xfId="0" applyFont="1" applyFill="1" applyBorder="1" applyAlignment="1">
      <alignment horizontal="center" vertical="center" wrapText="1"/>
    </xf>
    <xf numFmtId="0" fontId="8" fillId="5" borderId="1" xfId="0" applyFont="1" applyFill="1" applyBorder="1" applyAlignment="1">
      <alignment horizontal="center" vertical="center"/>
    </xf>
    <xf numFmtId="0" fontId="9" fillId="3" borderId="6" xfId="0" applyFont="1" applyFill="1" applyBorder="1" applyAlignment="1">
      <alignment horizontal="right" vertical="center"/>
    </xf>
    <xf numFmtId="0" fontId="9" fillId="3" borderId="8" xfId="0" applyFont="1" applyFill="1" applyBorder="1" applyAlignment="1">
      <alignment horizontal="right" vertical="center"/>
    </xf>
    <xf numFmtId="4" fontId="9" fillId="3" borderId="0" xfId="0" applyNumberFormat="1" applyFont="1" applyFill="1" applyAlignment="1">
      <alignment horizontal="center" vertical="center"/>
    </xf>
    <xf numFmtId="4" fontId="9" fillId="3" borderId="0" xfId="0" applyNumberFormat="1" applyFont="1" applyFill="1" applyAlignment="1">
      <alignment vertical="center"/>
    </xf>
    <xf numFmtId="4" fontId="9" fillId="3" borderId="0" xfId="0" applyNumberFormat="1" applyFont="1" applyFill="1" applyAlignment="1">
      <alignment horizontal="right" vertical="center"/>
    </xf>
    <xf numFmtId="4" fontId="8" fillId="5" borderId="6" xfId="0" applyNumberFormat="1" applyFont="1" applyFill="1" applyBorder="1" applyAlignment="1">
      <alignment horizontal="left" vertical="center"/>
    </xf>
    <xf numFmtId="4" fontId="8" fillId="5" borderId="7" xfId="0" applyNumberFormat="1" applyFont="1" applyFill="1" applyBorder="1" applyAlignment="1">
      <alignment horizontal="left" vertical="center"/>
    </xf>
    <xf numFmtId="4" fontId="8" fillId="5" borderId="8" xfId="0" applyNumberFormat="1" applyFont="1" applyFill="1" applyBorder="1" applyAlignment="1">
      <alignment horizontal="left" vertical="center"/>
    </xf>
    <xf numFmtId="4" fontId="13" fillId="3" borderId="1" xfId="0" applyNumberFormat="1" applyFont="1" applyFill="1" applyBorder="1" applyAlignment="1">
      <alignment horizontal="right" vertical="center"/>
    </xf>
    <xf numFmtId="49" fontId="9" fillId="3" borderId="3" xfId="0" applyNumberFormat="1" applyFont="1" applyFill="1" applyBorder="1" applyAlignment="1">
      <alignment horizontal="center" vertical="center"/>
    </xf>
    <xf numFmtId="49" fontId="9" fillId="3" borderId="3" xfId="0" applyNumberFormat="1" applyFont="1" applyFill="1" applyBorder="1" applyAlignment="1">
      <alignment vertical="center"/>
    </xf>
    <xf numFmtId="4" fontId="9" fillId="3" borderId="3" xfId="0" applyNumberFormat="1" applyFont="1" applyFill="1" applyBorder="1" applyAlignment="1">
      <alignment horizontal="right" vertical="center"/>
    </xf>
    <xf numFmtId="49" fontId="9" fillId="3" borderId="1" xfId="0" applyNumberFormat="1" applyFont="1" applyFill="1" applyBorder="1" applyAlignment="1">
      <alignment horizontal="center" vertical="center"/>
    </xf>
    <xf numFmtId="9" fontId="9" fillId="3" borderId="1" xfId="0" applyNumberFormat="1" applyFont="1" applyFill="1" applyBorder="1" applyAlignment="1">
      <alignment horizontal="center" vertical="center"/>
    </xf>
    <xf numFmtId="49" fontId="8" fillId="3" borderId="1" xfId="0" applyNumberFormat="1" applyFont="1" applyFill="1" applyBorder="1" applyAlignment="1">
      <alignment horizontal="center" vertical="center"/>
    </xf>
    <xf numFmtId="9" fontId="8" fillId="3" borderId="1" xfId="0" applyNumberFormat="1" applyFont="1" applyFill="1" applyBorder="1" applyAlignment="1">
      <alignment horizontal="center" vertical="center"/>
    </xf>
    <xf numFmtId="4" fontId="8" fillId="3" borderId="1" xfId="0" applyNumberFormat="1" applyFont="1" applyFill="1" applyBorder="1" applyAlignment="1">
      <alignment horizontal="right" vertical="center"/>
    </xf>
    <xf numFmtId="4" fontId="8" fillId="5" borderId="1" xfId="0" applyNumberFormat="1" applyFont="1" applyFill="1" applyBorder="1" applyAlignment="1">
      <alignment horizontal="center" vertical="center"/>
    </xf>
    <xf numFmtId="4" fontId="8" fillId="5" borderId="1" xfId="0" applyNumberFormat="1" applyFont="1" applyFill="1" applyBorder="1" applyAlignment="1">
      <alignment horizontal="center" vertical="center"/>
    </xf>
    <xf numFmtId="4" fontId="8" fillId="5" borderId="1" xfId="0" applyNumberFormat="1" applyFont="1" applyFill="1" applyBorder="1" applyAlignment="1">
      <alignment horizontal="center" vertical="center" wrapText="1"/>
    </xf>
    <xf numFmtId="49" fontId="9" fillId="3" borderId="1" xfId="0" applyNumberFormat="1" applyFont="1" applyFill="1" applyBorder="1" applyAlignment="1">
      <alignment vertical="center"/>
    </xf>
    <xf numFmtId="49" fontId="14" fillId="3" borderId="1" xfId="0" applyNumberFormat="1" applyFont="1" applyFill="1" applyBorder="1" applyAlignment="1">
      <alignment vertical="center"/>
    </xf>
    <xf numFmtId="4" fontId="8" fillId="5" borderId="1" xfId="0" applyNumberFormat="1" applyFont="1" applyFill="1" applyBorder="1" applyAlignment="1">
      <alignment horizontal="left" vertical="center"/>
    </xf>
    <xf numFmtId="0" fontId="9" fillId="4" borderId="0" xfId="0" applyFont="1" applyFill="1" applyAlignment="1">
      <alignment vertical="center"/>
    </xf>
    <xf numFmtId="0" fontId="9" fillId="3" borderId="0" xfId="0" applyFont="1" applyFill="1"/>
    <xf numFmtId="0" fontId="8" fillId="4" borderId="0" xfId="0" applyFont="1" applyFill="1" applyAlignment="1">
      <alignment horizontal="center" vertical="center"/>
    </xf>
    <xf numFmtId="0" fontId="8" fillId="4" borderId="5" xfId="0" applyFont="1" applyFill="1" applyBorder="1" applyAlignment="1">
      <alignment horizontal="center" vertical="center"/>
    </xf>
    <xf numFmtId="0" fontId="9" fillId="4" borderId="3" xfId="0" applyFont="1" applyFill="1" applyBorder="1" applyAlignment="1">
      <alignment vertical="center"/>
    </xf>
    <xf numFmtId="0" fontId="9" fillId="4" borderId="4" xfId="0" applyFont="1" applyFill="1" applyBorder="1" applyAlignment="1">
      <alignment horizontal="center" vertical="center"/>
    </xf>
    <xf numFmtId="4" fontId="9" fillId="4" borderId="4" xfId="0" applyNumberFormat="1" applyFont="1" applyFill="1" applyBorder="1" applyAlignment="1">
      <alignment vertical="center"/>
    </xf>
    <xf numFmtId="0" fontId="9" fillId="4" borderId="4" xfId="0" applyFont="1" applyFill="1" applyBorder="1" applyAlignment="1">
      <alignment vertical="center"/>
    </xf>
    <xf numFmtId="0" fontId="8" fillId="4" borderId="3" xfId="0" applyFont="1" applyFill="1" applyBorder="1" applyAlignment="1">
      <alignment horizontal="right" vertical="center"/>
    </xf>
    <xf numFmtId="4" fontId="8" fillId="4" borderId="4" xfId="0" applyNumberFormat="1" applyFont="1" applyFill="1" applyBorder="1" applyAlignment="1">
      <alignment vertical="center"/>
    </xf>
    <xf numFmtId="0" fontId="9" fillId="3" borderId="0" xfId="0" applyFont="1" applyFill="1" applyAlignment="1">
      <alignment vertical="center"/>
    </xf>
    <xf numFmtId="0" fontId="4" fillId="6" borderId="1" xfId="0" applyFont="1" applyFill="1" applyBorder="1" applyAlignment="1">
      <alignment horizontal="centerContinuous" vertical="center"/>
    </xf>
    <xf numFmtId="0" fontId="8" fillId="6" borderId="1" xfId="0" applyFont="1" applyFill="1" applyBorder="1" applyAlignment="1">
      <alignment horizontal="centerContinuous" vertical="center"/>
    </xf>
    <xf numFmtId="0" fontId="8" fillId="6" borderId="2" xfId="0" applyFont="1" applyFill="1" applyBorder="1" applyAlignment="1">
      <alignment horizontal="center" vertical="center"/>
    </xf>
    <xf numFmtId="0" fontId="8" fillId="6" borderId="2" xfId="0" applyFont="1" applyFill="1" applyBorder="1" applyAlignment="1">
      <alignment horizontal="center" vertical="center" wrapText="1"/>
    </xf>
    <xf numFmtId="0" fontId="8" fillId="6" borderId="9" xfId="0" applyFont="1" applyFill="1" applyBorder="1" applyAlignment="1">
      <alignment horizontal="center" vertical="center"/>
    </xf>
    <xf numFmtId="0" fontId="8" fillId="6" borderId="9" xfId="0" applyFont="1" applyFill="1" applyBorder="1" applyAlignment="1">
      <alignment horizontal="center" vertical="center" wrapText="1"/>
    </xf>
    <xf numFmtId="0" fontId="8" fillId="6" borderId="3" xfId="0" applyFont="1" applyFill="1" applyBorder="1" applyAlignment="1">
      <alignment horizontal="center" vertical="center"/>
    </xf>
    <xf numFmtId="0" fontId="8" fillId="6" borderId="3" xfId="0" applyFont="1" applyFill="1" applyBorder="1" applyAlignment="1">
      <alignment horizontal="center" vertical="center" wrapText="1"/>
    </xf>
    <xf numFmtId="0" fontId="8" fillId="7" borderId="6" xfId="0" applyFont="1" applyFill="1" applyBorder="1" applyAlignment="1">
      <alignment horizontal="left" vertical="center"/>
    </xf>
    <xf numFmtId="0" fontId="8" fillId="7" borderId="7" xfId="0" applyFont="1" applyFill="1" applyBorder="1" applyAlignment="1">
      <alignment horizontal="left" vertical="center"/>
    </xf>
    <xf numFmtId="0" fontId="8" fillId="7" borderId="8" xfId="0" applyFont="1" applyFill="1" applyBorder="1" applyAlignment="1">
      <alignment horizontal="left" vertical="center"/>
    </xf>
    <xf numFmtId="0" fontId="9" fillId="2" borderId="0" xfId="0" applyFont="1" applyFill="1" applyAlignment="1">
      <alignment horizontal="center" vertical="center"/>
    </xf>
    <xf numFmtId="0" fontId="9" fillId="2" borderId="1" xfId="0" applyFont="1" applyFill="1" applyBorder="1" applyAlignment="1">
      <alignment horizontal="center" vertical="center"/>
    </xf>
    <xf numFmtId="0" fontId="12" fillId="2" borderId="1" xfId="0" applyFont="1" applyFill="1" applyBorder="1" applyAlignment="1">
      <alignment horizontal="center" vertical="center"/>
    </xf>
    <xf numFmtId="0" fontId="9" fillId="0" borderId="0" xfId="0" applyFont="1"/>
    <xf numFmtId="0" fontId="9" fillId="5" borderId="2" xfId="0" applyFont="1" applyFill="1" applyBorder="1" applyAlignment="1">
      <alignment horizontal="center" vertical="center"/>
    </xf>
    <xf numFmtId="0" fontId="8" fillId="5" borderId="1" xfId="0" applyFont="1" applyFill="1" applyBorder="1" applyAlignment="1">
      <alignment horizontal="centerContinuous" vertical="center"/>
    </xf>
    <xf numFmtId="0" fontId="9" fillId="5" borderId="3" xfId="0" applyFont="1" applyFill="1" applyBorder="1" applyAlignment="1">
      <alignment horizontal="center" vertical="center"/>
    </xf>
    <xf numFmtId="0" fontId="8" fillId="5" borderId="1" xfId="0" applyFont="1" applyFill="1" applyBorder="1" applyAlignment="1">
      <alignment horizontal="left" vertical="center"/>
    </xf>
    <xf numFmtId="0" fontId="7" fillId="5" borderId="6" xfId="0" applyFont="1" applyFill="1" applyBorder="1" applyAlignment="1">
      <alignment horizontal="centerContinuous" vertical="center"/>
    </xf>
    <xf numFmtId="0" fontId="15" fillId="5" borderId="8" xfId="0" applyFont="1" applyFill="1" applyBorder="1" applyAlignment="1">
      <alignment horizontal="centerContinuous" vertical="center"/>
    </xf>
    <xf numFmtId="0" fontId="16" fillId="3" borderId="0" xfId="0" applyFont="1" applyFill="1" applyAlignment="1">
      <alignment vertical="center"/>
    </xf>
    <xf numFmtId="0" fontId="9" fillId="5" borderId="1" xfId="0" applyFont="1" applyFill="1" applyBorder="1" applyAlignment="1">
      <alignment horizontal="justify" vertical="center"/>
    </xf>
    <xf numFmtId="3" fontId="16" fillId="3" borderId="1" xfId="0" applyNumberFormat="1" applyFont="1" applyFill="1" applyBorder="1" applyAlignment="1">
      <alignment vertical="center"/>
    </xf>
    <xf numFmtId="0" fontId="16" fillId="5" borderId="1" xfId="0" applyFont="1" applyFill="1" applyBorder="1" applyAlignment="1">
      <alignment vertical="center"/>
    </xf>
    <xf numFmtId="0" fontId="16" fillId="5" borderId="1" xfId="0" applyFont="1" applyFill="1" applyBorder="1" applyAlignment="1">
      <alignment vertical="center" wrapText="1"/>
    </xf>
    <xf numFmtId="0" fontId="10" fillId="3" borderId="0" xfId="0" applyFont="1" applyFill="1" applyAlignment="1">
      <alignment vertical="center"/>
    </xf>
    <xf numFmtId="4" fontId="16" fillId="3" borderId="1" xfId="0" applyNumberFormat="1" applyFont="1" applyFill="1" applyBorder="1" applyAlignment="1">
      <alignment horizontal="right" vertical="center"/>
    </xf>
    <xf numFmtId="4" fontId="12" fillId="3" borderId="1" xfId="0" applyNumberFormat="1" applyFont="1" applyFill="1" applyBorder="1" applyAlignment="1">
      <alignment horizontal="right" vertical="center"/>
    </xf>
    <xf numFmtId="10" fontId="12" fillId="3" borderId="1" xfId="0" applyNumberFormat="1" applyFont="1" applyFill="1" applyBorder="1" applyAlignment="1">
      <alignment horizontal="right" vertical="center"/>
    </xf>
    <xf numFmtId="9" fontId="16" fillId="3" borderId="1" xfId="1" applyFont="1" applyFill="1" applyBorder="1" applyAlignment="1">
      <alignment horizontal="right" vertical="center"/>
    </xf>
    <xf numFmtId="10" fontId="12" fillId="3" borderId="1" xfId="1" applyNumberFormat="1" applyFont="1" applyFill="1" applyBorder="1" applyAlignment="1">
      <alignment horizontal="right" vertical="center"/>
    </xf>
    <xf numFmtId="3" fontId="16" fillId="3" borderId="1" xfId="1" applyNumberFormat="1" applyFont="1" applyFill="1" applyBorder="1" applyAlignment="1">
      <alignment horizontal="right" vertical="center"/>
    </xf>
    <xf numFmtId="4" fontId="12" fillId="3" borderId="1" xfId="1" applyNumberFormat="1" applyFont="1" applyFill="1" applyBorder="1" applyAlignment="1">
      <alignment horizontal="right" vertical="center"/>
    </xf>
    <xf numFmtId="0" fontId="17" fillId="3" borderId="0" xfId="0" applyFont="1" applyFill="1" applyAlignment="1">
      <alignment vertical="center"/>
    </xf>
    <xf numFmtId="0" fontId="16" fillId="3" borderId="0" xfId="0" applyFont="1" applyFill="1" applyAlignment="1">
      <alignment horizontal="center" vertical="center"/>
    </xf>
    <xf numFmtId="4" fontId="16" fillId="3" borderId="0" xfId="0" applyNumberFormat="1" applyFont="1" applyFill="1" applyAlignment="1">
      <alignment vertical="center"/>
    </xf>
    <xf numFmtId="4" fontId="10" fillId="3" borderId="0" xfId="0" applyNumberFormat="1" applyFont="1" applyFill="1" applyAlignment="1">
      <alignment vertical="center"/>
    </xf>
    <xf numFmtId="3" fontId="10" fillId="3" borderId="0" xfId="0" applyNumberFormat="1" applyFont="1" applyFill="1" applyAlignment="1">
      <alignment vertical="center"/>
    </xf>
    <xf numFmtId="0" fontId="10" fillId="5" borderId="7" xfId="0" applyFont="1" applyFill="1" applyBorder="1" applyAlignment="1">
      <alignment horizontal="centerContinuous" vertical="center"/>
    </xf>
    <xf numFmtId="0" fontId="10" fillId="5" borderId="8" xfId="0" applyFont="1" applyFill="1" applyBorder="1" applyAlignment="1">
      <alignment horizontal="centerContinuous" vertical="center"/>
    </xf>
    <xf numFmtId="0" fontId="10" fillId="5" borderId="1" xfId="0" applyFont="1" applyFill="1" applyBorder="1" applyAlignment="1">
      <alignment horizontal="left" vertical="center"/>
    </xf>
    <xf numFmtId="0" fontId="10" fillId="5" borderId="1" xfId="0" applyFont="1" applyFill="1" applyBorder="1" applyAlignment="1">
      <alignment vertical="center"/>
    </xf>
    <xf numFmtId="0" fontId="10" fillId="5" borderId="6" xfId="0" applyFont="1" applyFill="1" applyBorder="1" applyAlignment="1">
      <alignment vertical="center"/>
    </xf>
    <xf numFmtId="0" fontId="10" fillId="5" borderId="7" xfId="0" applyFont="1" applyFill="1" applyBorder="1" applyAlignment="1">
      <alignment vertical="center"/>
    </xf>
    <xf numFmtId="0" fontId="10" fillId="5" borderId="8" xfId="0" applyFont="1" applyFill="1" applyBorder="1" applyAlignment="1">
      <alignment vertical="center"/>
    </xf>
    <xf numFmtId="0" fontId="10" fillId="5" borderId="1" xfId="0" applyFont="1" applyFill="1" applyBorder="1" applyAlignment="1">
      <alignment horizontal="center" vertical="center"/>
    </xf>
    <xf numFmtId="4" fontId="9" fillId="3" borderId="1" xfId="0" applyNumberFormat="1" applyFont="1" applyFill="1" applyBorder="1" applyAlignment="1">
      <alignment vertical="center"/>
    </xf>
    <xf numFmtId="3" fontId="18" fillId="3" borderId="0" xfId="0" applyNumberFormat="1" applyFont="1" applyFill="1" applyAlignment="1">
      <alignment vertical="center"/>
    </xf>
    <xf numFmtId="166" fontId="9" fillId="3" borderId="1" xfId="0" applyNumberFormat="1" applyFont="1" applyFill="1" applyBorder="1" applyAlignment="1">
      <alignment vertical="center"/>
    </xf>
    <xf numFmtId="166" fontId="12" fillId="3" borderId="1" xfId="0" applyNumberFormat="1" applyFont="1" applyFill="1" applyBorder="1" applyAlignment="1">
      <alignment vertical="center"/>
    </xf>
    <xf numFmtId="166" fontId="16" fillId="3" borderId="1" xfId="0" applyNumberFormat="1" applyFont="1" applyFill="1" applyBorder="1" applyAlignment="1">
      <alignment vertical="center"/>
    </xf>
    <xf numFmtId="0" fontId="4" fillId="5" borderId="1" xfId="0" applyFont="1" applyFill="1" applyBorder="1" applyAlignment="1">
      <alignment horizontal="centerContinuous" vertical="center"/>
    </xf>
    <xf numFmtId="0" fontId="9" fillId="5" borderId="1" xfId="0" applyFont="1" applyFill="1" applyBorder="1" applyAlignment="1">
      <alignment vertical="center"/>
    </xf>
    <xf numFmtId="0" fontId="20" fillId="0" borderId="0" xfId="0" applyFont="1"/>
    <xf numFmtId="3" fontId="20" fillId="0" borderId="1" xfId="0" applyNumberFormat="1" applyFont="1" applyBorder="1" applyAlignment="1">
      <alignment horizontal="right" vertical="center" wrapText="1"/>
    </xf>
    <xf numFmtId="165" fontId="19" fillId="0" borderId="1" xfId="0" applyNumberFormat="1" applyFont="1" applyBorder="1" applyAlignment="1">
      <alignment horizontal="right" vertical="center" wrapText="1"/>
    </xf>
    <xf numFmtId="165" fontId="20" fillId="0" borderId="1" xfId="0" applyNumberFormat="1" applyFont="1" applyBorder="1" applyAlignment="1">
      <alignment horizontal="right" vertical="center" wrapText="1"/>
    </xf>
    <xf numFmtId="3" fontId="19" fillId="0" borderId="1" xfId="0" applyNumberFormat="1" applyFont="1" applyBorder="1" applyAlignment="1">
      <alignment horizontal="right" vertical="center" wrapText="1"/>
    </xf>
    <xf numFmtId="164" fontId="19" fillId="0" borderId="1" xfId="0" applyNumberFormat="1" applyFont="1" applyBorder="1" applyAlignment="1">
      <alignment horizontal="right" vertical="center" wrapText="1"/>
    </xf>
    <xf numFmtId="4" fontId="19" fillId="0" borderId="1" xfId="0" applyNumberFormat="1" applyFont="1" applyBorder="1" applyAlignment="1">
      <alignment horizontal="right" vertical="center" wrapText="1"/>
    </xf>
    <xf numFmtId="0" fontId="21" fillId="5" borderId="1" xfId="0" applyFont="1" applyFill="1" applyBorder="1" applyAlignment="1">
      <alignment horizontal="center" vertical="center" wrapText="1"/>
    </xf>
    <xf numFmtId="0" fontId="20" fillId="5" borderId="1" xfId="0" applyFont="1" applyFill="1" applyBorder="1" applyAlignment="1">
      <alignment horizontal="center" vertical="center" wrapText="1"/>
    </xf>
    <xf numFmtId="0" fontId="19" fillId="5" borderId="1" xfId="0" applyFont="1" applyFill="1" applyBorder="1" applyAlignment="1">
      <alignment horizontal="center" vertical="center" wrapText="1"/>
    </xf>
    <xf numFmtId="0" fontId="20" fillId="5" borderId="1" xfId="0" applyFont="1" applyFill="1" applyBorder="1" applyAlignment="1">
      <alignment horizontal="justify" vertical="center" wrapText="1"/>
    </xf>
    <xf numFmtId="0" fontId="19" fillId="5" borderId="2" xfId="0" applyFont="1" applyFill="1" applyBorder="1" applyAlignment="1">
      <alignment horizontal="left" vertical="center" wrapText="1"/>
    </xf>
    <xf numFmtId="0" fontId="19" fillId="5" borderId="1" xfId="0" applyFont="1" applyFill="1" applyBorder="1" applyAlignment="1">
      <alignment horizontal="center" vertical="center" wrapText="1"/>
    </xf>
    <xf numFmtId="0" fontId="19" fillId="5" borderId="3" xfId="0" applyFont="1" applyFill="1" applyBorder="1" applyAlignment="1">
      <alignment horizontal="left" vertical="center" wrapText="1"/>
    </xf>
    <xf numFmtId="0" fontId="20" fillId="5" borderId="1" xfId="0" applyFont="1" applyFill="1" applyBorder="1" applyAlignment="1">
      <alignment horizontal="left" vertical="center" wrapText="1"/>
    </xf>
    <xf numFmtId="165" fontId="20" fillId="5" borderId="1" xfId="0" applyNumberFormat="1" applyFont="1" applyFill="1" applyBorder="1" applyAlignment="1">
      <alignment horizontal="right" vertical="center" wrapText="1"/>
    </xf>
    <xf numFmtId="164" fontId="20" fillId="5" borderId="1" xfId="0" applyNumberFormat="1" applyFont="1" applyFill="1" applyBorder="1" applyAlignment="1">
      <alignment horizontal="right" vertical="center" wrapText="1"/>
    </xf>
    <xf numFmtId="4" fontId="20" fillId="5" borderId="1" xfId="0" applyNumberFormat="1" applyFont="1" applyFill="1" applyBorder="1" applyAlignment="1">
      <alignment horizontal="right" vertical="center" wrapText="1"/>
    </xf>
    <xf numFmtId="0" fontId="20" fillId="0" borderId="0" xfId="0" applyFont="1" applyBorder="1" applyAlignment="1">
      <alignment horizontal="left" vertical="center" wrapText="1"/>
    </xf>
    <xf numFmtId="0" fontId="17" fillId="2" borderId="0" xfId="0" applyFont="1" applyFill="1" applyAlignment="1">
      <alignment horizontal="right" vertical="center"/>
    </xf>
    <xf numFmtId="4" fontId="9" fillId="2" borderId="0" xfId="0" applyNumberFormat="1" applyFont="1" applyFill="1" applyAlignment="1">
      <alignment horizontal="left" vertical="center"/>
    </xf>
    <xf numFmtId="4" fontId="9" fillId="2" borderId="0" xfId="0" applyNumberFormat="1" applyFont="1" applyFill="1" applyAlignment="1">
      <alignment horizontal="center" vertical="center"/>
    </xf>
    <xf numFmtId="0" fontId="9" fillId="2" borderId="0" xfId="0" applyFont="1" applyFill="1" applyAlignment="1">
      <alignment horizontal="left" vertical="center"/>
    </xf>
    <xf numFmtId="0" fontId="4" fillId="5" borderId="8" xfId="0" applyFont="1" applyFill="1" applyBorder="1" applyAlignment="1">
      <alignment horizontal="centerContinuous" vertical="center"/>
    </xf>
    <xf numFmtId="0" fontId="8" fillId="5" borderId="3" xfId="0" applyFont="1" applyFill="1" applyBorder="1" applyAlignment="1">
      <alignment horizontal="center" vertical="center" wrapText="1"/>
    </xf>
    <xf numFmtId="0" fontId="8" fillId="5" borderId="0" xfId="0" applyFont="1" applyFill="1" applyAlignment="1">
      <alignment horizontal="center" vertical="center" wrapText="1"/>
    </xf>
  </cellXfs>
  <cellStyles count="2">
    <cellStyle name="Prozent" xfId="1" builtinId="5"/>
    <cellStyle name="Standard" xfId="0" builtinId="0"/>
  </cellStyles>
  <dxfs count="0"/>
  <tableStyles count="0" defaultTableStyle="TableStyleMedium9" defaultPivotStyle="PivotStyleMedium4"/>
  <colors>
    <indexedColors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000000"/>
      <rgbColor rgb="00FFFFFF"/>
      <rgbColor rgb="00DD0806"/>
      <rgbColor rgb="001FB714"/>
      <rgbColor rgb="000000D4"/>
      <rgbColor rgb="00FCF305"/>
      <rgbColor rgb="00F20884"/>
      <rgbColor rgb="0000ABEA"/>
      <rgbColor rgb="00900000"/>
      <rgbColor rgb="00006411"/>
      <rgbColor rgb="00000090"/>
      <rgbColor rgb="0090713A"/>
      <rgbColor rgb="004600A5"/>
      <rgbColor rgb="00008080"/>
      <rgbColor rgb="00C0C0C0"/>
      <rgbColor rgb="00808080"/>
      <rgbColor rgb="0063AAFE"/>
      <rgbColor rgb="00DD2D32"/>
      <rgbColor rgb="00FFF58C"/>
      <rgbColor rgb="004EE257"/>
      <rgbColor rgb="006711FF"/>
      <rgbColor rgb="00FEA746"/>
      <rgbColor rgb="00865357"/>
      <rgbColor rgb="00A2BD90"/>
      <rgbColor rgb="0063AAFE"/>
      <rgbColor rgb="00DD2D32"/>
      <rgbColor rgb="00FFF58C"/>
      <rgbColor rgb="004EE257"/>
      <rgbColor rgb="006711FF"/>
      <rgbColor rgb="00FEA746"/>
      <rgbColor rgb="00865357"/>
      <rgbColor rgb="00A2BD90"/>
      <rgbColor rgb="0000CCFF"/>
      <rgbColor rgb="00CCFFFF"/>
      <rgbColor rgb="00CCFFCC"/>
      <rgbColor rgb="00FFFF99"/>
      <rgbColor rgb="0099CCFF"/>
      <rgbColor rgb="00FF99CC"/>
      <rgbColor rgb="00CC99FF"/>
      <rgbColor rgb="00FFCC99"/>
      <rgbColor rgb="003366FF"/>
      <rgbColor rgb="0033CCCC"/>
      <rgbColor rgb="0099CC00"/>
      <rgbColor rgb="00FFCC00"/>
      <rgbColor rgb="00FF9900"/>
      <rgbColor rgb="00FF6600"/>
      <rgbColor rgb="00666699"/>
      <rgbColor rgb="00969696"/>
      <rgbColor rgb="00003366"/>
      <rgbColor rgb="00339966"/>
      <rgbColor rgb="00003300"/>
      <rgbColor rgb="00333300"/>
      <rgbColor rgb="00993300"/>
      <rgbColor rgb="00993366"/>
      <rgbColor rgb="00333399"/>
      <rgbColor rgb="00333333"/>
    </indexed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theme" Target="theme/theme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calcChain" Target="calcChain.xml"/><Relationship Id="rId10" Type="http://schemas.openxmlformats.org/officeDocument/2006/relationships/worksheet" Target="worksheets/sheet10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sharedStrings" Target="sharedStrings.xml"/></Relationships>
</file>

<file path=xl/theme/theme1.xml><?xml version="1.0" encoding="utf-8"?>
<a:theme xmlns:a="http://schemas.openxmlformats.org/drawingml/2006/main" name="Design_Careli-Aptos">
  <a:themeElements>
    <a:clrScheme name="Careli">
      <a:dk1>
        <a:srgbClr val="2C2A29"/>
      </a:dk1>
      <a:lt1>
        <a:sysClr val="window" lastClr="FFFFFF"/>
      </a:lt1>
      <a:dk2>
        <a:srgbClr val="CBC9C8"/>
      </a:dk2>
      <a:lt2>
        <a:srgbClr val="EAE9E8"/>
      </a:lt2>
      <a:accent1>
        <a:srgbClr val="883230"/>
      </a:accent1>
      <a:accent2>
        <a:srgbClr val="AA3F3C"/>
      </a:accent2>
      <a:accent3>
        <a:srgbClr val="C05350"/>
      </a:accent3>
      <a:accent4>
        <a:srgbClr val="C55E5B"/>
      </a:accent4>
      <a:accent5>
        <a:srgbClr val="C6605E"/>
      </a:accent5>
      <a:accent6>
        <a:srgbClr val="005D80"/>
      </a:accent6>
      <a:hlink>
        <a:srgbClr val="2C2A29"/>
      </a:hlink>
      <a:folHlink>
        <a:srgbClr val="423F3D"/>
      </a:folHlink>
    </a:clrScheme>
    <a:fontScheme name="Aptos">
      <a:majorFont>
        <a:latin typeface="Aptos"/>
        <a:ea typeface=""/>
        <a:cs typeface=""/>
      </a:majorFont>
      <a:minorFont>
        <a:latin typeface="Aptos"/>
        <a:ea typeface=""/>
        <a:cs typeface="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Design_Careli-Aptos" id="{C98816A0-6FED-40B8-9B9A-00868E3E1DF3}" vid="{D01C2D3E-1E2E-4F61-8446-7F17AECAC605}"/>
    </a:ext>
  </a:extLst>
</a:theme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>
    <pageSetUpPr fitToPage="1"/>
  </sheetPr>
  <dimension ref="B2:H51"/>
  <sheetViews>
    <sheetView tabSelected="1" zoomScaleNormal="100" workbookViewId="0">
      <selection activeCell="H10" sqref="H10"/>
    </sheetView>
  </sheetViews>
  <sheetFormatPr baseColWidth="10" defaultColWidth="10.85546875" defaultRowHeight="13.5" x14ac:dyDescent="0.2"/>
  <cols>
    <col min="1" max="1" width="2.140625" style="84" customWidth="1"/>
    <col min="2" max="2" width="24.28515625" style="84" customWidth="1"/>
    <col min="3" max="3" width="24.28515625" style="149" customWidth="1"/>
    <col min="4" max="7" width="24.28515625" style="84" customWidth="1"/>
    <col min="8" max="8" width="14.28515625" style="84" customWidth="1"/>
    <col min="9" max="9" width="4.28515625" style="84" customWidth="1"/>
    <col min="10" max="16384" width="10.85546875" style="84"/>
  </cols>
  <sheetData>
    <row r="2" spans="2:8" ht="24" customHeight="1" x14ac:dyDescent="0.2">
      <c r="B2" s="18" t="s">
        <v>30</v>
      </c>
      <c r="C2" s="33"/>
      <c r="D2" s="33"/>
      <c r="E2" s="33"/>
      <c r="F2" s="33"/>
      <c r="G2" s="150"/>
    </row>
    <row r="3" spans="2:8" ht="54" x14ac:dyDescent="0.2">
      <c r="B3" s="31" t="s">
        <v>45</v>
      </c>
      <c r="C3" s="151" t="s">
        <v>0</v>
      </c>
      <c r="D3" s="152" t="s">
        <v>50</v>
      </c>
      <c r="E3" s="151" t="s">
        <v>56</v>
      </c>
      <c r="F3" s="151" t="s">
        <v>49</v>
      </c>
      <c r="G3" s="151" t="s">
        <v>51</v>
      </c>
    </row>
    <row r="4" spans="2:8" ht="24" customHeight="1" x14ac:dyDescent="0.2">
      <c r="B4" s="9" t="s">
        <v>1</v>
      </c>
      <c r="C4" s="9" t="s">
        <v>41</v>
      </c>
      <c r="D4" s="10">
        <v>120</v>
      </c>
      <c r="E4" s="11">
        <v>0.88</v>
      </c>
      <c r="F4" s="10">
        <v>19.600000000000001</v>
      </c>
      <c r="G4" s="10">
        <v>130</v>
      </c>
    </row>
    <row r="5" spans="2:8" ht="24" customHeight="1" x14ac:dyDescent="0.2">
      <c r="B5" s="9" t="s">
        <v>2</v>
      </c>
      <c r="C5" s="9" t="s">
        <v>42</v>
      </c>
      <c r="D5" s="10">
        <v>195</v>
      </c>
      <c r="E5" s="11">
        <v>0.85</v>
      </c>
      <c r="F5" s="10">
        <v>22.7</v>
      </c>
      <c r="G5" s="10">
        <v>210</v>
      </c>
    </row>
    <row r="6" spans="2:8" ht="24" customHeight="1" x14ac:dyDescent="0.2">
      <c r="B6" s="9" t="s">
        <v>3</v>
      </c>
      <c r="C6" s="9" t="s">
        <v>40</v>
      </c>
      <c r="D6" s="10">
        <v>290</v>
      </c>
      <c r="E6" s="11">
        <v>0.75</v>
      </c>
      <c r="F6" s="10">
        <v>18.899999999999999</v>
      </c>
      <c r="G6" s="10">
        <v>337</v>
      </c>
    </row>
    <row r="7" spans="2:8" ht="24" customHeight="1" x14ac:dyDescent="0.2">
      <c r="B7" s="9" t="s">
        <v>20</v>
      </c>
      <c r="C7" s="9" t="s">
        <v>43</v>
      </c>
      <c r="D7" s="10">
        <v>255</v>
      </c>
      <c r="E7" s="11">
        <v>0.9</v>
      </c>
      <c r="F7" s="10">
        <v>76</v>
      </c>
      <c r="G7" s="10">
        <v>265</v>
      </c>
    </row>
    <row r="10" spans="2:8" ht="24" customHeight="1" x14ac:dyDescent="0.2">
      <c r="C10" s="18" t="s">
        <v>29</v>
      </c>
      <c r="D10" s="33"/>
      <c r="E10" s="33"/>
      <c r="F10" s="33"/>
      <c r="G10" s="150"/>
      <c r="H10" s="146"/>
    </row>
    <row r="11" spans="2:8" ht="24" customHeight="1" x14ac:dyDescent="0.2">
      <c r="C11" s="38" t="s">
        <v>36</v>
      </c>
      <c r="D11" s="38" t="s">
        <v>31</v>
      </c>
      <c r="E11" s="38" t="s">
        <v>37</v>
      </c>
      <c r="F11" s="38" t="s">
        <v>38</v>
      </c>
      <c r="G11" s="38" t="s">
        <v>39</v>
      </c>
      <c r="H11" s="146"/>
    </row>
    <row r="12" spans="2:8" ht="24" customHeight="1" x14ac:dyDescent="0.2">
      <c r="C12" s="9" t="s">
        <v>41</v>
      </c>
      <c r="D12" s="10">
        <v>11.5</v>
      </c>
      <c r="E12" s="10">
        <v>11.7</v>
      </c>
      <c r="F12" s="10">
        <v>11.8</v>
      </c>
      <c r="G12" s="10">
        <v>11.8</v>
      </c>
      <c r="H12" s="146"/>
    </row>
    <row r="13" spans="2:8" ht="24" customHeight="1" x14ac:dyDescent="0.2">
      <c r="C13" s="9" t="s">
        <v>42</v>
      </c>
      <c r="D13" s="10">
        <v>26.2</v>
      </c>
      <c r="E13" s="10">
        <v>26.4</v>
      </c>
      <c r="F13" s="10">
        <v>26.5</v>
      </c>
      <c r="G13" s="10">
        <v>26.4</v>
      </c>
      <c r="H13" s="146"/>
    </row>
    <row r="14" spans="2:8" ht="24" customHeight="1" x14ac:dyDescent="0.2">
      <c r="C14" s="9" t="s">
        <v>40</v>
      </c>
      <c r="D14" s="10">
        <v>23.3</v>
      </c>
      <c r="E14" s="10">
        <v>26.2</v>
      </c>
      <c r="F14" s="10">
        <v>28.5</v>
      </c>
      <c r="G14" s="10">
        <v>30</v>
      </c>
      <c r="H14" s="146"/>
    </row>
    <row r="15" spans="2:8" ht="24" customHeight="1" x14ac:dyDescent="0.2">
      <c r="C15" s="9" t="s">
        <v>43</v>
      </c>
      <c r="D15" s="10">
        <v>15.5</v>
      </c>
      <c r="E15" s="10">
        <v>14</v>
      </c>
      <c r="F15" s="10">
        <v>12</v>
      </c>
      <c r="G15" s="10">
        <v>8</v>
      </c>
      <c r="H15" s="146"/>
    </row>
    <row r="16" spans="2:8" ht="24" customHeight="1" x14ac:dyDescent="0.2">
      <c r="C16" s="12" t="s">
        <v>44</v>
      </c>
      <c r="D16" s="13">
        <f>SUM(D12:D15)</f>
        <v>76.5</v>
      </c>
      <c r="E16" s="13">
        <f>SUM(E12:E15)</f>
        <v>78.3</v>
      </c>
      <c r="F16" s="13">
        <f>SUM(F12:F15)</f>
        <v>78.8</v>
      </c>
      <c r="G16" s="13">
        <f>SUM(G12:G15)</f>
        <v>76.2</v>
      </c>
      <c r="H16" s="146"/>
    </row>
    <row r="51" spans="3:4" x14ac:dyDescent="0.2">
      <c r="C51" s="147"/>
      <c r="D51" s="148"/>
    </row>
  </sheetData>
  <phoneticPr fontId="2"/>
  <pageMargins left="0.74803149606299213" right="0.74803149606299213" top="0.98425196850393704" bottom="0.98425196850393704" header="0.51181102362204722" footer="0.51181102362204722"/>
  <pageSetup paperSize="9" orientation="portrait" horizontalDpi="4294967292" verticalDpi="4294967292"/>
  <headerFooter alignWithMargins="0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dimension ref="B2:H49"/>
  <sheetViews>
    <sheetView zoomScaleNormal="100" workbookViewId="0">
      <selection activeCell="F14" sqref="F14"/>
    </sheetView>
  </sheetViews>
  <sheetFormatPr baseColWidth="10" defaultColWidth="10.85546875" defaultRowHeight="15" x14ac:dyDescent="0.2"/>
  <cols>
    <col min="1" max="1" width="2.140625" style="1" customWidth="1"/>
    <col min="2" max="2" width="20.85546875" style="1" customWidth="1"/>
    <col min="3" max="3" width="20.85546875" style="4" customWidth="1"/>
    <col min="4" max="7" width="20.85546875" style="1" customWidth="1"/>
    <col min="8" max="8" width="14.28515625" style="1" customWidth="1"/>
    <col min="9" max="9" width="4.28515625" style="1" customWidth="1"/>
    <col min="10" max="16384" width="10.85546875" style="1"/>
  </cols>
  <sheetData>
    <row r="2" spans="2:8" ht="24" customHeight="1" x14ac:dyDescent="0.2">
      <c r="B2" s="18" t="s">
        <v>52</v>
      </c>
      <c r="C2" s="19"/>
      <c r="D2" s="19"/>
      <c r="E2" s="19"/>
      <c r="F2" s="19"/>
      <c r="G2" s="20"/>
      <c r="H2" s="5"/>
    </row>
    <row r="3" spans="2:8" ht="33.950000000000003" customHeight="1" x14ac:dyDescent="0.2">
      <c r="B3" s="21" t="s">
        <v>45</v>
      </c>
      <c r="C3" s="22" t="s">
        <v>130</v>
      </c>
      <c r="D3" s="23" t="s">
        <v>48</v>
      </c>
      <c r="E3" s="24"/>
      <c r="F3" s="25"/>
      <c r="G3" s="22" t="s">
        <v>131</v>
      </c>
    </row>
    <row r="4" spans="2:8" ht="33.950000000000003" customHeight="1" x14ac:dyDescent="0.2">
      <c r="B4" s="26"/>
      <c r="C4" s="27"/>
      <c r="D4" s="28" t="s">
        <v>53</v>
      </c>
      <c r="E4" s="28" t="s">
        <v>54</v>
      </c>
      <c r="F4" s="28" t="s">
        <v>55</v>
      </c>
      <c r="G4" s="29"/>
    </row>
    <row r="5" spans="2:8" ht="24" customHeight="1" x14ac:dyDescent="0.2">
      <c r="B5" s="14"/>
      <c r="C5" s="15"/>
      <c r="D5" s="16"/>
      <c r="E5" s="16"/>
      <c r="F5" s="16"/>
      <c r="G5" s="17"/>
    </row>
    <row r="6" spans="2:8" ht="24" customHeight="1" x14ac:dyDescent="0.2">
      <c r="B6" s="14"/>
      <c r="C6" s="15"/>
      <c r="D6" s="16"/>
      <c r="E6" s="16"/>
      <c r="F6" s="16"/>
      <c r="G6" s="17"/>
    </row>
    <row r="7" spans="2:8" ht="24" customHeight="1" x14ac:dyDescent="0.2">
      <c r="B7" s="14"/>
      <c r="C7" s="15"/>
      <c r="D7" s="16"/>
      <c r="E7" s="16"/>
      <c r="F7" s="16"/>
      <c r="G7" s="17"/>
    </row>
    <row r="8" spans="2:8" ht="24" customHeight="1" x14ac:dyDescent="0.2">
      <c r="B8" s="14"/>
      <c r="C8" s="15"/>
      <c r="D8" s="16"/>
      <c r="E8" s="16"/>
      <c r="F8" s="16"/>
      <c r="G8" s="17"/>
    </row>
    <row r="49" spans="3:4" x14ac:dyDescent="0.2">
      <c r="C49" s="2"/>
      <c r="D49" s="3"/>
    </row>
  </sheetData>
  <mergeCells count="4">
    <mergeCell ref="B3:B4"/>
    <mergeCell ref="C3:C4"/>
    <mergeCell ref="D3:F3"/>
    <mergeCell ref="G3:G4"/>
  </mergeCells>
  <pageMargins left="0.78740157499999996" right="0.78740157499999996" top="0.984251969" bottom="0.984251969" header="0.5" footer="0.5"/>
  <headerFooter alignWithMargins="0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dimension ref="B2:E47"/>
  <sheetViews>
    <sheetView zoomScaleNormal="100" workbookViewId="0">
      <selection activeCell="D17" sqref="D17"/>
    </sheetView>
  </sheetViews>
  <sheetFormatPr baseColWidth="10" defaultColWidth="10.85546875" defaultRowHeight="15" x14ac:dyDescent="0.2"/>
  <cols>
    <col min="1" max="1" width="2.140625" style="1" customWidth="1"/>
    <col min="2" max="2" width="23.7109375" style="4" customWidth="1"/>
    <col min="3" max="5" width="23.7109375" style="1" customWidth="1"/>
    <col min="6" max="6" width="15.42578125" style="1" bestFit="1" customWidth="1"/>
    <col min="7" max="7" width="14.28515625" style="1" customWidth="1"/>
    <col min="8" max="8" width="4.28515625" style="1" customWidth="1"/>
    <col min="9" max="16384" width="10.85546875" style="1"/>
  </cols>
  <sheetData>
    <row r="2" spans="2:5" ht="33.950000000000003" customHeight="1" x14ac:dyDescent="0.2">
      <c r="B2" s="18" t="s">
        <v>5</v>
      </c>
      <c r="C2" s="19"/>
      <c r="D2" s="19"/>
      <c r="E2" s="20"/>
    </row>
    <row r="3" spans="2:5" ht="33.950000000000003" customHeight="1" x14ac:dyDescent="0.2">
      <c r="B3" s="31" t="s">
        <v>0</v>
      </c>
      <c r="C3" s="28" t="s">
        <v>78</v>
      </c>
      <c r="D3" s="28" t="s">
        <v>79</v>
      </c>
      <c r="E3" s="28" t="s">
        <v>80</v>
      </c>
    </row>
    <row r="4" spans="2:5" ht="24" customHeight="1" x14ac:dyDescent="0.2">
      <c r="B4" s="9" t="s">
        <v>41</v>
      </c>
      <c r="C4" s="30"/>
      <c r="D4" s="30"/>
      <c r="E4" s="30"/>
    </row>
    <row r="5" spans="2:5" ht="24" customHeight="1" x14ac:dyDescent="0.2">
      <c r="B5" s="9" t="s">
        <v>42</v>
      </c>
      <c r="C5" s="30"/>
      <c r="D5" s="30"/>
      <c r="E5" s="30"/>
    </row>
    <row r="6" spans="2:5" ht="24" customHeight="1" x14ac:dyDescent="0.2">
      <c r="B6" s="9" t="s">
        <v>40</v>
      </c>
      <c r="C6" s="30"/>
      <c r="D6" s="30"/>
      <c r="E6" s="30"/>
    </row>
    <row r="7" spans="2:5" ht="24" customHeight="1" x14ac:dyDescent="0.2">
      <c r="B7" s="9" t="s">
        <v>43</v>
      </c>
      <c r="C7" s="30"/>
      <c r="D7" s="30"/>
      <c r="E7" s="30"/>
    </row>
    <row r="47" spans="2:3" x14ac:dyDescent="0.2">
      <c r="B47" s="2"/>
      <c r="C47" s="3"/>
    </row>
  </sheetData>
  <pageMargins left="0.78740157499999996" right="0.78740157499999996" top="0.984251969" bottom="0.984251969" header="0.5" footer="0.5"/>
  <pageSetup paperSize="9" orientation="portrait" horizontalDpi="4294967292" verticalDpi="4294967292"/>
  <headerFooter alignWithMargins="0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dimension ref="B2:E50"/>
  <sheetViews>
    <sheetView zoomScaleNormal="100" workbookViewId="0">
      <selection activeCell="B4" sqref="B4:B7"/>
    </sheetView>
  </sheetViews>
  <sheetFormatPr baseColWidth="10" defaultColWidth="10.85546875" defaultRowHeight="15" x14ac:dyDescent="0.2"/>
  <cols>
    <col min="1" max="1" width="3" style="1" customWidth="1"/>
    <col min="2" max="2" width="32.28515625" style="4" customWidth="1"/>
    <col min="3" max="5" width="32.28515625" style="1" customWidth="1"/>
    <col min="6" max="6" width="15.42578125" style="1" bestFit="1" customWidth="1"/>
    <col min="7" max="7" width="14.28515625" style="1" customWidth="1"/>
    <col min="8" max="8" width="4.28515625" style="1" customWidth="1"/>
    <col min="9" max="16384" width="10.85546875" style="1"/>
  </cols>
  <sheetData>
    <row r="2" spans="2:5" ht="24" customHeight="1" x14ac:dyDescent="0.2">
      <c r="B2" s="18" t="s">
        <v>4</v>
      </c>
      <c r="C2" s="33"/>
      <c r="D2" s="19"/>
      <c r="E2" s="20"/>
    </row>
    <row r="3" spans="2:5" ht="33.950000000000003" customHeight="1" x14ac:dyDescent="0.2">
      <c r="B3" s="31" t="s">
        <v>0</v>
      </c>
      <c r="C3" s="28" t="s">
        <v>81</v>
      </c>
      <c r="D3" s="28" t="s">
        <v>82</v>
      </c>
      <c r="E3" s="28" t="s">
        <v>83</v>
      </c>
    </row>
    <row r="4" spans="2:5" ht="24" customHeight="1" x14ac:dyDescent="0.2">
      <c r="B4" s="9" t="s">
        <v>41</v>
      </c>
      <c r="C4" s="30"/>
      <c r="D4" s="32"/>
      <c r="E4" s="30"/>
    </row>
    <row r="5" spans="2:5" ht="24" customHeight="1" x14ac:dyDescent="0.2">
      <c r="B5" s="9" t="s">
        <v>42</v>
      </c>
      <c r="C5" s="30"/>
      <c r="D5" s="32"/>
      <c r="E5" s="30"/>
    </row>
    <row r="6" spans="2:5" ht="24" customHeight="1" x14ac:dyDescent="0.2">
      <c r="B6" s="9" t="s">
        <v>40</v>
      </c>
      <c r="C6" s="30"/>
      <c r="D6" s="32"/>
      <c r="E6" s="30"/>
    </row>
    <row r="7" spans="2:5" ht="24" customHeight="1" x14ac:dyDescent="0.2">
      <c r="B7" s="9" t="s">
        <v>43</v>
      </c>
      <c r="C7" s="30"/>
      <c r="D7" s="32"/>
      <c r="E7" s="30"/>
    </row>
    <row r="50" spans="2:3" x14ac:dyDescent="0.2">
      <c r="B50" s="2"/>
      <c r="C50" s="3"/>
    </row>
  </sheetData>
  <pageMargins left="0.78740157499999996" right="0.78740157499999996" top="0.984251969" bottom="0.984251969" header="0.5" footer="0.5"/>
  <headerFooter alignWithMargins="0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dimension ref="B2:N40"/>
  <sheetViews>
    <sheetView zoomScaleNormal="100" workbookViewId="0">
      <selection activeCell="M23" sqref="M23"/>
    </sheetView>
  </sheetViews>
  <sheetFormatPr baseColWidth="10" defaultColWidth="10.85546875" defaultRowHeight="15" x14ac:dyDescent="0.2"/>
  <cols>
    <col min="1" max="1" width="2.28515625" style="6" customWidth="1"/>
    <col min="2" max="2" width="26.7109375" style="7" customWidth="1"/>
    <col min="3" max="16384" width="10.85546875" style="6"/>
  </cols>
  <sheetData>
    <row r="2" spans="2:14" ht="24" customHeight="1" x14ac:dyDescent="0.2">
      <c r="B2" s="18" t="s">
        <v>88</v>
      </c>
      <c r="C2" s="19"/>
      <c r="D2" s="19"/>
      <c r="E2" s="19"/>
      <c r="F2" s="19"/>
      <c r="G2" s="19"/>
      <c r="H2" s="19"/>
      <c r="I2" s="19"/>
      <c r="J2" s="19"/>
      <c r="K2" s="19"/>
      <c r="L2" s="19"/>
      <c r="M2" s="19"/>
      <c r="N2" s="20"/>
    </row>
    <row r="3" spans="2:14" ht="24" customHeight="1" x14ac:dyDescent="0.2">
      <c r="B3" s="36" t="s">
        <v>74</v>
      </c>
      <c r="C3" s="34">
        <v>120</v>
      </c>
      <c r="D3" s="34">
        <v>110</v>
      </c>
      <c r="E3" s="34">
        <v>100</v>
      </c>
      <c r="F3" s="34">
        <v>90</v>
      </c>
      <c r="G3" s="34">
        <v>80</v>
      </c>
      <c r="H3" s="34">
        <v>70</v>
      </c>
      <c r="I3" s="34">
        <v>60</v>
      </c>
      <c r="J3" s="34">
        <v>50</v>
      </c>
      <c r="K3" s="34">
        <v>40</v>
      </c>
      <c r="L3" s="34">
        <v>30</v>
      </c>
      <c r="M3" s="34">
        <v>20</v>
      </c>
      <c r="N3" s="34">
        <v>10</v>
      </c>
    </row>
    <row r="4" spans="2:14" ht="24" customHeight="1" x14ac:dyDescent="0.2">
      <c r="B4" s="36" t="s">
        <v>75</v>
      </c>
      <c r="C4" s="35">
        <v>0</v>
      </c>
      <c r="D4" s="35">
        <v>50</v>
      </c>
      <c r="E4" s="35">
        <v>100</v>
      </c>
      <c r="F4" s="35">
        <v>150</v>
      </c>
      <c r="G4" s="35">
        <v>200</v>
      </c>
      <c r="H4" s="35">
        <v>250</v>
      </c>
      <c r="I4" s="35">
        <v>300</v>
      </c>
      <c r="J4" s="35">
        <v>350</v>
      </c>
      <c r="K4" s="35">
        <v>400</v>
      </c>
      <c r="L4" s="35">
        <v>450</v>
      </c>
      <c r="M4" s="35">
        <v>500</v>
      </c>
      <c r="N4" s="35">
        <v>550</v>
      </c>
    </row>
    <row r="5" spans="2:14" ht="24" customHeight="1" x14ac:dyDescent="0.2">
      <c r="B5" s="36" t="s">
        <v>76</v>
      </c>
      <c r="C5" s="35">
        <v>0</v>
      </c>
      <c r="D5" s="35">
        <v>0</v>
      </c>
      <c r="E5" s="35">
        <v>0</v>
      </c>
      <c r="F5" s="35">
        <v>0</v>
      </c>
      <c r="G5" s="35">
        <v>100</v>
      </c>
      <c r="H5" s="35">
        <v>200</v>
      </c>
      <c r="I5" s="35">
        <v>300</v>
      </c>
      <c r="J5" s="35">
        <v>400</v>
      </c>
      <c r="K5" s="35">
        <v>500</v>
      </c>
      <c r="L5" s="35">
        <v>600</v>
      </c>
      <c r="M5" s="35">
        <v>700</v>
      </c>
      <c r="N5" s="35">
        <v>800</v>
      </c>
    </row>
    <row r="6" spans="2:14" ht="24" customHeight="1" x14ac:dyDescent="0.2"/>
    <row r="7" spans="2:14" ht="24" customHeight="1" x14ac:dyDescent="0.2"/>
    <row r="8" spans="2:14" ht="24" customHeight="1" x14ac:dyDescent="0.2">
      <c r="B8" s="18" t="s">
        <v>89</v>
      </c>
      <c r="C8" s="19"/>
      <c r="D8" s="19"/>
      <c r="E8" s="19"/>
      <c r="F8" s="19"/>
      <c r="G8" s="19"/>
      <c r="H8" s="19"/>
      <c r="I8" s="19"/>
      <c r="J8" s="19"/>
      <c r="K8" s="19"/>
      <c r="L8" s="20"/>
    </row>
    <row r="9" spans="2:14" ht="33.950000000000003" customHeight="1" x14ac:dyDescent="0.2">
      <c r="B9" s="36" t="s">
        <v>132</v>
      </c>
      <c r="C9" s="37" t="s">
        <v>105</v>
      </c>
      <c r="D9" s="25"/>
      <c r="E9" s="37" t="s">
        <v>106</v>
      </c>
      <c r="F9" s="25"/>
      <c r="G9" s="37" t="s">
        <v>107</v>
      </c>
      <c r="H9" s="25"/>
      <c r="I9" s="23" t="s">
        <v>87</v>
      </c>
      <c r="J9" s="25"/>
      <c r="K9" s="37" t="s">
        <v>108</v>
      </c>
      <c r="L9" s="25"/>
    </row>
    <row r="10" spans="2:14" ht="24" customHeight="1" x14ac:dyDescent="0.2">
      <c r="B10" s="38" t="s">
        <v>77</v>
      </c>
      <c r="C10" s="39"/>
      <c r="D10" s="40"/>
      <c r="E10" s="39"/>
      <c r="F10" s="40"/>
      <c r="G10" s="39"/>
      <c r="H10" s="40"/>
      <c r="I10" s="39"/>
      <c r="J10" s="40"/>
      <c r="K10" s="39"/>
      <c r="L10" s="40"/>
    </row>
    <row r="11" spans="2:14" ht="24" customHeight="1" x14ac:dyDescent="0.2">
      <c r="B11" s="38" t="s">
        <v>84</v>
      </c>
      <c r="C11" s="39"/>
      <c r="D11" s="40"/>
      <c r="E11" s="39"/>
      <c r="F11" s="40"/>
      <c r="G11" s="39"/>
      <c r="H11" s="40"/>
      <c r="I11" s="39"/>
      <c r="J11" s="40"/>
      <c r="K11" s="39"/>
      <c r="L11" s="40"/>
    </row>
    <row r="12" spans="2:14" ht="24" customHeight="1" x14ac:dyDescent="0.2">
      <c r="B12" s="38" t="s">
        <v>85</v>
      </c>
      <c r="C12" s="39"/>
      <c r="D12" s="40"/>
      <c r="E12" s="39"/>
      <c r="F12" s="40"/>
      <c r="G12" s="39"/>
      <c r="H12" s="40"/>
      <c r="I12" s="39"/>
      <c r="J12" s="40"/>
      <c r="K12" s="39"/>
      <c r="L12" s="40"/>
    </row>
    <row r="13" spans="2:14" ht="24" customHeight="1" x14ac:dyDescent="0.2">
      <c r="B13" s="38" t="s">
        <v>86</v>
      </c>
      <c r="C13" s="39"/>
      <c r="D13" s="40"/>
      <c r="E13" s="39"/>
      <c r="F13" s="40"/>
      <c r="G13" s="39"/>
      <c r="H13" s="40"/>
      <c r="I13" s="39"/>
      <c r="J13" s="40"/>
      <c r="K13" s="39"/>
      <c r="L13" s="40"/>
    </row>
    <row r="14" spans="2:14" ht="24" customHeight="1" x14ac:dyDescent="0.2">
      <c r="C14" s="8"/>
      <c r="D14" s="8"/>
      <c r="E14" s="8"/>
      <c r="F14" s="8"/>
      <c r="G14" s="8"/>
      <c r="H14" s="8"/>
      <c r="I14" s="8"/>
      <c r="J14" s="8"/>
      <c r="K14" s="8"/>
      <c r="L14" s="8"/>
    </row>
    <row r="15" spans="2:14" ht="24" customHeight="1" x14ac:dyDescent="0.2">
      <c r="B15" s="18" t="s">
        <v>90</v>
      </c>
      <c r="C15" s="19"/>
      <c r="D15" s="19"/>
      <c r="E15" s="19"/>
      <c r="F15" s="19"/>
      <c r="G15" s="19"/>
      <c r="H15" s="19"/>
      <c r="I15" s="19"/>
      <c r="J15" s="19"/>
      <c r="K15" s="19"/>
      <c r="L15" s="20"/>
    </row>
    <row r="16" spans="2:14" ht="33.950000000000003" customHeight="1" x14ac:dyDescent="0.2">
      <c r="B16" s="36" t="s">
        <v>132</v>
      </c>
      <c r="C16" s="37" t="s">
        <v>105</v>
      </c>
      <c r="D16" s="25"/>
      <c r="E16" s="37" t="s">
        <v>106</v>
      </c>
      <c r="F16" s="25"/>
      <c r="G16" s="37" t="s">
        <v>107</v>
      </c>
      <c r="H16" s="25"/>
      <c r="I16" s="23" t="s">
        <v>87</v>
      </c>
      <c r="J16" s="25"/>
      <c r="K16" s="37" t="s">
        <v>108</v>
      </c>
      <c r="L16" s="25"/>
    </row>
    <row r="17" spans="2:12" ht="24" customHeight="1" x14ac:dyDescent="0.2">
      <c r="B17" s="38" t="s">
        <v>77</v>
      </c>
      <c r="C17" s="39"/>
      <c r="D17" s="40"/>
      <c r="E17" s="39"/>
      <c r="F17" s="40"/>
      <c r="G17" s="39"/>
      <c r="H17" s="40"/>
      <c r="I17" s="39"/>
      <c r="J17" s="40"/>
      <c r="K17" s="39"/>
      <c r="L17" s="40"/>
    </row>
    <row r="18" spans="2:12" ht="24" customHeight="1" x14ac:dyDescent="0.2">
      <c r="B18" s="38" t="s">
        <v>84</v>
      </c>
      <c r="C18" s="39"/>
      <c r="D18" s="40"/>
      <c r="E18" s="39"/>
      <c r="F18" s="40"/>
      <c r="G18" s="39"/>
      <c r="H18" s="40"/>
      <c r="I18" s="39"/>
      <c r="J18" s="40"/>
      <c r="K18" s="39"/>
      <c r="L18" s="40"/>
    </row>
    <row r="19" spans="2:12" ht="24" customHeight="1" x14ac:dyDescent="0.2">
      <c r="B19" s="38" t="s">
        <v>85</v>
      </c>
      <c r="C19" s="39"/>
      <c r="D19" s="40"/>
      <c r="E19" s="39"/>
      <c r="F19" s="40"/>
      <c r="G19" s="39"/>
      <c r="H19" s="40"/>
      <c r="I19" s="39"/>
      <c r="J19" s="40"/>
      <c r="K19" s="39"/>
      <c r="L19" s="40"/>
    </row>
    <row r="20" spans="2:12" ht="24" customHeight="1" x14ac:dyDescent="0.2">
      <c r="B20" s="38" t="s">
        <v>86</v>
      </c>
      <c r="C20" s="39"/>
      <c r="D20" s="40"/>
      <c r="E20" s="39"/>
      <c r="F20" s="40"/>
      <c r="G20" s="39"/>
      <c r="H20" s="40"/>
      <c r="I20" s="39"/>
      <c r="J20" s="40"/>
      <c r="K20" s="39"/>
      <c r="L20" s="40"/>
    </row>
    <row r="21" spans="2:12" ht="17.100000000000001" customHeight="1" x14ac:dyDescent="0.2"/>
    <row r="22" spans="2:12" ht="17.100000000000001" customHeight="1" x14ac:dyDescent="0.2"/>
    <row r="23" spans="2:12" ht="17.100000000000001" customHeight="1" x14ac:dyDescent="0.2"/>
    <row r="24" spans="2:12" ht="17.100000000000001" customHeight="1" x14ac:dyDescent="0.2"/>
    <row r="25" spans="2:12" ht="17.100000000000001" customHeight="1" x14ac:dyDescent="0.2"/>
    <row r="26" spans="2:12" ht="17.100000000000001" customHeight="1" x14ac:dyDescent="0.2"/>
    <row r="27" spans="2:12" ht="17.100000000000001" customHeight="1" x14ac:dyDescent="0.2"/>
    <row r="28" spans="2:12" ht="17.100000000000001" customHeight="1" x14ac:dyDescent="0.2"/>
    <row r="29" spans="2:12" ht="17.100000000000001" customHeight="1" x14ac:dyDescent="0.2"/>
    <row r="30" spans="2:12" ht="17.100000000000001" customHeight="1" x14ac:dyDescent="0.2"/>
    <row r="31" spans="2:12" ht="17.100000000000001" customHeight="1" x14ac:dyDescent="0.2"/>
    <row r="32" spans="2:12" ht="17.100000000000001" customHeight="1" x14ac:dyDescent="0.2"/>
    <row r="33" ht="17.100000000000001" customHeight="1" x14ac:dyDescent="0.2"/>
    <row r="34" ht="17.100000000000001" customHeight="1" x14ac:dyDescent="0.2"/>
    <row r="35" ht="17.100000000000001" customHeight="1" x14ac:dyDescent="0.2"/>
    <row r="36" ht="17.100000000000001" customHeight="1" x14ac:dyDescent="0.2"/>
    <row r="37" ht="17.100000000000001" customHeight="1" x14ac:dyDescent="0.2"/>
    <row r="38" ht="17.100000000000001" customHeight="1" x14ac:dyDescent="0.2"/>
    <row r="39" ht="17.100000000000001" customHeight="1" x14ac:dyDescent="0.2"/>
    <row r="40" ht="17.100000000000001" customHeight="1" x14ac:dyDescent="0.2"/>
  </sheetData>
  <mergeCells count="50">
    <mergeCell ref="C16:D16"/>
    <mergeCell ref="E16:F16"/>
    <mergeCell ref="G16:H16"/>
    <mergeCell ref="C9:D9"/>
    <mergeCell ref="C10:D10"/>
    <mergeCell ref="C11:D11"/>
    <mergeCell ref="C12:D12"/>
    <mergeCell ref="C13:D13"/>
    <mergeCell ref="G9:H9"/>
    <mergeCell ref="G10:H10"/>
    <mergeCell ref="G11:H11"/>
    <mergeCell ref="G12:H12"/>
    <mergeCell ref="G13:H13"/>
    <mergeCell ref="E11:F11"/>
    <mergeCell ref="E12:F12"/>
    <mergeCell ref="E13:F13"/>
    <mergeCell ref="E9:F9"/>
    <mergeCell ref="E10:F10"/>
    <mergeCell ref="K16:L16"/>
    <mergeCell ref="I9:J9"/>
    <mergeCell ref="I10:J10"/>
    <mergeCell ref="I16:J16"/>
    <mergeCell ref="I11:J11"/>
    <mergeCell ref="I12:J12"/>
    <mergeCell ref="I13:J13"/>
    <mergeCell ref="K9:L9"/>
    <mergeCell ref="K10:L10"/>
    <mergeCell ref="K11:L11"/>
    <mergeCell ref="K12:L12"/>
    <mergeCell ref="K13:L13"/>
    <mergeCell ref="I17:J17"/>
    <mergeCell ref="K17:L17"/>
    <mergeCell ref="I18:J18"/>
    <mergeCell ref="C20:D20"/>
    <mergeCell ref="E20:F20"/>
    <mergeCell ref="G20:H20"/>
    <mergeCell ref="I20:J20"/>
    <mergeCell ref="K20:L20"/>
    <mergeCell ref="K18:L18"/>
    <mergeCell ref="C18:D18"/>
    <mergeCell ref="E18:F18"/>
    <mergeCell ref="G18:H18"/>
    <mergeCell ref="C17:D17"/>
    <mergeCell ref="E17:F17"/>
    <mergeCell ref="G17:H17"/>
    <mergeCell ref="C19:D19"/>
    <mergeCell ref="E19:F19"/>
    <mergeCell ref="G19:H19"/>
    <mergeCell ref="I19:J19"/>
    <mergeCell ref="K19:L19"/>
  </mergeCells>
  <pageMargins left="0.78740157499999996" right="0.78740157499999996" top="0.984251969" bottom="0.984251969" header="0.5" footer="0.5"/>
  <pageSetup paperSize="9" orientation="portrait" horizontalDpi="4294967292" verticalDpi="4294967292"/>
  <headerFooter alignWithMargins="0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dimension ref="B1:F22"/>
  <sheetViews>
    <sheetView zoomScaleNormal="100" workbookViewId="0">
      <selection activeCell="K5" sqref="K5"/>
    </sheetView>
  </sheetViews>
  <sheetFormatPr baseColWidth="10" defaultColWidth="10.85546875" defaultRowHeight="23.1" customHeight="1" x14ac:dyDescent="0.2"/>
  <cols>
    <col min="1" max="1" width="2.28515625" style="42" customWidth="1"/>
    <col min="2" max="2" width="3" style="41" customWidth="1"/>
    <col min="3" max="3" width="17.7109375" style="41" customWidth="1"/>
    <col min="4" max="4" width="15.140625" style="42" customWidth="1"/>
    <col min="5" max="5" width="20.42578125" style="42" customWidth="1"/>
    <col min="6" max="6" width="20.42578125" style="43" customWidth="1"/>
    <col min="7" max="7" width="4.85546875" style="42" customWidth="1"/>
    <col min="8" max="16384" width="10.85546875" style="42"/>
  </cols>
  <sheetData>
    <row r="1" spans="2:6" ht="14.1" customHeight="1" x14ac:dyDescent="0.2"/>
    <row r="2" spans="2:6" ht="24" customHeight="1" x14ac:dyDescent="0.2">
      <c r="B2" s="44" t="s">
        <v>58</v>
      </c>
      <c r="C2" s="45"/>
      <c r="D2" s="45"/>
      <c r="E2" s="46"/>
      <c r="F2" s="47"/>
    </row>
    <row r="3" spans="2:6" ht="24" customHeight="1" x14ac:dyDescent="0.2">
      <c r="B3" s="44" t="s">
        <v>61</v>
      </c>
      <c r="C3" s="45"/>
      <c r="D3" s="45"/>
      <c r="E3" s="46"/>
      <c r="F3" s="47"/>
    </row>
    <row r="4" spans="2:6" ht="24" customHeight="1" x14ac:dyDescent="0.2"/>
    <row r="5" spans="2:6" ht="24" customHeight="1" x14ac:dyDescent="0.2">
      <c r="B5" s="56" t="s">
        <v>57</v>
      </c>
      <c r="C5" s="56"/>
      <c r="D5" s="56"/>
      <c r="E5" s="56"/>
      <c r="F5" s="56"/>
    </row>
    <row r="6" spans="2:6" ht="33.950000000000003" customHeight="1" x14ac:dyDescent="0.2">
      <c r="B6" s="57"/>
      <c r="C6" s="61" t="s">
        <v>73</v>
      </c>
      <c r="D6" s="61"/>
      <c r="E6" s="58" t="s">
        <v>158</v>
      </c>
      <c r="F6" s="57" t="s">
        <v>133</v>
      </c>
    </row>
    <row r="7" spans="2:6" ht="24" customHeight="1" x14ac:dyDescent="0.2">
      <c r="B7" s="48"/>
      <c r="C7" s="59" t="s">
        <v>58</v>
      </c>
      <c r="D7" s="59"/>
      <c r="E7" s="49"/>
      <c r="F7" s="50"/>
    </row>
    <row r="8" spans="2:6" ht="24" customHeight="1" x14ac:dyDescent="0.2">
      <c r="B8" s="51" t="s">
        <v>47</v>
      </c>
      <c r="C8" s="59" t="s">
        <v>59</v>
      </c>
      <c r="D8" s="59"/>
      <c r="E8" s="52">
        <v>0.1</v>
      </c>
      <c r="F8" s="34"/>
    </row>
    <row r="9" spans="2:6" ht="24" customHeight="1" x14ac:dyDescent="0.2">
      <c r="B9" s="53" t="s">
        <v>46</v>
      </c>
      <c r="C9" s="60" t="s">
        <v>60</v>
      </c>
      <c r="D9" s="60"/>
      <c r="E9" s="54"/>
      <c r="F9" s="55"/>
    </row>
    <row r="10" spans="2:6" ht="24" customHeight="1" x14ac:dyDescent="0.2">
      <c r="B10" s="51"/>
      <c r="C10" s="59" t="s">
        <v>61</v>
      </c>
      <c r="D10" s="59"/>
      <c r="E10" s="52"/>
      <c r="F10" s="34"/>
    </row>
    <row r="11" spans="2:6" ht="24" customHeight="1" x14ac:dyDescent="0.2">
      <c r="B11" s="51" t="s">
        <v>47</v>
      </c>
      <c r="C11" s="59" t="s">
        <v>62</v>
      </c>
      <c r="D11" s="59"/>
      <c r="E11" s="52">
        <v>0.9</v>
      </c>
      <c r="F11" s="34"/>
    </row>
    <row r="12" spans="2:6" ht="24" customHeight="1" x14ac:dyDescent="0.2">
      <c r="B12" s="53" t="s">
        <v>46</v>
      </c>
      <c r="C12" s="60" t="s">
        <v>63</v>
      </c>
      <c r="D12" s="60"/>
      <c r="E12" s="54"/>
      <c r="F12" s="55"/>
    </row>
    <row r="13" spans="2:6" ht="24" customHeight="1" x14ac:dyDescent="0.2">
      <c r="B13" s="53" t="s">
        <v>46</v>
      </c>
      <c r="C13" s="60" t="s">
        <v>64</v>
      </c>
      <c r="D13" s="60"/>
      <c r="E13" s="54"/>
      <c r="F13" s="55"/>
    </row>
    <row r="14" spans="2:6" ht="24" customHeight="1" x14ac:dyDescent="0.2">
      <c r="B14" s="51" t="s">
        <v>47</v>
      </c>
      <c r="C14" s="59" t="s">
        <v>65</v>
      </c>
      <c r="D14" s="59"/>
      <c r="E14" s="52">
        <v>0.12</v>
      </c>
      <c r="F14" s="34"/>
    </row>
    <row r="15" spans="2:6" ht="24" customHeight="1" x14ac:dyDescent="0.2">
      <c r="B15" s="51" t="s">
        <v>47</v>
      </c>
      <c r="C15" s="59" t="s">
        <v>66</v>
      </c>
      <c r="D15" s="59"/>
      <c r="E15" s="52">
        <v>0.05</v>
      </c>
      <c r="F15" s="34"/>
    </row>
    <row r="16" spans="2:6" ht="24" customHeight="1" x14ac:dyDescent="0.2">
      <c r="B16" s="53" t="s">
        <v>46</v>
      </c>
      <c r="C16" s="60" t="s">
        <v>67</v>
      </c>
      <c r="D16" s="60"/>
      <c r="E16" s="54"/>
      <c r="F16" s="55"/>
    </row>
    <row r="17" spans="2:6" ht="24" customHeight="1" x14ac:dyDescent="0.2">
      <c r="B17" s="51" t="s">
        <v>47</v>
      </c>
      <c r="C17" s="59" t="s">
        <v>27</v>
      </c>
      <c r="D17" s="59"/>
      <c r="E17" s="52">
        <v>0.15</v>
      </c>
      <c r="F17" s="34"/>
    </row>
    <row r="18" spans="2:6" ht="24" customHeight="1" x14ac:dyDescent="0.2">
      <c r="B18" s="53" t="s">
        <v>46</v>
      </c>
      <c r="C18" s="60" t="s">
        <v>68</v>
      </c>
      <c r="D18" s="60"/>
      <c r="E18" s="54"/>
      <c r="F18" s="55"/>
    </row>
    <row r="19" spans="2:6" ht="24" customHeight="1" x14ac:dyDescent="0.2">
      <c r="B19" s="51" t="s">
        <v>47</v>
      </c>
      <c r="C19" s="59" t="s">
        <v>69</v>
      </c>
      <c r="D19" s="59"/>
      <c r="E19" s="52">
        <v>0.02</v>
      </c>
      <c r="F19" s="34"/>
    </row>
    <row r="20" spans="2:6" ht="24" customHeight="1" x14ac:dyDescent="0.2">
      <c r="B20" s="53" t="s">
        <v>46</v>
      </c>
      <c r="C20" s="60" t="s">
        <v>70</v>
      </c>
      <c r="D20" s="60"/>
      <c r="E20" s="54"/>
      <c r="F20" s="55"/>
    </row>
    <row r="21" spans="2:6" ht="24" customHeight="1" x14ac:dyDescent="0.2">
      <c r="B21" s="51" t="s">
        <v>47</v>
      </c>
      <c r="C21" s="59" t="s">
        <v>71</v>
      </c>
      <c r="D21" s="59"/>
      <c r="E21" s="52">
        <v>0.2</v>
      </c>
      <c r="F21" s="34"/>
    </row>
    <row r="22" spans="2:6" ht="24" customHeight="1" x14ac:dyDescent="0.2">
      <c r="B22" s="53" t="s">
        <v>46</v>
      </c>
      <c r="C22" s="60" t="s">
        <v>72</v>
      </c>
      <c r="D22" s="60"/>
      <c r="E22" s="54"/>
      <c r="F22" s="55"/>
    </row>
  </sheetData>
  <mergeCells count="20">
    <mergeCell ref="C18:D18"/>
    <mergeCell ref="C19:D19"/>
    <mergeCell ref="C20:D20"/>
    <mergeCell ref="C21:D21"/>
    <mergeCell ref="C22:D22"/>
    <mergeCell ref="C13:D13"/>
    <mergeCell ref="C14:D14"/>
    <mergeCell ref="C15:D15"/>
    <mergeCell ref="C16:D16"/>
    <mergeCell ref="C17:D17"/>
    <mergeCell ref="C8:D8"/>
    <mergeCell ref="C9:D9"/>
    <mergeCell ref="C10:D10"/>
    <mergeCell ref="C11:D11"/>
    <mergeCell ref="C12:D12"/>
    <mergeCell ref="B5:F5"/>
    <mergeCell ref="C6:D6"/>
    <mergeCell ref="C7:D7"/>
    <mergeCell ref="B2:E2"/>
    <mergeCell ref="B3:E3"/>
  </mergeCells>
  <pageMargins left="0.78740157499999996" right="0.78740157499999996" top="0.984251969" bottom="0.984251969" header="0.5" footer="0.5"/>
  <headerFooter alignWithMargins="0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700-000000000000}">
  <dimension ref="A1:BA28"/>
  <sheetViews>
    <sheetView zoomScaleNormal="100" workbookViewId="0">
      <selection activeCell="G16" sqref="G16"/>
    </sheetView>
  </sheetViews>
  <sheetFormatPr baseColWidth="10" defaultColWidth="10.85546875" defaultRowHeight="13.5" x14ac:dyDescent="0.25"/>
  <cols>
    <col min="1" max="1" width="2.140625" style="63" customWidth="1"/>
    <col min="2" max="2" width="36" style="63" customWidth="1"/>
    <col min="3" max="3" width="13.28515625" style="63" customWidth="1"/>
    <col min="4" max="4" width="13.7109375" style="63" customWidth="1"/>
    <col min="5" max="5" width="14.140625" style="63" customWidth="1"/>
    <col min="6" max="53" width="3.7109375" style="63" customWidth="1"/>
    <col min="54" max="16384" width="10.85546875" style="63"/>
  </cols>
  <sheetData>
    <row r="1" spans="1:53" x14ac:dyDescent="0.25">
      <c r="A1" s="62"/>
      <c r="B1" s="62"/>
      <c r="C1" s="62"/>
      <c r="D1" s="62"/>
      <c r="E1" s="62"/>
      <c r="F1" s="62"/>
      <c r="G1" s="62"/>
      <c r="H1" s="62"/>
      <c r="I1" s="62"/>
      <c r="J1" s="62"/>
      <c r="K1" s="62"/>
      <c r="L1" s="62"/>
      <c r="M1" s="62"/>
      <c r="N1" s="62"/>
      <c r="O1" s="62"/>
      <c r="P1" s="62"/>
      <c r="Q1" s="62"/>
      <c r="R1" s="62"/>
      <c r="S1" s="62"/>
      <c r="T1" s="62"/>
      <c r="U1" s="62"/>
      <c r="V1" s="62"/>
      <c r="W1" s="62"/>
      <c r="X1" s="62"/>
      <c r="Y1" s="62"/>
      <c r="Z1" s="62"/>
      <c r="AA1" s="62"/>
      <c r="AB1" s="62"/>
      <c r="AC1" s="62"/>
      <c r="AD1" s="62"/>
      <c r="AE1" s="62"/>
      <c r="AF1" s="62"/>
      <c r="AG1" s="62"/>
      <c r="AH1" s="62"/>
      <c r="AI1" s="62"/>
      <c r="AJ1" s="62"/>
      <c r="AK1" s="62"/>
      <c r="AL1" s="62"/>
      <c r="AM1" s="62"/>
      <c r="AN1" s="62"/>
      <c r="AO1" s="62"/>
      <c r="AP1" s="62"/>
      <c r="AQ1" s="62"/>
      <c r="AR1" s="62"/>
      <c r="AS1" s="62"/>
      <c r="AT1" s="62"/>
      <c r="AU1" s="62"/>
      <c r="AV1" s="62"/>
      <c r="AW1" s="62"/>
      <c r="AX1" s="62"/>
      <c r="AY1" s="62"/>
      <c r="AZ1" s="62"/>
      <c r="BA1" s="62"/>
    </row>
    <row r="2" spans="1:53" ht="24" customHeight="1" x14ac:dyDescent="0.25">
      <c r="A2" s="62"/>
      <c r="B2" s="73" t="s">
        <v>137</v>
      </c>
      <c r="C2" s="74"/>
      <c r="D2" s="74"/>
      <c r="E2" s="74"/>
      <c r="F2" s="74"/>
      <c r="G2" s="74"/>
      <c r="H2" s="74"/>
      <c r="I2" s="74"/>
      <c r="J2" s="74"/>
      <c r="K2" s="74"/>
      <c r="L2" s="74"/>
      <c r="M2" s="74"/>
      <c r="N2" s="74"/>
      <c r="O2" s="74"/>
      <c r="P2" s="74"/>
      <c r="Q2" s="74"/>
      <c r="R2" s="74"/>
      <c r="S2" s="74"/>
      <c r="T2" s="74"/>
      <c r="U2" s="74"/>
      <c r="V2" s="74"/>
      <c r="W2" s="74"/>
      <c r="X2" s="74"/>
      <c r="Y2" s="74"/>
      <c r="Z2" s="74"/>
      <c r="AA2" s="74"/>
      <c r="AB2" s="74"/>
      <c r="AC2" s="74"/>
      <c r="AD2" s="74"/>
      <c r="AE2" s="74"/>
      <c r="AF2" s="74"/>
      <c r="AG2" s="74"/>
      <c r="AH2" s="74"/>
      <c r="AI2" s="74"/>
      <c r="AJ2" s="74"/>
      <c r="AK2" s="74"/>
      <c r="AL2" s="74"/>
      <c r="AM2" s="74"/>
      <c r="AN2" s="74"/>
      <c r="AO2" s="74"/>
      <c r="AP2" s="74"/>
      <c r="AQ2" s="74"/>
      <c r="AR2" s="74"/>
      <c r="AS2" s="74"/>
      <c r="AT2" s="74"/>
      <c r="AU2" s="74"/>
      <c r="AV2" s="74"/>
      <c r="AW2" s="74"/>
      <c r="AX2" s="74"/>
      <c r="AY2" s="74"/>
      <c r="AZ2" s="74"/>
      <c r="BA2" s="74"/>
    </row>
    <row r="3" spans="1:53" ht="24" customHeight="1" x14ac:dyDescent="0.25">
      <c r="A3" s="64"/>
      <c r="B3" s="75" t="s">
        <v>91</v>
      </c>
      <c r="C3" s="76" t="s">
        <v>134</v>
      </c>
      <c r="D3" s="76" t="s">
        <v>135</v>
      </c>
      <c r="E3" s="76" t="s">
        <v>136</v>
      </c>
      <c r="F3" s="74" t="s">
        <v>93</v>
      </c>
      <c r="G3" s="74"/>
      <c r="H3" s="74"/>
      <c r="I3" s="74"/>
      <c r="J3" s="74" t="s">
        <v>94</v>
      </c>
      <c r="K3" s="74"/>
      <c r="L3" s="74"/>
      <c r="M3" s="74"/>
      <c r="N3" s="74" t="s">
        <v>95</v>
      </c>
      <c r="O3" s="74"/>
      <c r="P3" s="74"/>
      <c r="Q3" s="74"/>
      <c r="R3" s="74" t="s">
        <v>96</v>
      </c>
      <c r="S3" s="74"/>
      <c r="T3" s="74"/>
      <c r="U3" s="74"/>
      <c r="V3" s="74" t="s">
        <v>97</v>
      </c>
      <c r="W3" s="74"/>
      <c r="X3" s="74"/>
      <c r="Y3" s="74"/>
      <c r="Z3" s="74" t="s">
        <v>98</v>
      </c>
      <c r="AA3" s="74"/>
      <c r="AB3" s="74"/>
      <c r="AC3" s="74"/>
      <c r="AD3" s="74" t="s">
        <v>99</v>
      </c>
      <c r="AE3" s="74"/>
      <c r="AF3" s="74"/>
      <c r="AG3" s="74"/>
      <c r="AH3" s="74" t="s">
        <v>100</v>
      </c>
      <c r="AI3" s="74"/>
      <c r="AJ3" s="74"/>
      <c r="AK3" s="74"/>
      <c r="AL3" s="74" t="s">
        <v>101</v>
      </c>
      <c r="AM3" s="74"/>
      <c r="AN3" s="74"/>
      <c r="AO3" s="74"/>
      <c r="AP3" s="74" t="s">
        <v>102</v>
      </c>
      <c r="AQ3" s="74"/>
      <c r="AR3" s="74"/>
      <c r="AS3" s="74"/>
      <c r="AT3" s="74" t="s">
        <v>103</v>
      </c>
      <c r="AU3" s="74"/>
      <c r="AV3" s="74"/>
      <c r="AW3" s="74"/>
      <c r="AX3" s="74" t="s">
        <v>104</v>
      </c>
      <c r="AY3" s="74"/>
      <c r="AZ3" s="74"/>
      <c r="BA3" s="74"/>
    </row>
    <row r="4" spans="1:53" ht="24" customHeight="1" x14ac:dyDescent="0.25">
      <c r="A4" s="65"/>
      <c r="B4" s="77"/>
      <c r="C4" s="78"/>
      <c r="D4" s="78"/>
      <c r="E4" s="78"/>
      <c r="F4" s="75">
        <v>1</v>
      </c>
      <c r="G4" s="75">
        <v>2</v>
      </c>
      <c r="H4" s="75">
        <v>3</v>
      </c>
      <c r="I4" s="75">
        <v>4</v>
      </c>
      <c r="J4" s="75">
        <v>1</v>
      </c>
      <c r="K4" s="75">
        <v>2</v>
      </c>
      <c r="L4" s="75">
        <v>3</v>
      </c>
      <c r="M4" s="75">
        <v>4</v>
      </c>
      <c r="N4" s="75">
        <v>1</v>
      </c>
      <c r="O4" s="75">
        <v>2</v>
      </c>
      <c r="P4" s="75">
        <v>3</v>
      </c>
      <c r="Q4" s="75">
        <v>4</v>
      </c>
      <c r="R4" s="75">
        <v>1</v>
      </c>
      <c r="S4" s="75">
        <v>2</v>
      </c>
      <c r="T4" s="75">
        <v>3</v>
      </c>
      <c r="U4" s="75">
        <v>4</v>
      </c>
      <c r="V4" s="75">
        <v>1</v>
      </c>
      <c r="W4" s="75">
        <v>2</v>
      </c>
      <c r="X4" s="75">
        <v>3</v>
      </c>
      <c r="Y4" s="75">
        <v>4</v>
      </c>
      <c r="Z4" s="75">
        <v>1</v>
      </c>
      <c r="AA4" s="75">
        <v>2</v>
      </c>
      <c r="AB4" s="75">
        <v>3</v>
      </c>
      <c r="AC4" s="75">
        <v>4</v>
      </c>
      <c r="AD4" s="75">
        <v>1</v>
      </c>
      <c r="AE4" s="75">
        <v>2</v>
      </c>
      <c r="AF4" s="75">
        <v>3</v>
      </c>
      <c r="AG4" s="75">
        <v>4</v>
      </c>
      <c r="AH4" s="75">
        <v>1</v>
      </c>
      <c r="AI4" s="75">
        <v>2</v>
      </c>
      <c r="AJ4" s="75">
        <v>3</v>
      </c>
      <c r="AK4" s="75">
        <v>4</v>
      </c>
      <c r="AL4" s="75">
        <v>1</v>
      </c>
      <c r="AM4" s="75">
        <v>2</v>
      </c>
      <c r="AN4" s="75">
        <v>3</v>
      </c>
      <c r="AO4" s="75">
        <v>4</v>
      </c>
      <c r="AP4" s="75">
        <v>1</v>
      </c>
      <c r="AQ4" s="75">
        <v>2</v>
      </c>
      <c r="AR4" s="75">
        <v>3</v>
      </c>
      <c r="AS4" s="75">
        <v>4</v>
      </c>
      <c r="AT4" s="75">
        <v>1</v>
      </c>
      <c r="AU4" s="75">
        <v>2</v>
      </c>
      <c r="AV4" s="75">
        <v>3</v>
      </c>
      <c r="AW4" s="75">
        <v>4</v>
      </c>
      <c r="AX4" s="75">
        <v>1</v>
      </c>
      <c r="AY4" s="75">
        <v>2</v>
      </c>
      <c r="AZ4" s="75">
        <v>3</v>
      </c>
      <c r="BA4" s="75">
        <v>4</v>
      </c>
    </row>
    <row r="5" spans="1:53" ht="24" customHeight="1" x14ac:dyDescent="0.25">
      <c r="A5" s="65"/>
      <c r="B5" s="79"/>
      <c r="C5" s="80"/>
      <c r="D5" s="80"/>
      <c r="E5" s="80"/>
      <c r="F5" s="79"/>
      <c r="G5" s="79"/>
      <c r="H5" s="79"/>
      <c r="I5" s="79"/>
      <c r="J5" s="79"/>
      <c r="K5" s="79"/>
      <c r="L5" s="79"/>
      <c r="M5" s="79"/>
      <c r="N5" s="79"/>
      <c r="O5" s="79"/>
      <c r="P5" s="79"/>
      <c r="Q5" s="79"/>
      <c r="R5" s="79"/>
      <c r="S5" s="79"/>
      <c r="T5" s="79"/>
      <c r="U5" s="79"/>
      <c r="V5" s="79"/>
      <c r="W5" s="79"/>
      <c r="X5" s="79"/>
      <c r="Y5" s="79"/>
      <c r="Z5" s="79"/>
      <c r="AA5" s="79"/>
      <c r="AB5" s="79"/>
      <c r="AC5" s="79"/>
      <c r="AD5" s="79"/>
      <c r="AE5" s="79"/>
      <c r="AF5" s="79"/>
      <c r="AG5" s="79"/>
      <c r="AH5" s="79"/>
      <c r="AI5" s="79"/>
      <c r="AJ5" s="79"/>
      <c r="AK5" s="79"/>
      <c r="AL5" s="79"/>
      <c r="AM5" s="79"/>
      <c r="AN5" s="79"/>
      <c r="AO5" s="79"/>
      <c r="AP5" s="79"/>
      <c r="AQ5" s="79"/>
      <c r="AR5" s="79"/>
      <c r="AS5" s="79"/>
      <c r="AT5" s="79"/>
      <c r="AU5" s="79"/>
      <c r="AV5" s="79"/>
      <c r="AW5" s="79"/>
      <c r="AX5" s="79"/>
      <c r="AY5" s="79"/>
      <c r="AZ5" s="79"/>
      <c r="BA5" s="79"/>
    </row>
    <row r="6" spans="1:53" ht="24" customHeight="1" x14ac:dyDescent="0.25">
      <c r="A6" s="62"/>
      <c r="B6" s="81" t="s">
        <v>138</v>
      </c>
      <c r="C6" s="82"/>
      <c r="D6" s="82"/>
      <c r="E6" s="82"/>
      <c r="F6" s="82"/>
      <c r="G6" s="82"/>
      <c r="H6" s="82"/>
      <c r="I6" s="82"/>
      <c r="J6" s="82"/>
      <c r="K6" s="82"/>
      <c r="L6" s="82"/>
      <c r="M6" s="82"/>
      <c r="N6" s="82"/>
      <c r="O6" s="82"/>
      <c r="P6" s="82"/>
      <c r="Q6" s="82"/>
      <c r="R6" s="82"/>
      <c r="S6" s="82"/>
      <c r="T6" s="82"/>
      <c r="U6" s="82"/>
      <c r="V6" s="82"/>
      <c r="W6" s="82"/>
      <c r="X6" s="82"/>
      <c r="Y6" s="82"/>
      <c r="Z6" s="82"/>
      <c r="AA6" s="82"/>
      <c r="AB6" s="82"/>
      <c r="AC6" s="82"/>
      <c r="AD6" s="82"/>
      <c r="AE6" s="82"/>
      <c r="AF6" s="82"/>
      <c r="AG6" s="82"/>
      <c r="AH6" s="82"/>
      <c r="AI6" s="82"/>
      <c r="AJ6" s="82"/>
      <c r="AK6" s="82"/>
      <c r="AL6" s="82"/>
      <c r="AM6" s="82"/>
      <c r="AN6" s="82"/>
      <c r="AO6" s="82"/>
      <c r="AP6" s="82"/>
      <c r="AQ6" s="82"/>
      <c r="AR6" s="82"/>
      <c r="AS6" s="82"/>
      <c r="AT6" s="82"/>
      <c r="AU6" s="82"/>
      <c r="AV6" s="82"/>
      <c r="AW6" s="82"/>
      <c r="AX6" s="82"/>
      <c r="AY6" s="82"/>
      <c r="AZ6" s="82"/>
      <c r="BA6" s="83"/>
    </row>
    <row r="7" spans="1:53" ht="24" customHeight="1" x14ac:dyDescent="0.25">
      <c r="A7" s="62"/>
      <c r="B7" s="66"/>
      <c r="C7" s="67"/>
      <c r="D7" s="67"/>
      <c r="E7" s="68"/>
      <c r="F7" s="69"/>
      <c r="G7" s="69"/>
      <c r="H7" s="69"/>
      <c r="I7" s="69"/>
      <c r="J7" s="69"/>
      <c r="K7" s="69"/>
      <c r="L7" s="69"/>
      <c r="M7" s="69"/>
      <c r="N7" s="69"/>
      <c r="O7" s="69"/>
      <c r="P7" s="69"/>
      <c r="Q7" s="69"/>
      <c r="R7" s="69"/>
      <c r="S7" s="69"/>
      <c r="T7" s="69"/>
      <c r="U7" s="69"/>
      <c r="V7" s="69"/>
      <c r="W7" s="69"/>
      <c r="X7" s="69"/>
      <c r="Y7" s="69"/>
      <c r="Z7" s="69"/>
      <c r="AA7" s="69"/>
      <c r="AB7" s="69"/>
      <c r="AC7" s="69"/>
      <c r="AD7" s="69"/>
      <c r="AE7" s="69"/>
      <c r="AF7" s="69"/>
      <c r="AG7" s="69"/>
      <c r="AH7" s="69"/>
      <c r="AI7" s="69"/>
      <c r="AJ7" s="69"/>
      <c r="AK7" s="69"/>
      <c r="AL7" s="69"/>
      <c r="AM7" s="69"/>
      <c r="AN7" s="69"/>
      <c r="AO7" s="69"/>
      <c r="AP7" s="69"/>
      <c r="AQ7" s="69"/>
      <c r="AR7" s="69"/>
      <c r="AS7" s="69"/>
      <c r="AT7" s="69"/>
      <c r="AU7" s="69"/>
      <c r="AV7" s="69"/>
      <c r="AW7" s="69"/>
      <c r="AX7" s="69"/>
      <c r="AY7" s="69"/>
      <c r="AZ7" s="69"/>
      <c r="BA7" s="69"/>
    </row>
    <row r="8" spans="1:53" ht="24" customHeight="1" x14ac:dyDescent="0.25">
      <c r="A8" s="62"/>
      <c r="B8" s="66"/>
      <c r="C8" s="67"/>
      <c r="D8" s="67"/>
      <c r="E8" s="68"/>
      <c r="F8" s="69"/>
      <c r="G8" s="69"/>
      <c r="H8" s="69"/>
      <c r="I8" s="69"/>
      <c r="J8" s="69"/>
      <c r="K8" s="69"/>
      <c r="L8" s="69"/>
      <c r="M8" s="69"/>
      <c r="N8" s="69"/>
      <c r="O8" s="69"/>
      <c r="P8" s="69"/>
      <c r="Q8" s="69"/>
      <c r="R8" s="69"/>
      <c r="S8" s="69"/>
      <c r="T8" s="69"/>
      <c r="U8" s="69"/>
      <c r="V8" s="69"/>
      <c r="W8" s="69"/>
      <c r="X8" s="69"/>
      <c r="Y8" s="69"/>
      <c r="Z8" s="69"/>
      <c r="AA8" s="69"/>
      <c r="AB8" s="69"/>
      <c r="AC8" s="69"/>
      <c r="AD8" s="69"/>
      <c r="AE8" s="69"/>
      <c r="AF8" s="69"/>
      <c r="AG8" s="69"/>
      <c r="AH8" s="69"/>
      <c r="AI8" s="69"/>
      <c r="AJ8" s="69"/>
      <c r="AK8" s="69"/>
      <c r="AL8" s="69"/>
      <c r="AM8" s="69"/>
      <c r="AN8" s="69"/>
      <c r="AO8" s="69"/>
      <c r="AP8" s="69"/>
      <c r="AQ8" s="69"/>
      <c r="AR8" s="69"/>
      <c r="AS8" s="69"/>
      <c r="AT8" s="69"/>
      <c r="AU8" s="69"/>
      <c r="AV8" s="69"/>
      <c r="AW8" s="69"/>
      <c r="AX8" s="69"/>
      <c r="AY8" s="69"/>
      <c r="AZ8" s="69"/>
      <c r="BA8" s="69"/>
    </row>
    <row r="9" spans="1:53" ht="24" customHeight="1" x14ac:dyDescent="0.25">
      <c r="A9" s="62"/>
      <c r="B9" s="66"/>
      <c r="C9" s="67"/>
      <c r="D9" s="67"/>
      <c r="E9" s="68"/>
      <c r="F9" s="69"/>
      <c r="G9" s="69"/>
      <c r="H9" s="69"/>
      <c r="I9" s="69"/>
      <c r="J9" s="69"/>
      <c r="K9" s="69"/>
      <c r="L9" s="69"/>
      <c r="M9" s="69"/>
      <c r="N9" s="69"/>
      <c r="O9" s="69"/>
      <c r="P9" s="69"/>
      <c r="Q9" s="69"/>
      <c r="R9" s="69"/>
      <c r="S9" s="69"/>
      <c r="T9" s="69"/>
      <c r="U9" s="69"/>
      <c r="V9" s="69"/>
      <c r="W9" s="69"/>
      <c r="X9" s="69"/>
      <c r="Y9" s="69"/>
      <c r="Z9" s="69"/>
      <c r="AA9" s="69"/>
      <c r="AB9" s="69"/>
      <c r="AC9" s="69"/>
      <c r="AD9" s="69"/>
      <c r="AE9" s="69"/>
      <c r="AF9" s="69"/>
      <c r="AG9" s="69"/>
      <c r="AH9" s="69"/>
      <c r="AI9" s="69"/>
      <c r="AJ9" s="69"/>
      <c r="AK9" s="69"/>
      <c r="AL9" s="69"/>
      <c r="AM9" s="69"/>
      <c r="AN9" s="69"/>
      <c r="AO9" s="69"/>
      <c r="AP9" s="69"/>
      <c r="AQ9" s="69"/>
      <c r="AR9" s="69"/>
      <c r="AS9" s="69"/>
      <c r="AT9" s="69"/>
      <c r="AU9" s="69"/>
      <c r="AV9" s="69"/>
      <c r="AW9" s="69"/>
      <c r="AX9" s="69"/>
      <c r="AY9" s="69"/>
      <c r="AZ9" s="69"/>
      <c r="BA9" s="69"/>
    </row>
    <row r="10" spans="1:53" ht="24" customHeight="1" x14ac:dyDescent="0.25">
      <c r="A10" s="62"/>
      <c r="B10" s="66"/>
      <c r="C10" s="67"/>
      <c r="D10" s="67"/>
      <c r="E10" s="68"/>
      <c r="F10" s="69"/>
      <c r="G10" s="69"/>
      <c r="H10" s="69"/>
      <c r="I10" s="69"/>
      <c r="J10" s="69"/>
      <c r="K10" s="69"/>
      <c r="L10" s="69"/>
      <c r="M10" s="69"/>
      <c r="N10" s="69"/>
      <c r="O10" s="69"/>
      <c r="P10" s="69"/>
      <c r="Q10" s="69"/>
      <c r="R10" s="69"/>
      <c r="S10" s="69"/>
      <c r="T10" s="69"/>
      <c r="U10" s="69"/>
      <c r="V10" s="69"/>
      <c r="W10" s="69"/>
      <c r="X10" s="69"/>
      <c r="Y10" s="69"/>
      <c r="Z10" s="69"/>
      <c r="AA10" s="69"/>
      <c r="AB10" s="69"/>
      <c r="AC10" s="69"/>
      <c r="AD10" s="69"/>
      <c r="AE10" s="69"/>
      <c r="AF10" s="69"/>
      <c r="AG10" s="69"/>
      <c r="AH10" s="69"/>
      <c r="AI10" s="69"/>
      <c r="AJ10" s="69"/>
      <c r="AK10" s="69"/>
      <c r="AL10" s="69"/>
      <c r="AM10" s="69"/>
      <c r="AN10" s="69"/>
      <c r="AO10" s="69"/>
      <c r="AP10" s="69"/>
      <c r="AQ10" s="69"/>
      <c r="AR10" s="69"/>
      <c r="AS10" s="69"/>
      <c r="AT10" s="69"/>
      <c r="AU10" s="69"/>
      <c r="AV10" s="69"/>
      <c r="AW10" s="69"/>
      <c r="AX10" s="69"/>
      <c r="AY10" s="69"/>
      <c r="AZ10" s="69"/>
      <c r="BA10" s="69"/>
    </row>
    <row r="11" spans="1:53" ht="24" customHeight="1" x14ac:dyDescent="0.25">
      <c r="A11" s="62"/>
      <c r="B11" s="81" t="s">
        <v>139</v>
      </c>
      <c r="C11" s="82"/>
      <c r="D11" s="82"/>
      <c r="E11" s="82"/>
      <c r="F11" s="82"/>
      <c r="G11" s="82"/>
      <c r="H11" s="82"/>
      <c r="I11" s="82"/>
      <c r="J11" s="82"/>
      <c r="K11" s="82"/>
      <c r="L11" s="82"/>
      <c r="M11" s="82"/>
      <c r="N11" s="82"/>
      <c r="O11" s="82"/>
      <c r="P11" s="82"/>
      <c r="Q11" s="82"/>
      <c r="R11" s="82"/>
      <c r="S11" s="82"/>
      <c r="T11" s="82"/>
      <c r="U11" s="82"/>
      <c r="V11" s="82"/>
      <c r="W11" s="82"/>
      <c r="X11" s="82"/>
      <c r="Y11" s="82"/>
      <c r="Z11" s="82"/>
      <c r="AA11" s="82"/>
      <c r="AB11" s="82"/>
      <c r="AC11" s="82"/>
      <c r="AD11" s="82"/>
      <c r="AE11" s="82"/>
      <c r="AF11" s="82"/>
      <c r="AG11" s="82"/>
      <c r="AH11" s="82"/>
      <c r="AI11" s="82"/>
      <c r="AJ11" s="82"/>
      <c r="AK11" s="82"/>
      <c r="AL11" s="82"/>
      <c r="AM11" s="82"/>
      <c r="AN11" s="82"/>
      <c r="AO11" s="82"/>
      <c r="AP11" s="82"/>
      <c r="AQ11" s="82"/>
      <c r="AR11" s="82"/>
      <c r="AS11" s="82"/>
      <c r="AT11" s="82"/>
      <c r="AU11" s="82"/>
      <c r="AV11" s="82"/>
      <c r="AW11" s="82"/>
      <c r="AX11" s="82"/>
      <c r="AY11" s="82"/>
      <c r="AZ11" s="82"/>
      <c r="BA11" s="83"/>
    </row>
    <row r="12" spans="1:53" ht="24" customHeight="1" x14ac:dyDescent="0.25">
      <c r="A12" s="62"/>
      <c r="B12" s="66"/>
      <c r="C12" s="67"/>
      <c r="D12" s="67"/>
      <c r="E12" s="68"/>
      <c r="F12" s="69"/>
      <c r="G12" s="69"/>
      <c r="H12" s="69"/>
      <c r="I12" s="69"/>
      <c r="J12" s="69"/>
      <c r="K12" s="69"/>
      <c r="L12" s="69"/>
      <c r="M12" s="69"/>
      <c r="N12" s="69"/>
      <c r="O12" s="69"/>
      <c r="P12" s="69"/>
      <c r="Q12" s="69"/>
      <c r="R12" s="69"/>
      <c r="S12" s="69"/>
      <c r="T12" s="69"/>
      <c r="U12" s="69"/>
      <c r="V12" s="69"/>
      <c r="W12" s="69"/>
      <c r="X12" s="69"/>
      <c r="Y12" s="69"/>
      <c r="Z12" s="69"/>
      <c r="AA12" s="69"/>
      <c r="AB12" s="69"/>
      <c r="AC12" s="69"/>
      <c r="AD12" s="69"/>
      <c r="AE12" s="69"/>
      <c r="AF12" s="69"/>
      <c r="AG12" s="69"/>
      <c r="AH12" s="69"/>
      <c r="AI12" s="69"/>
      <c r="AJ12" s="69"/>
      <c r="AK12" s="69"/>
      <c r="AL12" s="69"/>
      <c r="AM12" s="69"/>
      <c r="AN12" s="69"/>
      <c r="AO12" s="69"/>
      <c r="AP12" s="69"/>
      <c r="AQ12" s="69"/>
      <c r="AR12" s="69"/>
      <c r="AS12" s="69"/>
      <c r="AT12" s="69"/>
      <c r="AU12" s="69"/>
      <c r="AV12" s="69"/>
      <c r="AW12" s="69"/>
      <c r="AX12" s="69"/>
      <c r="AY12" s="69"/>
      <c r="AZ12" s="69"/>
      <c r="BA12" s="69"/>
    </row>
    <row r="13" spans="1:53" ht="24" customHeight="1" x14ac:dyDescent="0.25">
      <c r="A13" s="62"/>
      <c r="B13" s="66"/>
      <c r="C13" s="67"/>
      <c r="D13" s="67"/>
      <c r="E13" s="68"/>
      <c r="F13" s="69"/>
      <c r="G13" s="69"/>
      <c r="H13" s="69"/>
      <c r="I13" s="69"/>
      <c r="J13" s="69"/>
      <c r="K13" s="69"/>
      <c r="L13" s="69"/>
      <c r="M13" s="69"/>
      <c r="N13" s="69"/>
      <c r="O13" s="69"/>
      <c r="P13" s="69"/>
      <c r="Q13" s="69"/>
      <c r="R13" s="69"/>
      <c r="S13" s="69"/>
      <c r="T13" s="69"/>
      <c r="U13" s="69"/>
      <c r="V13" s="69"/>
      <c r="W13" s="69"/>
      <c r="X13" s="69"/>
      <c r="Y13" s="69"/>
      <c r="Z13" s="69"/>
      <c r="AA13" s="69"/>
      <c r="AB13" s="69"/>
      <c r="AC13" s="69"/>
      <c r="AD13" s="69"/>
      <c r="AE13" s="69"/>
      <c r="AF13" s="69"/>
      <c r="AG13" s="69"/>
      <c r="AH13" s="69"/>
      <c r="AI13" s="69"/>
      <c r="AJ13" s="69"/>
      <c r="AK13" s="69"/>
      <c r="AL13" s="69"/>
      <c r="AM13" s="69"/>
      <c r="AN13" s="69"/>
      <c r="AO13" s="69"/>
      <c r="AP13" s="69"/>
      <c r="AQ13" s="69"/>
      <c r="AR13" s="69"/>
      <c r="AS13" s="69"/>
      <c r="AT13" s="69"/>
      <c r="AU13" s="69"/>
      <c r="AV13" s="69"/>
      <c r="AW13" s="69"/>
      <c r="AX13" s="69"/>
      <c r="AY13" s="69"/>
      <c r="AZ13" s="69"/>
      <c r="BA13" s="69"/>
    </row>
    <row r="14" spans="1:53" ht="24" customHeight="1" x14ac:dyDescent="0.25">
      <c r="A14" s="62"/>
      <c r="B14" s="66"/>
      <c r="C14" s="67"/>
      <c r="D14" s="67"/>
      <c r="E14" s="68"/>
      <c r="F14" s="69"/>
      <c r="G14" s="69"/>
      <c r="H14" s="69"/>
      <c r="I14" s="69"/>
      <c r="J14" s="69"/>
      <c r="K14" s="69"/>
      <c r="L14" s="69"/>
      <c r="M14" s="69"/>
      <c r="N14" s="69"/>
      <c r="O14" s="69"/>
      <c r="P14" s="69"/>
      <c r="Q14" s="69"/>
      <c r="R14" s="69"/>
      <c r="S14" s="69"/>
      <c r="T14" s="69"/>
      <c r="U14" s="69"/>
      <c r="V14" s="69"/>
      <c r="W14" s="69"/>
      <c r="X14" s="69"/>
      <c r="Y14" s="69"/>
      <c r="Z14" s="69"/>
      <c r="AA14" s="69"/>
      <c r="AB14" s="69"/>
      <c r="AC14" s="69"/>
      <c r="AD14" s="69"/>
      <c r="AE14" s="69"/>
      <c r="AF14" s="69"/>
      <c r="AG14" s="69"/>
      <c r="AH14" s="69"/>
      <c r="AI14" s="69"/>
      <c r="AJ14" s="69"/>
      <c r="AK14" s="69"/>
      <c r="AL14" s="69"/>
      <c r="AM14" s="69"/>
      <c r="AN14" s="69"/>
      <c r="AO14" s="69"/>
      <c r="AP14" s="69"/>
      <c r="AQ14" s="69"/>
      <c r="AR14" s="69"/>
      <c r="AS14" s="69"/>
      <c r="AT14" s="69"/>
      <c r="AU14" s="69"/>
      <c r="AV14" s="69"/>
      <c r="AW14" s="69"/>
      <c r="AX14" s="69"/>
      <c r="AY14" s="69"/>
      <c r="AZ14" s="69"/>
      <c r="BA14" s="69"/>
    </row>
    <row r="15" spans="1:53" ht="24" customHeight="1" x14ac:dyDescent="0.25">
      <c r="A15" s="62"/>
      <c r="B15" s="66"/>
      <c r="C15" s="67"/>
      <c r="D15" s="67"/>
      <c r="E15" s="68"/>
      <c r="F15" s="69"/>
      <c r="G15" s="69"/>
      <c r="H15" s="69"/>
      <c r="I15" s="69"/>
      <c r="J15" s="69"/>
      <c r="K15" s="69"/>
      <c r="L15" s="69"/>
      <c r="M15" s="69"/>
      <c r="N15" s="69"/>
      <c r="O15" s="69"/>
      <c r="P15" s="69"/>
      <c r="Q15" s="69"/>
      <c r="R15" s="69"/>
      <c r="S15" s="69"/>
      <c r="T15" s="69"/>
      <c r="U15" s="69"/>
      <c r="V15" s="69"/>
      <c r="W15" s="69"/>
      <c r="X15" s="69"/>
      <c r="Y15" s="69"/>
      <c r="Z15" s="69"/>
      <c r="AA15" s="69"/>
      <c r="AB15" s="69"/>
      <c r="AC15" s="69"/>
      <c r="AD15" s="69"/>
      <c r="AE15" s="69"/>
      <c r="AF15" s="69"/>
      <c r="AG15" s="69"/>
      <c r="AH15" s="69"/>
      <c r="AI15" s="69"/>
      <c r="AJ15" s="69"/>
      <c r="AK15" s="69"/>
      <c r="AL15" s="69"/>
      <c r="AM15" s="69"/>
      <c r="AN15" s="69"/>
      <c r="AO15" s="69"/>
      <c r="AP15" s="69"/>
      <c r="AQ15" s="69"/>
      <c r="AR15" s="69"/>
      <c r="AS15" s="69"/>
      <c r="AT15" s="69"/>
      <c r="AU15" s="69"/>
      <c r="AV15" s="69"/>
      <c r="AW15" s="69"/>
      <c r="AX15" s="69"/>
      <c r="AY15" s="69"/>
      <c r="AZ15" s="69"/>
      <c r="BA15" s="69"/>
    </row>
    <row r="16" spans="1:53" ht="24" customHeight="1" x14ac:dyDescent="0.25">
      <c r="A16" s="62"/>
      <c r="B16" s="81" t="s">
        <v>140</v>
      </c>
      <c r="C16" s="82"/>
      <c r="D16" s="82"/>
      <c r="E16" s="82"/>
      <c r="F16" s="82"/>
      <c r="G16" s="82"/>
      <c r="H16" s="82"/>
      <c r="I16" s="82"/>
      <c r="J16" s="82"/>
      <c r="K16" s="82"/>
      <c r="L16" s="82"/>
      <c r="M16" s="82"/>
      <c r="N16" s="82"/>
      <c r="O16" s="82"/>
      <c r="P16" s="82"/>
      <c r="Q16" s="82"/>
      <c r="R16" s="82"/>
      <c r="S16" s="82"/>
      <c r="T16" s="82"/>
      <c r="U16" s="82"/>
      <c r="V16" s="82"/>
      <c r="W16" s="82"/>
      <c r="X16" s="82"/>
      <c r="Y16" s="82"/>
      <c r="Z16" s="82"/>
      <c r="AA16" s="82"/>
      <c r="AB16" s="82"/>
      <c r="AC16" s="82"/>
      <c r="AD16" s="82"/>
      <c r="AE16" s="82"/>
      <c r="AF16" s="82"/>
      <c r="AG16" s="82"/>
      <c r="AH16" s="82"/>
      <c r="AI16" s="82"/>
      <c r="AJ16" s="82"/>
      <c r="AK16" s="82"/>
      <c r="AL16" s="82"/>
      <c r="AM16" s="82"/>
      <c r="AN16" s="82"/>
      <c r="AO16" s="82"/>
      <c r="AP16" s="82"/>
      <c r="AQ16" s="82"/>
      <c r="AR16" s="82"/>
      <c r="AS16" s="82"/>
      <c r="AT16" s="82"/>
      <c r="AU16" s="82"/>
      <c r="AV16" s="82"/>
      <c r="AW16" s="82"/>
      <c r="AX16" s="82"/>
      <c r="AY16" s="82"/>
      <c r="AZ16" s="82"/>
      <c r="BA16" s="83"/>
    </row>
    <row r="17" spans="1:53" ht="24" customHeight="1" x14ac:dyDescent="0.25">
      <c r="A17" s="62"/>
      <c r="B17" s="66"/>
      <c r="C17" s="67"/>
      <c r="D17" s="67"/>
      <c r="E17" s="68"/>
      <c r="F17" s="69"/>
      <c r="G17" s="69"/>
      <c r="H17" s="69"/>
      <c r="I17" s="69"/>
      <c r="J17" s="69"/>
      <c r="K17" s="69"/>
      <c r="L17" s="69"/>
      <c r="M17" s="69"/>
      <c r="N17" s="69"/>
      <c r="O17" s="69"/>
      <c r="P17" s="69"/>
      <c r="Q17" s="69"/>
      <c r="R17" s="69"/>
      <c r="S17" s="69"/>
      <c r="T17" s="69"/>
      <c r="U17" s="69"/>
      <c r="V17" s="69"/>
      <c r="W17" s="69"/>
      <c r="X17" s="69"/>
      <c r="Y17" s="69"/>
      <c r="Z17" s="69"/>
      <c r="AA17" s="69"/>
      <c r="AB17" s="69"/>
      <c r="AC17" s="69"/>
      <c r="AD17" s="69"/>
      <c r="AE17" s="69"/>
      <c r="AF17" s="69"/>
      <c r="AG17" s="69"/>
      <c r="AH17" s="69"/>
      <c r="AI17" s="69"/>
      <c r="AJ17" s="69"/>
      <c r="AK17" s="69"/>
      <c r="AL17" s="69"/>
      <c r="AM17" s="69"/>
      <c r="AN17" s="69"/>
      <c r="AO17" s="69"/>
      <c r="AP17" s="69"/>
      <c r="AQ17" s="69"/>
      <c r="AR17" s="69"/>
      <c r="AS17" s="69"/>
      <c r="AT17" s="69"/>
      <c r="AU17" s="69"/>
      <c r="AV17" s="69"/>
      <c r="AW17" s="69"/>
      <c r="AX17" s="69"/>
      <c r="AY17" s="69"/>
      <c r="AZ17" s="69"/>
      <c r="BA17" s="69"/>
    </row>
    <row r="18" spans="1:53" ht="24" customHeight="1" x14ac:dyDescent="0.25">
      <c r="A18" s="62"/>
      <c r="B18" s="66"/>
      <c r="C18" s="67"/>
      <c r="D18" s="67"/>
      <c r="E18" s="68"/>
      <c r="F18" s="69"/>
      <c r="G18" s="69"/>
      <c r="H18" s="69"/>
      <c r="I18" s="69"/>
      <c r="J18" s="69"/>
      <c r="K18" s="69"/>
      <c r="L18" s="69"/>
      <c r="M18" s="69"/>
      <c r="N18" s="69"/>
      <c r="O18" s="69"/>
      <c r="P18" s="69"/>
      <c r="Q18" s="69"/>
      <c r="R18" s="69"/>
      <c r="S18" s="69"/>
      <c r="T18" s="69"/>
      <c r="U18" s="69"/>
      <c r="V18" s="69"/>
      <c r="W18" s="69"/>
      <c r="X18" s="69"/>
      <c r="Y18" s="69"/>
      <c r="Z18" s="69"/>
      <c r="AA18" s="69"/>
      <c r="AB18" s="69"/>
      <c r="AC18" s="69"/>
      <c r="AD18" s="69"/>
      <c r="AE18" s="69"/>
      <c r="AF18" s="69"/>
      <c r="AG18" s="69"/>
      <c r="AH18" s="69"/>
      <c r="AI18" s="69"/>
      <c r="AJ18" s="69"/>
      <c r="AK18" s="69"/>
      <c r="AL18" s="69"/>
      <c r="AM18" s="69"/>
      <c r="AN18" s="69"/>
      <c r="AO18" s="69"/>
      <c r="AP18" s="69"/>
      <c r="AQ18" s="69"/>
      <c r="AR18" s="69"/>
      <c r="AS18" s="69"/>
      <c r="AT18" s="69"/>
      <c r="AU18" s="69"/>
      <c r="AV18" s="69"/>
      <c r="AW18" s="69"/>
      <c r="AX18" s="69"/>
      <c r="AY18" s="69"/>
      <c r="AZ18" s="69"/>
      <c r="BA18" s="69"/>
    </row>
    <row r="19" spans="1:53" ht="24" customHeight="1" x14ac:dyDescent="0.25">
      <c r="A19" s="62"/>
      <c r="B19" s="66"/>
      <c r="C19" s="67"/>
      <c r="D19" s="67"/>
      <c r="E19" s="68"/>
      <c r="F19" s="69"/>
      <c r="G19" s="69"/>
      <c r="H19" s="69"/>
      <c r="I19" s="69"/>
      <c r="J19" s="69"/>
      <c r="K19" s="69"/>
      <c r="L19" s="69"/>
      <c r="M19" s="69"/>
      <c r="N19" s="69"/>
      <c r="O19" s="69"/>
      <c r="P19" s="69"/>
      <c r="Q19" s="69"/>
      <c r="R19" s="69"/>
      <c r="S19" s="69"/>
      <c r="T19" s="69"/>
      <c r="U19" s="69"/>
      <c r="V19" s="69"/>
      <c r="W19" s="69"/>
      <c r="X19" s="69"/>
      <c r="Y19" s="69"/>
      <c r="Z19" s="69"/>
      <c r="AA19" s="69"/>
      <c r="AB19" s="69"/>
      <c r="AC19" s="69"/>
      <c r="AD19" s="69"/>
      <c r="AE19" s="69"/>
      <c r="AF19" s="69"/>
      <c r="AG19" s="69"/>
      <c r="AH19" s="69"/>
      <c r="AI19" s="69"/>
      <c r="AJ19" s="69"/>
      <c r="AK19" s="69"/>
      <c r="AL19" s="69"/>
      <c r="AM19" s="69"/>
      <c r="AN19" s="69"/>
      <c r="AO19" s="69"/>
      <c r="AP19" s="69"/>
      <c r="AQ19" s="69"/>
      <c r="AR19" s="69"/>
      <c r="AS19" s="69"/>
      <c r="AT19" s="69"/>
      <c r="AU19" s="69"/>
      <c r="AV19" s="69"/>
      <c r="AW19" s="69"/>
      <c r="AX19" s="69"/>
      <c r="AY19" s="69"/>
      <c r="AZ19" s="69"/>
      <c r="BA19" s="69"/>
    </row>
    <row r="20" spans="1:53" ht="24" customHeight="1" x14ac:dyDescent="0.25">
      <c r="A20" s="62"/>
      <c r="B20" s="66"/>
      <c r="C20" s="67"/>
      <c r="D20" s="67"/>
      <c r="E20" s="68"/>
      <c r="F20" s="69"/>
      <c r="G20" s="69"/>
      <c r="H20" s="69"/>
      <c r="I20" s="69"/>
      <c r="J20" s="69"/>
      <c r="K20" s="69"/>
      <c r="L20" s="69"/>
      <c r="M20" s="69"/>
      <c r="N20" s="69"/>
      <c r="O20" s="69"/>
      <c r="P20" s="69"/>
      <c r="Q20" s="69"/>
      <c r="R20" s="69"/>
      <c r="S20" s="69"/>
      <c r="T20" s="69"/>
      <c r="U20" s="69"/>
      <c r="V20" s="69"/>
      <c r="W20" s="69"/>
      <c r="X20" s="69"/>
      <c r="Y20" s="69"/>
      <c r="Z20" s="69"/>
      <c r="AA20" s="69"/>
      <c r="AB20" s="69"/>
      <c r="AC20" s="69"/>
      <c r="AD20" s="69"/>
      <c r="AE20" s="69"/>
      <c r="AF20" s="69"/>
      <c r="AG20" s="69"/>
      <c r="AH20" s="69"/>
      <c r="AI20" s="69"/>
      <c r="AJ20" s="69"/>
      <c r="AK20" s="69"/>
      <c r="AL20" s="69"/>
      <c r="AM20" s="69"/>
      <c r="AN20" s="69"/>
      <c r="AO20" s="69"/>
      <c r="AP20" s="69"/>
      <c r="AQ20" s="69"/>
      <c r="AR20" s="69"/>
      <c r="AS20" s="69"/>
      <c r="AT20" s="69"/>
      <c r="AU20" s="69"/>
      <c r="AV20" s="69"/>
      <c r="AW20" s="69"/>
      <c r="AX20" s="69"/>
      <c r="AY20" s="69"/>
      <c r="AZ20" s="69"/>
      <c r="BA20" s="69"/>
    </row>
    <row r="21" spans="1:53" ht="24" customHeight="1" x14ac:dyDescent="0.25">
      <c r="A21" s="62"/>
      <c r="B21" s="81" t="s">
        <v>141</v>
      </c>
      <c r="C21" s="82"/>
      <c r="D21" s="82"/>
      <c r="E21" s="82"/>
      <c r="F21" s="82"/>
      <c r="G21" s="82"/>
      <c r="H21" s="82"/>
      <c r="I21" s="82"/>
      <c r="J21" s="82"/>
      <c r="K21" s="82"/>
      <c r="L21" s="82"/>
      <c r="M21" s="82"/>
      <c r="N21" s="82"/>
      <c r="O21" s="82"/>
      <c r="P21" s="82"/>
      <c r="Q21" s="82"/>
      <c r="R21" s="82"/>
      <c r="S21" s="82"/>
      <c r="T21" s="82"/>
      <c r="U21" s="82"/>
      <c r="V21" s="82"/>
      <c r="W21" s="82"/>
      <c r="X21" s="82"/>
      <c r="Y21" s="82"/>
      <c r="Z21" s="82"/>
      <c r="AA21" s="82"/>
      <c r="AB21" s="82"/>
      <c r="AC21" s="82"/>
      <c r="AD21" s="82"/>
      <c r="AE21" s="82"/>
      <c r="AF21" s="82"/>
      <c r="AG21" s="82"/>
      <c r="AH21" s="82"/>
      <c r="AI21" s="82"/>
      <c r="AJ21" s="82"/>
      <c r="AK21" s="82"/>
      <c r="AL21" s="82"/>
      <c r="AM21" s="82"/>
      <c r="AN21" s="82"/>
      <c r="AO21" s="82"/>
      <c r="AP21" s="82"/>
      <c r="AQ21" s="82"/>
      <c r="AR21" s="82"/>
      <c r="AS21" s="82"/>
      <c r="AT21" s="82"/>
      <c r="AU21" s="82"/>
      <c r="AV21" s="82"/>
      <c r="AW21" s="82"/>
      <c r="AX21" s="82"/>
      <c r="AY21" s="82"/>
      <c r="AZ21" s="82"/>
      <c r="BA21" s="83"/>
    </row>
    <row r="22" spans="1:53" ht="24" customHeight="1" x14ac:dyDescent="0.25">
      <c r="A22" s="62"/>
      <c r="B22" s="66"/>
      <c r="C22" s="67"/>
      <c r="D22" s="67"/>
      <c r="E22" s="68"/>
      <c r="F22" s="69"/>
      <c r="G22" s="69"/>
      <c r="H22" s="69"/>
      <c r="I22" s="69"/>
      <c r="J22" s="69"/>
      <c r="K22" s="69"/>
      <c r="L22" s="69"/>
      <c r="M22" s="69"/>
      <c r="N22" s="69"/>
      <c r="O22" s="69"/>
      <c r="P22" s="69"/>
      <c r="Q22" s="69"/>
      <c r="R22" s="69"/>
      <c r="S22" s="69"/>
      <c r="T22" s="69"/>
      <c r="U22" s="69"/>
      <c r="V22" s="69"/>
      <c r="W22" s="69"/>
      <c r="X22" s="69"/>
      <c r="Y22" s="69"/>
      <c r="Z22" s="69"/>
      <c r="AA22" s="69"/>
      <c r="AB22" s="69"/>
      <c r="AC22" s="69"/>
      <c r="AD22" s="69"/>
      <c r="AE22" s="69"/>
      <c r="AF22" s="69"/>
      <c r="AG22" s="69"/>
      <c r="AH22" s="69"/>
      <c r="AI22" s="69"/>
      <c r="AJ22" s="69"/>
      <c r="AK22" s="69"/>
      <c r="AL22" s="69"/>
      <c r="AM22" s="69"/>
      <c r="AN22" s="69"/>
      <c r="AO22" s="69"/>
      <c r="AP22" s="69"/>
      <c r="AQ22" s="69"/>
      <c r="AR22" s="69"/>
      <c r="AS22" s="69"/>
      <c r="AT22" s="69"/>
      <c r="AU22" s="69"/>
      <c r="AV22" s="69"/>
      <c r="AW22" s="69"/>
      <c r="AX22" s="69"/>
      <c r="AY22" s="69"/>
      <c r="AZ22" s="69"/>
      <c r="BA22" s="69"/>
    </row>
    <row r="23" spans="1:53" ht="24" customHeight="1" x14ac:dyDescent="0.25">
      <c r="A23" s="62"/>
      <c r="B23" s="66"/>
      <c r="C23" s="67"/>
      <c r="D23" s="67"/>
      <c r="E23" s="68"/>
      <c r="F23" s="69"/>
      <c r="G23" s="69"/>
      <c r="H23" s="69"/>
      <c r="I23" s="69"/>
      <c r="J23" s="69"/>
      <c r="K23" s="69"/>
      <c r="L23" s="69"/>
      <c r="M23" s="69"/>
      <c r="N23" s="69"/>
      <c r="O23" s="69"/>
      <c r="P23" s="69"/>
      <c r="Q23" s="69"/>
      <c r="R23" s="69"/>
      <c r="S23" s="69"/>
      <c r="T23" s="69"/>
      <c r="U23" s="69"/>
      <c r="V23" s="69"/>
      <c r="W23" s="69"/>
      <c r="X23" s="69"/>
      <c r="Y23" s="69"/>
      <c r="Z23" s="69"/>
      <c r="AA23" s="69"/>
      <c r="AB23" s="69"/>
      <c r="AC23" s="69"/>
      <c r="AD23" s="69"/>
      <c r="AE23" s="69"/>
      <c r="AF23" s="69"/>
      <c r="AG23" s="69"/>
      <c r="AH23" s="69"/>
      <c r="AI23" s="69"/>
      <c r="AJ23" s="69"/>
      <c r="AK23" s="69"/>
      <c r="AL23" s="69"/>
      <c r="AM23" s="69"/>
      <c r="AN23" s="69"/>
      <c r="AO23" s="69"/>
      <c r="AP23" s="69"/>
      <c r="AQ23" s="69"/>
      <c r="AR23" s="69"/>
      <c r="AS23" s="69"/>
      <c r="AT23" s="69"/>
      <c r="AU23" s="69"/>
      <c r="AV23" s="69"/>
      <c r="AW23" s="69"/>
      <c r="AX23" s="69"/>
      <c r="AY23" s="69"/>
      <c r="AZ23" s="69"/>
      <c r="BA23" s="69"/>
    </row>
    <row r="24" spans="1:53" ht="24" customHeight="1" x14ac:dyDescent="0.25">
      <c r="A24" s="62"/>
      <c r="B24" s="66"/>
      <c r="C24" s="67"/>
      <c r="D24" s="67"/>
      <c r="E24" s="68"/>
      <c r="F24" s="69"/>
      <c r="G24" s="69"/>
      <c r="H24" s="69"/>
      <c r="I24" s="69"/>
      <c r="J24" s="69"/>
      <c r="K24" s="69"/>
      <c r="L24" s="69"/>
      <c r="M24" s="69"/>
      <c r="N24" s="69"/>
      <c r="O24" s="69"/>
      <c r="P24" s="69"/>
      <c r="Q24" s="69"/>
      <c r="R24" s="69"/>
      <c r="S24" s="69"/>
      <c r="T24" s="69"/>
      <c r="U24" s="69"/>
      <c r="V24" s="69"/>
      <c r="W24" s="69"/>
      <c r="X24" s="69"/>
      <c r="Y24" s="69"/>
      <c r="Z24" s="69"/>
      <c r="AA24" s="69"/>
      <c r="AB24" s="69"/>
      <c r="AC24" s="69"/>
      <c r="AD24" s="69"/>
      <c r="AE24" s="69"/>
      <c r="AF24" s="69"/>
      <c r="AG24" s="69"/>
      <c r="AH24" s="69"/>
      <c r="AI24" s="69"/>
      <c r="AJ24" s="69"/>
      <c r="AK24" s="69"/>
      <c r="AL24" s="69"/>
      <c r="AM24" s="69"/>
      <c r="AN24" s="69"/>
      <c r="AO24" s="69"/>
      <c r="AP24" s="69"/>
      <c r="AQ24" s="69"/>
      <c r="AR24" s="69"/>
      <c r="AS24" s="69"/>
      <c r="AT24" s="69"/>
      <c r="AU24" s="69"/>
      <c r="AV24" s="69"/>
      <c r="AW24" s="69"/>
      <c r="AX24" s="69"/>
      <c r="AY24" s="69"/>
      <c r="AZ24" s="69"/>
      <c r="BA24" s="69"/>
    </row>
    <row r="25" spans="1:53" ht="24" customHeight="1" x14ac:dyDescent="0.25">
      <c r="A25" s="62"/>
      <c r="B25" s="66"/>
      <c r="C25" s="67"/>
      <c r="D25" s="67"/>
      <c r="E25" s="68"/>
      <c r="F25" s="69"/>
      <c r="G25" s="69"/>
      <c r="H25" s="69"/>
      <c r="I25" s="69"/>
      <c r="J25" s="69"/>
      <c r="K25" s="69"/>
      <c r="L25" s="69"/>
      <c r="M25" s="69"/>
      <c r="N25" s="69"/>
      <c r="O25" s="69"/>
      <c r="P25" s="69"/>
      <c r="Q25" s="69"/>
      <c r="R25" s="69"/>
      <c r="S25" s="69"/>
      <c r="T25" s="69"/>
      <c r="U25" s="69"/>
      <c r="V25" s="69"/>
      <c r="W25" s="69"/>
      <c r="X25" s="69"/>
      <c r="Y25" s="69"/>
      <c r="Z25" s="69"/>
      <c r="AA25" s="69"/>
      <c r="AB25" s="69"/>
      <c r="AC25" s="69"/>
      <c r="AD25" s="69"/>
      <c r="AE25" s="69"/>
      <c r="AF25" s="69"/>
      <c r="AG25" s="69"/>
      <c r="AH25" s="69"/>
      <c r="AI25" s="69"/>
      <c r="AJ25" s="69"/>
      <c r="AK25" s="69"/>
      <c r="AL25" s="69"/>
      <c r="AM25" s="69"/>
      <c r="AN25" s="69"/>
      <c r="AO25" s="69"/>
      <c r="AP25" s="69"/>
      <c r="AQ25" s="69"/>
      <c r="AR25" s="69"/>
      <c r="AS25" s="69"/>
      <c r="AT25" s="69"/>
      <c r="AU25" s="69"/>
      <c r="AV25" s="69"/>
      <c r="AW25" s="69"/>
      <c r="AX25" s="69"/>
      <c r="AY25" s="69"/>
      <c r="AZ25" s="69"/>
      <c r="BA25" s="69"/>
    </row>
    <row r="26" spans="1:53" ht="24" customHeight="1" x14ac:dyDescent="0.25">
      <c r="A26" s="62"/>
      <c r="B26" s="62"/>
      <c r="C26" s="62"/>
      <c r="D26" s="70" t="s">
        <v>92</v>
      </c>
      <c r="E26" s="71"/>
      <c r="F26" s="62"/>
      <c r="G26" s="62"/>
      <c r="H26" s="62"/>
      <c r="I26" s="62"/>
      <c r="J26" s="62"/>
      <c r="K26" s="62"/>
      <c r="L26" s="62"/>
      <c r="M26" s="62"/>
      <c r="N26" s="62"/>
      <c r="O26" s="62"/>
      <c r="P26" s="62"/>
      <c r="Q26" s="62"/>
      <c r="R26" s="62"/>
      <c r="S26" s="62"/>
      <c r="T26" s="62"/>
      <c r="U26" s="62"/>
      <c r="V26" s="62"/>
      <c r="W26" s="62"/>
      <c r="X26" s="62"/>
      <c r="Y26" s="62"/>
      <c r="Z26" s="62"/>
      <c r="AA26" s="62"/>
      <c r="AB26" s="62"/>
      <c r="AC26" s="62"/>
      <c r="AD26" s="62"/>
      <c r="AE26" s="62"/>
      <c r="AF26" s="62"/>
      <c r="AG26" s="62"/>
      <c r="AH26" s="62"/>
      <c r="AI26" s="62"/>
      <c r="AJ26" s="62"/>
      <c r="AK26" s="62"/>
      <c r="AL26" s="62"/>
      <c r="AM26" s="62"/>
      <c r="AN26" s="62"/>
      <c r="AO26" s="62"/>
      <c r="AP26" s="62"/>
      <c r="AQ26" s="62"/>
      <c r="AR26" s="62"/>
      <c r="AS26" s="62"/>
      <c r="AT26" s="62"/>
      <c r="AU26" s="62"/>
      <c r="AV26" s="62"/>
      <c r="AW26" s="62"/>
      <c r="AX26" s="62"/>
      <c r="AY26" s="62"/>
      <c r="AZ26" s="62"/>
      <c r="BA26" s="62"/>
    </row>
    <row r="27" spans="1:53" x14ac:dyDescent="0.25">
      <c r="A27" s="62"/>
      <c r="B27" s="62"/>
      <c r="C27" s="62"/>
      <c r="D27" s="62"/>
      <c r="E27" s="62"/>
      <c r="F27" s="62"/>
      <c r="G27" s="62"/>
      <c r="H27" s="62"/>
      <c r="I27" s="62"/>
      <c r="J27" s="62"/>
      <c r="K27" s="62"/>
      <c r="L27" s="62"/>
      <c r="M27" s="62"/>
      <c r="N27" s="62"/>
      <c r="O27" s="62"/>
      <c r="P27" s="62"/>
      <c r="Q27" s="62"/>
      <c r="R27" s="62"/>
      <c r="S27" s="62"/>
      <c r="T27" s="62"/>
      <c r="U27" s="62"/>
      <c r="V27" s="62"/>
      <c r="W27" s="62"/>
      <c r="X27" s="62"/>
      <c r="Y27" s="62"/>
      <c r="Z27" s="62"/>
      <c r="AA27" s="62"/>
      <c r="AB27" s="62"/>
      <c r="AC27" s="62"/>
      <c r="AD27" s="62"/>
      <c r="AE27" s="62"/>
      <c r="AF27" s="62"/>
      <c r="AG27" s="62"/>
      <c r="AH27" s="62"/>
      <c r="AI27" s="62"/>
      <c r="AJ27" s="62"/>
      <c r="AK27" s="62"/>
      <c r="AL27" s="62"/>
      <c r="AM27" s="62"/>
      <c r="AN27" s="62"/>
      <c r="AO27" s="62"/>
      <c r="AP27" s="62"/>
      <c r="AQ27" s="62"/>
      <c r="AR27" s="62"/>
      <c r="AS27" s="62"/>
      <c r="AT27" s="62"/>
      <c r="AU27" s="62"/>
      <c r="AV27" s="62"/>
      <c r="AW27" s="62"/>
      <c r="AX27" s="62"/>
      <c r="AY27" s="62"/>
      <c r="AZ27" s="62"/>
      <c r="BA27" s="62"/>
    </row>
    <row r="28" spans="1:53" x14ac:dyDescent="0.25">
      <c r="A28" s="72"/>
      <c r="B28" s="72"/>
      <c r="C28" s="72"/>
      <c r="D28" s="72"/>
      <c r="E28" s="72"/>
      <c r="F28" s="72"/>
      <c r="G28" s="72"/>
      <c r="H28" s="72"/>
      <c r="I28" s="72"/>
      <c r="J28" s="72"/>
      <c r="K28" s="72"/>
      <c r="L28" s="72"/>
      <c r="M28" s="72"/>
      <c r="N28" s="72"/>
      <c r="O28" s="72"/>
      <c r="P28" s="72"/>
      <c r="Q28" s="72"/>
      <c r="R28" s="72"/>
      <c r="S28" s="72"/>
      <c r="T28" s="72"/>
      <c r="U28" s="72"/>
      <c r="V28" s="72"/>
      <c r="W28" s="72"/>
      <c r="X28" s="72"/>
      <c r="Y28" s="72"/>
      <c r="Z28" s="72"/>
      <c r="AA28" s="72"/>
      <c r="AB28" s="72"/>
      <c r="AC28" s="72"/>
      <c r="AD28" s="72"/>
      <c r="AE28" s="72"/>
      <c r="AF28" s="72"/>
      <c r="AG28" s="72"/>
      <c r="AH28" s="72"/>
      <c r="AI28" s="72"/>
      <c r="AJ28" s="72"/>
      <c r="AK28" s="72"/>
      <c r="AL28" s="72"/>
      <c r="AM28" s="72"/>
      <c r="AN28" s="72"/>
      <c r="AO28" s="72"/>
      <c r="AP28" s="72"/>
      <c r="AQ28" s="72"/>
      <c r="AR28" s="72"/>
      <c r="AS28" s="72"/>
      <c r="AT28" s="72"/>
      <c r="AU28" s="72"/>
      <c r="AV28" s="72"/>
      <c r="AW28" s="72"/>
      <c r="AX28" s="72"/>
      <c r="AY28" s="72"/>
      <c r="AZ28" s="72"/>
      <c r="BA28" s="72"/>
    </row>
  </sheetData>
  <mergeCells count="53">
    <mergeCell ref="AX4:AX5"/>
    <mergeCell ref="AY4:AY5"/>
    <mergeCell ref="AZ4:AZ5"/>
    <mergeCell ref="AP4:AP5"/>
    <mergeCell ref="AQ4:AQ5"/>
    <mergeCell ref="AR4:AR5"/>
    <mergeCell ref="AS4:AS5"/>
    <mergeCell ref="AT4:AT5"/>
    <mergeCell ref="AU4:AU5"/>
    <mergeCell ref="AC4:AC5"/>
    <mergeCell ref="BA4:BA5"/>
    <mergeCell ref="AD4:AD5"/>
    <mergeCell ref="AE4:AE5"/>
    <mergeCell ref="AF4:AF5"/>
    <mergeCell ref="AG4:AG5"/>
    <mergeCell ref="AH4:AH5"/>
    <mergeCell ref="AI4:AI5"/>
    <mergeCell ref="AJ4:AJ5"/>
    <mergeCell ref="AK4:AK5"/>
    <mergeCell ref="AL4:AL5"/>
    <mergeCell ref="AM4:AM5"/>
    <mergeCell ref="AN4:AN5"/>
    <mergeCell ref="AO4:AO5"/>
    <mergeCell ref="AV4:AV5"/>
    <mergeCell ref="AW4:AW5"/>
    <mergeCell ref="X4:X5"/>
    <mergeCell ref="Y4:Y5"/>
    <mergeCell ref="Z4:Z5"/>
    <mergeCell ref="AA4:AA5"/>
    <mergeCell ref="AB4:AB5"/>
    <mergeCell ref="S4:S5"/>
    <mergeCell ref="T4:T5"/>
    <mergeCell ref="U4:U5"/>
    <mergeCell ref="V4:V5"/>
    <mergeCell ref="W4:W5"/>
    <mergeCell ref="A4:A5"/>
    <mergeCell ref="F4:F5"/>
    <mergeCell ref="G4:G5"/>
    <mergeCell ref="H4:H5"/>
    <mergeCell ref="I4:I5"/>
    <mergeCell ref="B3:B5"/>
    <mergeCell ref="J4:J5"/>
    <mergeCell ref="K4:K5"/>
    <mergeCell ref="E3:E5"/>
    <mergeCell ref="D3:D5"/>
    <mergeCell ref="C3:C5"/>
    <mergeCell ref="R4:R5"/>
    <mergeCell ref="L4:L5"/>
    <mergeCell ref="M4:M5"/>
    <mergeCell ref="N4:N5"/>
    <mergeCell ref="O4:O5"/>
    <mergeCell ref="P4:P5"/>
    <mergeCell ref="Q4:Q5"/>
  </mergeCells>
  <pageMargins left="0.78740157499999996" right="0.78740157499999996" top="0.984251969" bottom="0.984251969" header="0.5" footer="0.5"/>
  <pageSetup paperSize="9" orientation="portrait" horizontalDpi="300" verticalDpi="0"/>
  <headerFooter alignWithMargins="0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800-000000000000}">
  <sheetPr>
    <pageSetUpPr fitToPage="1"/>
  </sheetPr>
  <dimension ref="B3:T14"/>
  <sheetViews>
    <sheetView zoomScaleNormal="100" workbookViewId="0">
      <selection activeCell="G12" sqref="G12"/>
    </sheetView>
  </sheetViews>
  <sheetFormatPr baseColWidth="10" defaultColWidth="10.85546875" defaultRowHeight="13.5" x14ac:dyDescent="0.2"/>
  <cols>
    <col min="1" max="1" width="3" style="84" customWidth="1"/>
    <col min="2" max="2" width="17.140625" style="84" customWidth="1"/>
    <col min="3" max="20" width="12.7109375" style="84" customWidth="1"/>
    <col min="21" max="16384" width="10.85546875" style="84"/>
  </cols>
  <sheetData>
    <row r="3" spans="2:20" ht="24" customHeight="1" x14ac:dyDescent="0.2">
      <c r="B3" s="88"/>
      <c r="C3" s="89" t="s">
        <v>41</v>
      </c>
      <c r="D3" s="89"/>
      <c r="E3" s="89"/>
      <c r="F3" s="89" t="s">
        <v>42</v>
      </c>
      <c r="G3" s="89"/>
      <c r="H3" s="89"/>
      <c r="I3" s="89" t="s">
        <v>40</v>
      </c>
      <c r="J3" s="89"/>
      <c r="K3" s="89"/>
      <c r="L3" s="89" t="s">
        <v>43</v>
      </c>
      <c r="M3" s="89"/>
      <c r="N3" s="89"/>
      <c r="O3" s="89" t="s">
        <v>19</v>
      </c>
      <c r="P3" s="89"/>
      <c r="Q3" s="89"/>
      <c r="R3" s="89" t="s">
        <v>18</v>
      </c>
      <c r="S3" s="89"/>
      <c r="T3" s="89"/>
    </row>
    <row r="4" spans="2:20" ht="33.950000000000003" customHeight="1" x14ac:dyDescent="0.2">
      <c r="B4" s="90"/>
      <c r="C4" s="28" t="s">
        <v>142</v>
      </c>
      <c r="D4" s="28" t="s">
        <v>143</v>
      </c>
      <c r="E4" s="28" t="s">
        <v>17</v>
      </c>
      <c r="F4" s="28" t="s">
        <v>142</v>
      </c>
      <c r="G4" s="28" t="s">
        <v>143</v>
      </c>
      <c r="H4" s="28" t="s">
        <v>17</v>
      </c>
      <c r="I4" s="28" t="s">
        <v>142</v>
      </c>
      <c r="J4" s="28" t="s">
        <v>143</v>
      </c>
      <c r="K4" s="28" t="s">
        <v>17</v>
      </c>
      <c r="L4" s="28" t="s">
        <v>142</v>
      </c>
      <c r="M4" s="28" t="s">
        <v>143</v>
      </c>
      <c r="N4" s="28" t="s">
        <v>17</v>
      </c>
      <c r="O4" s="28" t="s">
        <v>142</v>
      </c>
      <c r="P4" s="28" t="s">
        <v>143</v>
      </c>
      <c r="Q4" s="28" t="s">
        <v>17</v>
      </c>
      <c r="R4" s="28" t="s">
        <v>142</v>
      </c>
      <c r="S4" s="28" t="s">
        <v>143</v>
      </c>
      <c r="T4" s="28" t="s">
        <v>17</v>
      </c>
    </row>
    <row r="5" spans="2:20" ht="24" customHeight="1" x14ac:dyDescent="0.2">
      <c r="B5" s="91" t="s">
        <v>28</v>
      </c>
      <c r="C5" s="85"/>
      <c r="D5" s="85"/>
      <c r="E5" s="86"/>
      <c r="F5" s="85"/>
      <c r="G5" s="85"/>
      <c r="H5" s="86"/>
      <c r="I5" s="85"/>
      <c r="J5" s="85"/>
      <c r="K5" s="86"/>
      <c r="L5" s="85"/>
      <c r="M5" s="85"/>
      <c r="N5" s="86"/>
      <c r="O5" s="85"/>
      <c r="P5" s="85"/>
      <c r="Q5" s="86"/>
      <c r="R5" s="86"/>
      <c r="S5" s="86"/>
      <c r="T5" s="86"/>
    </row>
    <row r="6" spans="2:20" ht="24" customHeight="1" x14ac:dyDescent="0.2">
      <c r="B6" s="91" t="s">
        <v>15</v>
      </c>
      <c r="C6" s="85"/>
      <c r="D6" s="85"/>
      <c r="E6" s="86"/>
      <c r="F6" s="85"/>
      <c r="G6" s="85"/>
      <c r="H6" s="86"/>
      <c r="I6" s="85"/>
      <c r="J6" s="85"/>
      <c r="K6" s="86"/>
      <c r="L6" s="85"/>
      <c r="M6" s="85"/>
      <c r="N6" s="86"/>
      <c r="O6" s="85"/>
      <c r="P6" s="85"/>
      <c r="Q6" s="86"/>
      <c r="R6" s="86"/>
      <c r="S6" s="86"/>
      <c r="T6" s="86"/>
    </row>
    <row r="7" spans="2:20" ht="24" customHeight="1" x14ac:dyDescent="0.2">
      <c r="B7" s="91" t="s">
        <v>16</v>
      </c>
      <c r="C7" s="86"/>
      <c r="D7" s="86"/>
      <c r="E7" s="86"/>
      <c r="F7" s="86"/>
      <c r="G7" s="86"/>
      <c r="H7" s="86"/>
      <c r="I7" s="86"/>
      <c r="J7" s="86"/>
      <c r="K7" s="86"/>
      <c r="L7" s="86"/>
      <c r="M7" s="86"/>
      <c r="N7" s="86"/>
      <c r="O7" s="86"/>
      <c r="P7" s="86"/>
      <c r="Q7" s="86"/>
      <c r="R7" s="86"/>
      <c r="S7" s="86"/>
      <c r="T7" s="86"/>
    </row>
    <row r="8" spans="2:20" ht="30" customHeight="1" x14ac:dyDescent="0.2"/>
    <row r="9" spans="2:20" ht="30" customHeight="1" x14ac:dyDescent="0.25">
      <c r="B9" s="87"/>
    </row>
    <row r="10" spans="2:20" ht="30" customHeight="1" x14ac:dyDescent="0.25">
      <c r="B10" s="87"/>
    </row>
    <row r="11" spans="2:20" ht="30" customHeight="1" x14ac:dyDescent="0.25">
      <c r="B11" s="87"/>
    </row>
    <row r="12" spans="2:20" ht="30" customHeight="1" x14ac:dyDescent="0.25">
      <c r="B12" s="87"/>
    </row>
    <row r="13" spans="2:20" ht="30" customHeight="1" x14ac:dyDescent="0.25">
      <c r="B13" s="87"/>
    </row>
    <row r="14" spans="2:20" x14ac:dyDescent="0.25">
      <c r="B14" s="87"/>
    </row>
  </sheetData>
  <mergeCells count="1">
    <mergeCell ref="B3:B4"/>
  </mergeCells>
  <pageMargins left="0.74803149606299213" right="0.74803149606299213" top="0.98425196850393704" bottom="0.98425196850393704" header="0.51181102362204722" footer="0.51181102362204722"/>
  <headerFooter alignWithMargins="0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900-000000000000}">
  <sheetPr>
    <pageSetUpPr fitToPage="1"/>
  </sheetPr>
  <dimension ref="B2:G33"/>
  <sheetViews>
    <sheetView topLeftCell="A3" zoomScaleNormal="100" workbookViewId="0">
      <selection activeCell="K17" sqref="K17"/>
    </sheetView>
  </sheetViews>
  <sheetFormatPr baseColWidth="10" defaultColWidth="10.85546875" defaultRowHeight="13.5" x14ac:dyDescent="0.2"/>
  <cols>
    <col min="1" max="1" width="1.28515625" style="94" customWidth="1"/>
    <col min="2" max="2" width="64.85546875" style="94" customWidth="1"/>
    <col min="3" max="5" width="18.7109375" style="94" customWidth="1"/>
    <col min="6" max="6" width="15.140625" style="94" customWidth="1"/>
    <col min="7" max="8" width="18.85546875" style="94" customWidth="1"/>
    <col min="9" max="9" width="2.42578125" style="94" customWidth="1"/>
    <col min="10" max="16384" width="10.85546875" style="94"/>
  </cols>
  <sheetData>
    <row r="2" spans="2:5" ht="24" customHeight="1" x14ac:dyDescent="0.2">
      <c r="B2" s="92" t="s">
        <v>157</v>
      </c>
      <c r="C2" s="93"/>
    </row>
    <row r="3" spans="2:5" ht="24" customHeight="1" x14ac:dyDescent="0.2">
      <c r="B3" s="95" t="s">
        <v>144</v>
      </c>
      <c r="C3" s="96">
        <v>45000000</v>
      </c>
    </row>
    <row r="4" spans="2:5" ht="24" customHeight="1" x14ac:dyDescent="0.2">
      <c r="B4" s="95" t="s">
        <v>145</v>
      </c>
      <c r="C4" s="96">
        <v>3250000</v>
      </c>
    </row>
    <row r="5" spans="2:5" ht="24" customHeight="1" x14ac:dyDescent="0.2">
      <c r="B5" s="95" t="s">
        <v>146</v>
      </c>
      <c r="C5" s="96">
        <v>900000</v>
      </c>
    </row>
    <row r="6" spans="2:5" ht="24" customHeight="1" x14ac:dyDescent="0.2">
      <c r="B6" s="95" t="s">
        <v>147</v>
      </c>
      <c r="C6" s="96">
        <v>37500000</v>
      </c>
    </row>
    <row r="7" spans="2:5" ht="24" customHeight="1" x14ac:dyDescent="0.2">
      <c r="B7" s="95" t="s">
        <v>148</v>
      </c>
      <c r="C7" s="96">
        <v>26500000</v>
      </c>
    </row>
    <row r="8" spans="2:5" ht="24" customHeight="1" x14ac:dyDescent="0.2">
      <c r="B8" s="97" t="s">
        <v>149</v>
      </c>
      <c r="C8" s="96">
        <v>4500000</v>
      </c>
    </row>
    <row r="9" spans="2:5" ht="33.950000000000003" customHeight="1" x14ac:dyDescent="0.2">
      <c r="B9" s="98" t="s">
        <v>150</v>
      </c>
      <c r="C9" s="96">
        <v>19000000</v>
      </c>
    </row>
    <row r="10" spans="2:5" ht="24" customHeight="1" x14ac:dyDescent="0.2"/>
    <row r="11" spans="2:5" ht="24" customHeight="1" x14ac:dyDescent="0.2"/>
    <row r="12" spans="2:5" ht="24" customHeight="1" x14ac:dyDescent="0.2">
      <c r="B12" s="92" t="s">
        <v>6</v>
      </c>
      <c r="C12" s="112"/>
      <c r="D12" s="112"/>
      <c r="E12" s="113"/>
    </row>
    <row r="13" spans="2:5" s="99" customFormat="1" ht="24" customHeight="1" x14ac:dyDescent="0.2">
      <c r="B13" s="114" t="s">
        <v>21</v>
      </c>
      <c r="C13" s="119" t="s">
        <v>24</v>
      </c>
      <c r="D13" s="119" t="s">
        <v>25</v>
      </c>
      <c r="E13" s="119" t="s">
        <v>26</v>
      </c>
    </row>
    <row r="14" spans="2:5" ht="24" customHeight="1" x14ac:dyDescent="0.2">
      <c r="B14" s="115" t="s">
        <v>23</v>
      </c>
      <c r="C14" s="119"/>
      <c r="D14" s="119"/>
      <c r="E14" s="119"/>
    </row>
    <row r="15" spans="2:5" ht="24" customHeight="1" x14ac:dyDescent="0.2">
      <c r="B15" s="97" t="s">
        <v>151</v>
      </c>
      <c r="C15" s="100">
        <v>1500000</v>
      </c>
      <c r="D15" s="101"/>
      <c r="E15" s="102"/>
    </row>
    <row r="16" spans="2:5" ht="24" customHeight="1" x14ac:dyDescent="0.2">
      <c r="B16" s="97" t="s">
        <v>32</v>
      </c>
      <c r="C16" s="103">
        <v>1.4</v>
      </c>
      <c r="D16" s="104"/>
      <c r="E16" s="102"/>
    </row>
    <row r="17" spans="2:7" ht="24" customHeight="1" x14ac:dyDescent="0.2">
      <c r="B17" s="97" t="s">
        <v>152</v>
      </c>
      <c r="C17" s="105">
        <v>22</v>
      </c>
      <c r="D17" s="106"/>
      <c r="E17" s="102"/>
    </row>
    <row r="18" spans="2:7" s="99" customFormat="1" ht="24" customHeight="1" x14ac:dyDescent="0.2">
      <c r="B18" s="97" t="s">
        <v>33</v>
      </c>
      <c r="C18" s="103">
        <v>0.03</v>
      </c>
      <c r="D18" s="104"/>
      <c r="E18" s="102"/>
    </row>
    <row r="19" spans="2:7" ht="24" customHeight="1" x14ac:dyDescent="0.2">
      <c r="B19" s="115" t="s">
        <v>22</v>
      </c>
      <c r="C19" s="116"/>
      <c r="D19" s="117"/>
      <c r="E19" s="118"/>
    </row>
    <row r="20" spans="2:7" ht="24" customHeight="1" x14ac:dyDescent="0.2">
      <c r="B20" s="97" t="s">
        <v>34</v>
      </c>
      <c r="C20" s="103">
        <v>0.65</v>
      </c>
      <c r="D20" s="104"/>
      <c r="E20" s="102"/>
    </row>
    <row r="21" spans="2:7" ht="24" customHeight="1" x14ac:dyDescent="0.2">
      <c r="B21" s="97" t="s">
        <v>35</v>
      </c>
      <c r="C21" s="103">
        <v>0.8</v>
      </c>
      <c r="D21" s="104"/>
      <c r="E21" s="102"/>
      <c r="F21" s="107"/>
    </row>
    <row r="22" spans="2:7" ht="17.100000000000001" customHeight="1" x14ac:dyDescent="0.2">
      <c r="E22" s="107"/>
    </row>
    <row r="23" spans="2:7" ht="17.100000000000001" customHeight="1" x14ac:dyDescent="0.2">
      <c r="E23" s="108"/>
    </row>
    <row r="24" spans="2:7" ht="17.100000000000001" customHeight="1" x14ac:dyDescent="0.2">
      <c r="E24" s="109"/>
      <c r="F24" s="109"/>
      <c r="G24" s="109"/>
    </row>
    <row r="25" spans="2:7" ht="17.100000000000001" customHeight="1" x14ac:dyDescent="0.2">
      <c r="E25" s="109"/>
      <c r="F25" s="109"/>
      <c r="G25" s="109"/>
    </row>
    <row r="26" spans="2:7" ht="17.100000000000001" customHeight="1" x14ac:dyDescent="0.2">
      <c r="E26" s="109"/>
      <c r="F26" s="109"/>
      <c r="G26" s="109"/>
    </row>
    <row r="27" spans="2:7" ht="17.100000000000001" customHeight="1" x14ac:dyDescent="0.2">
      <c r="E27" s="109"/>
      <c r="F27" s="109"/>
      <c r="G27" s="109"/>
    </row>
    <row r="28" spans="2:7" ht="30" customHeight="1" x14ac:dyDescent="0.2">
      <c r="E28" s="109"/>
      <c r="F28" s="109"/>
      <c r="G28" s="109"/>
    </row>
    <row r="29" spans="2:7" x14ac:dyDescent="0.2">
      <c r="E29" s="110"/>
      <c r="F29" s="110"/>
      <c r="G29" s="110"/>
    </row>
    <row r="31" spans="2:7" x14ac:dyDescent="0.2">
      <c r="F31" s="111"/>
    </row>
    <row r="33" spans="6:6" x14ac:dyDescent="0.2">
      <c r="F33" s="109"/>
    </row>
  </sheetData>
  <mergeCells count="3">
    <mergeCell ref="C13:C14"/>
    <mergeCell ref="D13:D14"/>
    <mergeCell ref="E13:E14"/>
  </mergeCells>
  <phoneticPr fontId="3" type="noConversion"/>
  <pageMargins left="0.74803149606299213" right="0.74803149606299213" top="0.98425196850393704" bottom="0.98425196850393704" header="0.51181102362204722" footer="0.51181102362204722"/>
  <pageSetup paperSize="9" orientation="portrait" horizontalDpi="4294967292" verticalDpi="4294967292"/>
  <headerFooter alignWithMargins="0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A00-000000000000}">
  <sheetPr>
    <pageSetUpPr fitToPage="1"/>
  </sheetPr>
  <dimension ref="B2:G9"/>
  <sheetViews>
    <sheetView zoomScaleNormal="100" workbookViewId="0">
      <selection activeCell="J9" sqref="J9"/>
    </sheetView>
  </sheetViews>
  <sheetFormatPr baseColWidth="10" defaultColWidth="10.85546875" defaultRowHeight="13.5" x14ac:dyDescent="0.25"/>
  <cols>
    <col min="1" max="1" width="2.28515625" style="63" customWidth="1"/>
    <col min="2" max="2" width="28.5703125" style="63" customWidth="1"/>
    <col min="3" max="6" width="18.85546875" style="63" customWidth="1"/>
    <col min="7" max="16384" width="10.85546875" style="63"/>
  </cols>
  <sheetData>
    <row r="2" spans="2:7" s="72" customFormat="1" ht="24" customHeight="1" x14ac:dyDescent="0.2">
      <c r="B2" s="125" t="s">
        <v>14</v>
      </c>
      <c r="C2" s="125"/>
      <c r="D2" s="125"/>
      <c r="E2" s="125"/>
      <c r="F2" s="125"/>
    </row>
    <row r="3" spans="2:7" s="72" customFormat="1" ht="24" customHeight="1" x14ac:dyDescent="0.2">
      <c r="B3" s="126"/>
      <c r="C3" s="38" t="s">
        <v>10</v>
      </c>
      <c r="D3" s="38" t="s">
        <v>11</v>
      </c>
      <c r="E3" s="38" t="s">
        <v>12</v>
      </c>
      <c r="F3" s="38" t="s">
        <v>13</v>
      </c>
    </row>
    <row r="4" spans="2:7" s="72" customFormat="1" ht="24" customHeight="1" x14ac:dyDescent="0.2">
      <c r="B4" s="126" t="s">
        <v>153</v>
      </c>
      <c r="C4" s="120">
        <v>0</v>
      </c>
      <c r="D4" s="120">
        <v>0</v>
      </c>
      <c r="E4" s="120">
        <v>1100</v>
      </c>
      <c r="F4" s="120">
        <v>1800</v>
      </c>
      <c r="G4" s="121"/>
    </row>
    <row r="5" spans="2:7" s="72" customFormat="1" ht="24" customHeight="1" x14ac:dyDescent="0.2">
      <c r="B5" s="126" t="s">
        <v>154</v>
      </c>
      <c r="C5" s="120">
        <v>0</v>
      </c>
      <c r="D5" s="120">
        <v>0</v>
      </c>
      <c r="E5" s="120">
        <v>957</v>
      </c>
      <c r="F5" s="120">
        <v>1566</v>
      </c>
      <c r="G5" s="121"/>
    </row>
    <row r="6" spans="2:7" s="72" customFormat="1" ht="24" customHeight="1" x14ac:dyDescent="0.2">
      <c r="B6" s="126" t="s">
        <v>155</v>
      </c>
      <c r="C6" s="122">
        <v>0</v>
      </c>
      <c r="D6" s="122">
        <v>0</v>
      </c>
      <c r="E6" s="123"/>
      <c r="F6" s="123"/>
      <c r="G6" s="121"/>
    </row>
    <row r="7" spans="2:7" s="72" customFormat="1" ht="24" customHeight="1" x14ac:dyDescent="0.2">
      <c r="B7" s="126" t="s">
        <v>7</v>
      </c>
      <c r="C7" s="122">
        <v>0</v>
      </c>
      <c r="D7" s="122">
        <v>0</v>
      </c>
      <c r="E7" s="123"/>
      <c r="F7" s="123"/>
      <c r="G7" s="121"/>
    </row>
    <row r="8" spans="2:7" s="72" customFormat="1" ht="24" customHeight="1" x14ac:dyDescent="0.2">
      <c r="B8" s="126" t="s">
        <v>8</v>
      </c>
      <c r="C8" s="122">
        <v>0</v>
      </c>
      <c r="D8" s="122">
        <v>0</v>
      </c>
      <c r="E8" s="124">
        <v>12</v>
      </c>
      <c r="F8" s="124">
        <v>15</v>
      </c>
      <c r="G8" s="121"/>
    </row>
    <row r="9" spans="2:7" s="72" customFormat="1" ht="24" customHeight="1" x14ac:dyDescent="0.2">
      <c r="B9" s="126" t="s">
        <v>9</v>
      </c>
      <c r="C9" s="122">
        <v>0</v>
      </c>
      <c r="D9" s="122">
        <v>0</v>
      </c>
      <c r="E9" s="123"/>
      <c r="F9" s="123"/>
      <c r="G9" s="121"/>
    </row>
  </sheetData>
  <pageMargins left="0.74803149606299213" right="0.74803149606299213" top="0.98425196850393704" bottom="0.98425196850393704" header="0.51181102362204722" footer="0.51181102362204722"/>
  <headerFooter alignWithMargins="0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03B3DAC-B196-514B-8FCA-73360CA682B3}">
  <dimension ref="B2:E249"/>
  <sheetViews>
    <sheetView zoomScaleNormal="100" workbookViewId="0">
      <selection activeCell="I14" sqref="I14"/>
    </sheetView>
  </sheetViews>
  <sheetFormatPr baseColWidth="10" defaultColWidth="10.85546875" defaultRowHeight="13.5" x14ac:dyDescent="0.25"/>
  <cols>
    <col min="1" max="1" width="2.42578125" style="127" customWidth="1"/>
    <col min="2" max="2" width="59.85546875" style="127" customWidth="1"/>
    <col min="3" max="5" width="18.85546875" style="127" customWidth="1"/>
    <col min="6" max="16384" width="10.85546875" style="127"/>
  </cols>
  <sheetData>
    <row r="2" spans="2:5" ht="24" customHeight="1" x14ac:dyDescent="0.25">
      <c r="B2" s="134" t="s">
        <v>109</v>
      </c>
      <c r="C2" s="134"/>
      <c r="D2" s="134"/>
      <c r="E2" s="134"/>
    </row>
    <row r="3" spans="2:5" ht="24" customHeight="1" x14ac:dyDescent="0.25">
      <c r="B3" s="135"/>
      <c r="C3" s="136" t="s">
        <v>110</v>
      </c>
      <c r="D3" s="136" t="s">
        <v>111</v>
      </c>
      <c r="E3" s="136" t="s">
        <v>112</v>
      </c>
    </row>
    <row r="4" spans="2:5" ht="24" customHeight="1" x14ac:dyDescent="0.25">
      <c r="B4" s="137" t="s">
        <v>125</v>
      </c>
      <c r="C4" s="128">
        <f>ROUND(C7*80,0)</f>
        <v>30400</v>
      </c>
      <c r="D4" s="128">
        <f>ROUND(D7*90,0)</f>
        <v>111600</v>
      </c>
      <c r="E4" s="128">
        <f>ROUND(E7*55,0)</f>
        <v>196900</v>
      </c>
    </row>
    <row r="5" spans="2:5" ht="24" customHeight="1" x14ac:dyDescent="0.25">
      <c r="B5" s="137" t="s">
        <v>126</v>
      </c>
      <c r="C5" s="128">
        <f>ROUND(C4*0.4,0)</f>
        <v>12160</v>
      </c>
      <c r="D5" s="128">
        <f>ROUND(D4*0.42,0)</f>
        <v>46872</v>
      </c>
      <c r="E5" s="128">
        <f>ROUND(E4*0.23,0)</f>
        <v>45287</v>
      </c>
    </row>
    <row r="6" spans="2:5" ht="24" customHeight="1" x14ac:dyDescent="0.25">
      <c r="B6" s="137" t="s">
        <v>113</v>
      </c>
      <c r="C6" s="128">
        <v>24</v>
      </c>
      <c r="D6" s="128">
        <v>20</v>
      </c>
      <c r="E6" s="128">
        <v>68</v>
      </c>
    </row>
    <row r="7" spans="2:5" ht="24" customHeight="1" x14ac:dyDescent="0.25">
      <c r="B7" s="137" t="s">
        <v>114</v>
      </c>
      <c r="C7" s="128">
        <v>380</v>
      </c>
      <c r="D7" s="128">
        <v>1240</v>
      </c>
      <c r="E7" s="128">
        <v>3580</v>
      </c>
    </row>
    <row r="8" spans="2:5" ht="24" customHeight="1" x14ac:dyDescent="0.25">
      <c r="B8" s="137" t="s">
        <v>115</v>
      </c>
      <c r="C8" s="128">
        <f>ROUND(C7*85,0)</f>
        <v>32300</v>
      </c>
      <c r="D8" s="128">
        <f>ROUND(D7*110,0)</f>
        <v>136400</v>
      </c>
      <c r="E8" s="128">
        <f>ROUND(E7*140,0)</f>
        <v>501200</v>
      </c>
    </row>
    <row r="9" spans="2:5" ht="24" customHeight="1" x14ac:dyDescent="0.25">
      <c r="B9" s="137" t="s">
        <v>116</v>
      </c>
      <c r="C9" s="128">
        <f>ROUND(C8*2%,0)</f>
        <v>646</v>
      </c>
      <c r="D9" s="128">
        <f>ROUND(D8*4%,0)</f>
        <v>5456</v>
      </c>
      <c r="E9" s="128">
        <f>ROUND(E8*3%,0)</f>
        <v>15036</v>
      </c>
    </row>
    <row r="10" spans="2:5" ht="24" customHeight="1" x14ac:dyDescent="0.25">
      <c r="B10" s="137" t="s">
        <v>117</v>
      </c>
      <c r="C10" s="128">
        <v>6100000</v>
      </c>
      <c r="D10" s="128">
        <v>6300000</v>
      </c>
      <c r="E10" s="128">
        <v>7800000</v>
      </c>
    </row>
    <row r="11" spans="2:5" ht="24" customHeight="1" x14ac:dyDescent="0.25"/>
    <row r="12" spans="2:5" ht="24" customHeight="1" x14ac:dyDescent="0.25">
      <c r="B12" s="138" t="s">
        <v>21</v>
      </c>
      <c r="C12" s="139" t="s">
        <v>118</v>
      </c>
      <c r="D12" s="139"/>
      <c r="E12" s="139"/>
    </row>
    <row r="13" spans="2:5" ht="24" customHeight="1" x14ac:dyDescent="0.25">
      <c r="B13" s="140"/>
      <c r="C13" s="136" t="s">
        <v>119</v>
      </c>
      <c r="D13" s="136" t="s">
        <v>120</v>
      </c>
      <c r="E13" s="136" t="s">
        <v>156</v>
      </c>
    </row>
    <row r="14" spans="2:5" ht="24" customHeight="1" x14ac:dyDescent="0.25">
      <c r="B14" s="137" t="s">
        <v>121</v>
      </c>
      <c r="C14" s="142">
        <v>0.05</v>
      </c>
      <c r="D14" s="129"/>
      <c r="E14" s="130"/>
    </row>
    <row r="15" spans="2:5" ht="24" customHeight="1" x14ac:dyDescent="0.25">
      <c r="B15" s="141" t="s">
        <v>127</v>
      </c>
      <c r="C15" s="143">
        <v>200000</v>
      </c>
      <c r="D15" s="131"/>
      <c r="E15" s="130"/>
    </row>
    <row r="16" spans="2:5" ht="24" customHeight="1" x14ac:dyDescent="0.25">
      <c r="B16" s="141" t="s">
        <v>128</v>
      </c>
      <c r="C16" s="143">
        <v>50</v>
      </c>
      <c r="D16" s="132"/>
      <c r="E16" s="130"/>
    </row>
    <row r="17" spans="2:5" ht="24" customHeight="1" x14ac:dyDescent="0.25">
      <c r="B17" s="141" t="s">
        <v>129</v>
      </c>
      <c r="C17" s="142">
        <v>0.25</v>
      </c>
      <c r="D17" s="129"/>
      <c r="E17" s="130"/>
    </row>
    <row r="18" spans="2:5" ht="24" customHeight="1" x14ac:dyDescent="0.25">
      <c r="B18" s="141" t="s">
        <v>122</v>
      </c>
      <c r="C18" s="142">
        <v>0.02</v>
      </c>
      <c r="D18" s="129"/>
      <c r="E18" s="130"/>
    </row>
    <row r="19" spans="2:5" ht="24" customHeight="1" x14ac:dyDescent="0.25">
      <c r="B19" s="141" t="s">
        <v>123</v>
      </c>
      <c r="C19" s="144">
        <v>120</v>
      </c>
      <c r="D19" s="133"/>
      <c r="E19" s="130"/>
    </row>
    <row r="20" spans="2:5" ht="24" customHeight="1" x14ac:dyDescent="0.25">
      <c r="B20" s="141" t="s">
        <v>124</v>
      </c>
      <c r="C20" s="142">
        <v>0.05</v>
      </c>
      <c r="D20" s="129"/>
      <c r="E20" s="130"/>
    </row>
    <row r="21" spans="2:5" ht="24" customHeight="1" x14ac:dyDescent="0.25"/>
    <row r="22" spans="2:5" ht="24" customHeight="1" x14ac:dyDescent="0.25">
      <c r="B22" s="145"/>
    </row>
    <row r="23" spans="2:5" ht="27.95" customHeight="1" x14ac:dyDescent="0.25"/>
    <row r="24" spans="2:5" ht="27.95" customHeight="1" x14ac:dyDescent="0.25"/>
    <row r="25" spans="2:5" ht="27.95" customHeight="1" x14ac:dyDescent="0.25"/>
    <row r="26" spans="2:5" ht="27.95" customHeight="1" x14ac:dyDescent="0.25"/>
    <row r="27" spans="2:5" ht="27.95" customHeight="1" x14ac:dyDescent="0.25"/>
    <row r="28" spans="2:5" ht="27.95" customHeight="1" x14ac:dyDescent="0.25"/>
    <row r="29" spans="2:5" ht="27.95" customHeight="1" x14ac:dyDescent="0.25"/>
    <row r="30" spans="2:5" ht="27.95" customHeight="1" x14ac:dyDescent="0.25"/>
    <row r="31" spans="2:5" ht="27.95" customHeight="1" x14ac:dyDescent="0.25"/>
    <row r="32" spans="2:5" ht="27.95" customHeight="1" x14ac:dyDescent="0.25"/>
    <row r="33" ht="27.95" customHeight="1" x14ac:dyDescent="0.25"/>
    <row r="34" ht="27.95" customHeight="1" x14ac:dyDescent="0.25"/>
    <row r="35" ht="27.95" customHeight="1" x14ac:dyDescent="0.25"/>
    <row r="36" ht="27.95" customHeight="1" x14ac:dyDescent="0.25"/>
    <row r="37" ht="27.95" customHeight="1" x14ac:dyDescent="0.25"/>
    <row r="38" ht="27.95" customHeight="1" x14ac:dyDescent="0.25"/>
    <row r="39" ht="27.95" customHeight="1" x14ac:dyDescent="0.25"/>
    <row r="40" ht="27.95" customHeight="1" x14ac:dyDescent="0.25"/>
    <row r="41" ht="27.95" customHeight="1" x14ac:dyDescent="0.25"/>
    <row r="42" ht="27.95" customHeight="1" x14ac:dyDescent="0.25"/>
    <row r="43" ht="27.95" customHeight="1" x14ac:dyDescent="0.25"/>
    <row r="44" ht="27.95" customHeight="1" x14ac:dyDescent="0.25"/>
    <row r="45" ht="27.95" customHeight="1" x14ac:dyDescent="0.25"/>
    <row r="46" ht="27.95" customHeight="1" x14ac:dyDescent="0.25"/>
    <row r="47" ht="27.95" customHeight="1" x14ac:dyDescent="0.25"/>
    <row r="48" ht="27.95" customHeight="1" x14ac:dyDescent="0.25"/>
    <row r="49" ht="27.95" customHeight="1" x14ac:dyDescent="0.25"/>
    <row r="50" ht="27.95" customHeight="1" x14ac:dyDescent="0.25"/>
    <row r="51" ht="27.95" customHeight="1" x14ac:dyDescent="0.25"/>
    <row r="52" ht="27.95" customHeight="1" x14ac:dyDescent="0.25"/>
    <row r="53" ht="27.95" customHeight="1" x14ac:dyDescent="0.25"/>
    <row r="54" ht="27.95" customHeight="1" x14ac:dyDescent="0.25"/>
    <row r="55" ht="27.95" customHeight="1" x14ac:dyDescent="0.25"/>
    <row r="56" ht="27.95" customHeight="1" x14ac:dyDescent="0.25"/>
    <row r="57" ht="27.95" customHeight="1" x14ac:dyDescent="0.25"/>
    <row r="58" ht="27.95" customHeight="1" x14ac:dyDescent="0.25"/>
    <row r="59" ht="27.95" customHeight="1" x14ac:dyDescent="0.25"/>
    <row r="60" ht="27.95" customHeight="1" x14ac:dyDescent="0.25"/>
    <row r="61" ht="27.95" customHeight="1" x14ac:dyDescent="0.25"/>
    <row r="62" ht="27.95" customHeight="1" x14ac:dyDescent="0.25"/>
    <row r="63" ht="27.95" customHeight="1" x14ac:dyDescent="0.25"/>
    <row r="64" ht="27.95" customHeight="1" x14ac:dyDescent="0.25"/>
    <row r="65" ht="27.95" customHeight="1" x14ac:dyDescent="0.25"/>
    <row r="66" ht="27.95" customHeight="1" x14ac:dyDescent="0.25"/>
    <row r="67" ht="27.95" customHeight="1" x14ac:dyDescent="0.25"/>
    <row r="68" ht="27.95" customHeight="1" x14ac:dyDescent="0.25"/>
    <row r="69" ht="27.95" customHeight="1" x14ac:dyDescent="0.25"/>
    <row r="70" ht="27.95" customHeight="1" x14ac:dyDescent="0.25"/>
    <row r="71" ht="27.95" customHeight="1" x14ac:dyDescent="0.25"/>
    <row r="72" ht="27.95" customHeight="1" x14ac:dyDescent="0.25"/>
    <row r="73" ht="27.95" customHeight="1" x14ac:dyDescent="0.25"/>
    <row r="74" ht="27.95" customHeight="1" x14ac:dyDescent="0.25"/>
    <row r="75" ht="27.95" customHeight="1" x14ac:dyDescent="0.25"/>
    <row r="76" ht="27.95" customHeight="1" x14ac:dyDescent="0.25"/>
    <row r="77" ht="27.95" customHeight="1" x14ac:dyDescent="0.25"/>
    <row r="78" ht="27.95" customHeight="1" x14ac:dyDescent="0.25"/>
    <row r="79" ht="27.95" customHeight="1" x14ac:dyDescent="0.25"/>
    <row r="80" ht="27.95" customHeight="1" x14ac:dyDescent="0.25"/>
    <row r="81" ht="27.95" customHeight="1" x14ac:dyDescent="0.25"/>
    <row r="82" ht="27.95" customHeight="1" x14ac:dyDescent="0.25"/>
    <row r="83" ht="27.95" customHeight="1" x14ac:dyDescent="0.25"/>
    <row r="84" ht="27.95" customHeight="1" x14ac:dyDescent="0.25"/>
    <row r="85" ht="27.95" customHeight="1" x14ac:dyDescent="0.25"/>
    <row r="86" ht="27.95" customHeight="1" x14ac:dyDescent="0.25"/>
    <row r="87" ht="27.95" customHeight="1" x14ac:dyDescent="0.25"/>
    <row r="88" ht="27.95" customHeight="1" x14ac:dyDescent="0.25"/>
    <row r="89" ht="27.95" customHeight="1" x14ac:dyDescent="0.25"/>
    <row r="90" ht="27.95" customHeight="1" x14ac:dyDescent="0.25"/>
    <row r="91" ht="27.95" customHeight="1" x14ac:dyDescent="0.25"/>
    <row r="92" ht="27.95" customHeight="1" x14ac:dyDescent="0.25"/>
    <row r="93" ht="27.95" customHeight="1" x14ac:dyDescent="0.25"/>
    <row r="94" ht="27.95" customHeight="1" x14ac:dyDescent="0.25"/>
    <row r="95" ht="27.95" customHeight="1" x14ac:dyDescent="0.25"/>
    <row r="96" ht="27.95" customHeight="1" x14ac:dyDescent="0.25"/>
    <row r="97" ht="27.95" customHeight="1" x14ac:dyDescent="0.25"/>
    <row r="98" ht="27.95" customHeight="1" x14ac:dyDescent="0.25"/>
    <row r="99" ht="27.95" customHeight="1" x14ac:dyDescent="0.25"/>
    <row r="100" ht="27.95" customHeight="1" x14ac:dyDescent="0.25"/>
    <row r="101" ht="27.95" customHeight="1" x14ac:dyDescent="0.25"/>
    <row r="102" ht="27.95" customHeight="1" x14ac:dyDescent="0.25"/>
    <row r="103" ht="27.95" customHeight="1" x14ac:dyDescent="0.25"/>
    <row r="104" ht="27.95" customHeight="1" x14ac:dyDescent="0.25"/>
    <row r="105" ht="27.95" customHeight="1" x14ac:dyDescent="0.25"/>
    <row r="106" ht="27.95" customHeight="1" x14ac:dyDescent="0.25"/>
    <row r="107" ht="27.95" customHeight="1" x14ac:dyDescent="0.25"/>
    <row r="108" ht="27.95" customHeight="1" x14ac:dyDescent="0.25"/>
    <row r="109" ht="27.95" customHeight="1" x14ac:dyDescent="0.25"/>
    <row r="110" ht="27.95" customHeight="1" x14ac:dyDescent="0.25"/>
    <row r="111" ht="27.95" customHeight="1" x14ac:dyDescent="0.25"/>
    <row r="112" ht="27.95" customHeight="1" x14ac:dyDescent="0.25"/>
    <row r="113" ht="27.95" customHeight="1" x14ac:dyDescent="0.25"/>
    <row r="114" ht="27.95" customHeight="1" x14ac:dyDescent="0.25"/>
    <row r="115" ht="27.95" customHeight="1" x14ac:dyDescent="0.25"/>
    <row r="116" ht="27.95" customHeight="1" x14ac:dyDescent="0.25"/>
    <row r="117" ht="27.95" customHeight="1" x14ac:dyDescent="0.25"/>
    <row r="118" ht="27.95" customHeight="1" x14ac:dyDescent="0.25"/>
    <row r="119" ht="27.95" customHeight="1" x14ac:dyDescent="0.25"/>
    <row r="120" ht="27.95" customHeight="1" x14ac:dyDescent="0.25"/>
    <row r="121" ht="27.95" customHeight="1" x14ac:dyDescent="0.25"/>
    <row r="122" ht="27.95" customHeight="1" x14ac:dyDescent="0.25"/>
    <row r="123" ht="27.95" customHeight="1" x14ac:dyDescent="0.25"/>
    <row r="124" ht="27.95" customHeight="1" x14ac:dyDescent="0.25"/>
    <row r="125" ht="27.95" customHeight="1" x14ac:dyDescent="0.25"/>
    <row r="126" ht="27.95" customHeight="1" x14ac:dyDescent="0.25"/>
    <row r="127" ht="27.95" customHeight="1" x14ac:dyDescent="0.25"/>
    <row r="128" ht="27.95" customHeight="1" x14ac:dyDescent="0.25"/>
    <row r="129" ht="27.95" customHeight="1" x14ac:dyDescent="0.25"/>
    <row r="130" ht="27.95" customHeight="1" x14ac:dyDescent="0.25"/>
    <row r="131" ht="27.95" customHeight="1" x14ac:dyDescent="0.25"/>
    <row r="132" ht="27.95" customHeight="1" x14ac:dyDescent="0.25"/>
    <row r="133" ht="27.95" customHeight="1" x14ac:dyDescent="0.25"/>
    <row r="134" ht="27.95" customHeight="1" x14ac:dyDescent="0.25"/>
    <row r="135" ht="27.95" customHeight="1" x14ac:dyDescent="0.25"/>
    <row r="136" ht="27.95" customHeight="1" x14ac:dyDescent="0.25"/>
    <row r="137" ht="27.95" customHeight="1" x14ac:dyDescent="0.25"/>
    <row r="138" ht="27.95" customHeight="1" x14ac:dyDescent="0.25"/>
    <row r="139" ht="27.95" customHeight="1" x14ac:dyDescent="0.25"/>
    <row r="140" ht="27.95" customHeight="1" x14ac:dyDescent="0.25"/>
    <row r="141" ht="27.95" customHeight="1" x14ac:dyDescent="0.25"/>
    <row r="142" ht="27.95" customHeight="1" x14ac:dyDescent="0.25"/>
    <row r="143" ht="27.95" customHeight="1" x14ac:dyDescent="0.25"/>
    <row r="144" ht="27.95" customHeight="1" x14ac:dyDescent="0.25"/>
    <row r="145" ht="27.95" customHeight="1" x14ac:dyDescent="0.25"/>
    <row r="146" ht="27.95" customHeight="1" x14ac:dyDescent="0.25"/>
    <row r="147" ht="27.95" customHeight="1" x14ac:dyDescent="0.25"/>
    <row r="148" ht="27.95" customHeight="1" x14ac:dyDescent="0.25"/>
    <row r="149" ht="27.95" customHeight="1" x14ac:dyDescent="0.25"/>
    <row r="150" ht="27.95" customHeight="1" x14ac:dyDescent="0.25"/>
    <row r="151" ht="27.95" customHeight="1" x14ac:dyDescent="0.25"/>
    <row r="152" ht="27.95" customHeight="1" x14ac:dyDescent="0.25"/>
    <row r="153" ht="27.95" customHeight="1" x14ac:dyDescent="0.25"/>
    <row r="154" ht="27.95" customHeight="1" x14ac:dyDescent="0.25"/>
    <row r="155" ht="27.95" customHeight="1" x14ac:dyDescent="0.25"/>
    <row r="156" ht="27.95" customHeight="1" x14ac:dyDescent="0.25"/>
    <row r="157" ht="27.95" customHeight="1" x14ac:dyDescent="0.25"/>
    <row r="158" ht="27.95" customHeight="1" x14ac:dyDescent="0.25"/>
    <row r="159" ht="27.95" customHeight="1" x14ac:dyDescent="0.25"/>
    <row r="160" ht="27.95" customHeight="1" x14ac:dyDescent="0.25"/>
    <row r="161" ht="27.95" customHeight="1" x14ac:dyDescent="0.25"/>
    <row r="162" ht="27.95" customHeight="1" x14ac:dyDescent="0.25"/>
    <row r="163" ht="27.95" customHeight="1" x14ac:dyDescent="0.25"/>
    <row r="164" ht="27.95" customHeight="1" x14ac:dyDescent="0.25"/>
    <row r="165" ht="27.95" customHeight="1" x14ac:dyDescent="0.25"/>
    <row r="166" ht="27.95" customHeight="1" x14ac:dyDescent="0.25"/>
    <row r="167" ht="27.95" customHeight="1" x14ac:dyDescent="0.25"/>
    <row r="168" ht="27.95" customHeight="1" x14ac:dyDescent="0.25"/>
    <row r="169" ht="27.95" customHeight="1" x14ac:dyDescent="0.25"/>
    <row r="170" ht="27.95" customHeight="1" x14ac:dyDescent="0.25"/>
    <row r="171" ht="27.95" customHeight="1" x14ac:dyDescent="0.25"/>
    <row r="172" ht="27.95" customHeight="1" x14ac:dyDescent="0.25"/>
    <row r="173" ht="27.95" customHeight="1" x14ac:dyDescent="0.25"/>
    <row r="174" ht="27.95" customHeight="1" x14ac:dyDescent="0.25"/>
    <row r="175" ht="27.95" customHeight="1" x14ac:dyDescent="0.25"/>
    <row r="176" ht="27.95" customHeight="1" x14ac:dyDescent="0.25"/>
    <row r="177" ht="27.95" customHeight="1" x14ac:dyDescent="0.25"/>
    <row r="178" ht="27.95" customHeight="1" x14ac:dyDescent="0.25"/>
    <row r="179" ht="27.95" customHeight="1" x14ac:dyDescent="0.25"/>
    <row r="180" ht="27.95" customHeight="1" x14ac:dyDescent="0.25"/>
    <row r="181" ht="27.95" customHeight="1" x14ac:dyDescent="0.25"/>
    <row r="182" ht="27.95" customHeight="1" x14ac:dyDescent="0.25"/>
    <row r="183" ht="27.95" customHeight="1" x14ac:dyDescent="0.25"/>
    <row r="184" ht="27.95" customHeight="1" x14ac:dyDescent="0.25"/>
    <row r="185" ht="27.95" customHeight="1" x14ac:dyDescent="0.25"/>
    <row r="186" ht="27.95" customHeight="1" x14ac:dyDescent="0.25"/>
    <row r="187" ht="27.95" customHeight="1" x14ac:dyDescent="0.25"/>
    <row r="188" ht="27.95" customHeight="1" x14ac:dyDescent="0.25"/>
    <row r="189" ht="27.95" customHeight="1" x14ac:dyDescent="0.25"/>
    <row r="190" ht="27.95" customHeight="1" x14ac:dyDescent="0.25"/>
    <row r="191" ht="27.95" customHeight="1" x14ac:dyDescent="0.25"/>
    <row r="192" ht="27.95" customHeight="1" x14ac:dyDescent="0.25"/>
    <row r="193" ht="27.95" customHeight="1" x14ac:dyDescent="0.25"/>
    <row r="194" ht="27.95" customHeight="1" x14ac:dyDescent="0.25"/>
    <row r="195" ht="27.95" customHeight="1" x14ac:dyDescent="0.25"/>
    <row r="196" ht="27.95" customHeight="1" x14ac:dyDescent="0.25"/>
    <row r="197" ht="27.95" customHeight="1" x14ac:dyDescent="0.25"/>
    <row r="198" ht="27.95" customHeight="1" x14ac:dyDescent="0.25"/>
    <row r="199" ht="27.95" customHeight="1" x14ac:dyDescent="0.25"/>
    <row r="200" ht="27.95" customHeight="1" x14ac:dyDescent="0.25"/>
    <row r="201" ht="27.95" customHeight="1" x14ac:dyDescent="0.25"/>
    <row r="202" ht="27.95" customHeight="1" x14ac:dyDescent="0.25"/>
    <row r="203" ht="27.95" customHeight="1" x14ac:dyDescent="0.25"/>
    <row r="204" ht="27.95" customHeight="1" x14ac:dyDescent="0.25"/>
    <row r="205" ht="27.95" customHeight="1" x14ac:dyDescent="0.25"/>
    <row r="206" ht="27.95" customHeight="1" x14ac:dyDescent="0.25"/>
    <row r="207" ht="27.95" customHeight="1" x14ac:dyDescent="0.25"/>
    <row r="208" ht="27.95" customHeight="1" x14ac:dyDescent="0.25"/>
    <row r="209" ht="27.95" customHeight="1" x14ac:dyDescent="0.25"/>
    <row r="210" ht="27.95" customHeight="1" x14ac:dyDescent="0.25"/>
    <row r="211" ht="27.95" customHeight="1" x14ac:dyDescent="0.25"/>
    <row r="212" ht="27.95" customHeight="1" x14ac:dyDescent="0.25"/>
    <row r="213" ht="27.95" customHeight="1" x14ac:dyDescent="0.25"/>
    <row r="214" ht="27.95" customHeight="1" x14ac:dyDescent="0.25"/>
    <row r="215" ht="27.95" customHeight="1" x14ac:dyDescent="0.25"/>
    <row r="216" ht="27.95" customHeight="1" x14ac:dyDescent="0.25"/>
    <row r="217" ht="27.95" customHeight="1" x14ac:dyDescent="0.25"/>
    <row r="218" ht="27.95" customHeight="1" x14ac:dyDescent="0.25"/>
    <row r="219" ht="27.95" customHeight="1" x14ac:dyDescent="0.25"/>
    <row r="220" ht="27.95" customHeight="1" x14ac:dyDescent="0.25"/>
    <row r="221" ht="27.95" customHeight="1" x14ac:dyDescent="0.25"/>
    <row r="222" ht="27.95" customHeight="1" x14ac:dyDescent="0.25"/>
    <row r="223" ht="27.95" customHeight="1" x14ac:dyDescent="0.25"/>
    <row r="224" ht="27.95" customHeight="1" x14ac:dyDescent="0.25"/>
    <row r="225" ht="27.95" customHeight="1" x14ac:dyDescent="0.25"/>
    <row r="226" ht="27.95" customHeight="1" x14ac:dyDescent="0.25"/>
    <row r="227" ht="27.95" customHeight="1" x14ac:dyDescent="0.25"/>
    <row r="228" ht="27.95" customHeight="1" x14ac:dyDescent="0.25"/>
    <row r="229" ht="27.95" customHeight="1" x14ac:dyDescent="0.25"/>
    <row r="230" ht="27.95" customHeight="1" x14ac:dyDescent="0.25"/>
    <row r="231" ht="27.95" customHeight="1" x14ac:dyDescent="0.25"/>
    <row r="232" ht="27.95" customHeight="1" x14ac:dyDescent="0.25"/>
    <row r="233" ht="27.95" customHeight="1" x14ac:dyDescent="0.25"/>
    <row r="234" ht="27.95" customHeight="1" x14ac:dyDescent="0.25"/>
    <row r="235" ht="27.95" customHeight="1" x14ac:dyDescent="0.25"/>
    <row r="236" ht="27.95" customHeight="1" x14ac:dyDescent="0.25"/>
    <row r="237" ht="27.95" customHeight="1" x14ac:dyDescent="0.25"/>
    <row r="238" ht="27.95" customHeight="1" x14ac:dyDescent="0.25"/>
    <row r="239" ht="27.95" customHeight="1" x14ac:dyDescent="0.25"/>
    <row r="240" ht="27.95" customHeight="1" x14ac:dyDescent="0.25"/>
    <row r="241" ht="27.95" customHeight="1" x14ac:dyDescent="0.25"/>
    <row r="242" ht="27.95" customHeight="1" x14ac:dyDescent="0.25"/>
    <row r="243" ht="27.95" customHeight="1" x14ac:dyDescent="0.25"/>
    <row r="244" ht="27.95" customHeight="1" x14ac:dyDescent="0.25"/>
    <row r="245" ht="27.95" customHeight="1" x14ac:dyDescent="0.25"/>
    <row r="246" ht="27.95" customHeight="1" x14ac:dyDescent="0.25"/>
    <row r="247" ht="27.95" customHeight="1" x14ac:dyDescent="0.25"/>
    <row r="248" ht="27.95" customHeight="1" x14ac:dyDescent="0.25"/>
    <row r="249" ht="27.95" customHeight="1" x14ac:dyDescent="0.25"/>
  </sheetData>
  <mergeCells count="3">
    <mergeCell ref="B2:E2"/>
    <mergeCell ref="B12:B13"/>
    <mergeCell ref="C12:E12"/>
  </mergeCells>
  <pageMargins left="0.7" right="0.7" top="0.78740157499999996" bottom="0.78740157499999996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TotalTime>0</TotalTime>
  <Application>Microsoft Excel</Application>
  <DocSecurity>0</DocSecurity>
  <ScaleCrop>false</ScaleCrop>
  <HeadingPairs>
    <vt:vector size="2" baseType="variant">
      <vt:variant>
        <vt:lpstr>Arbeitsblätter</vt:lpstr>
      </vt:variant>
      <vt:variant>
        <vt:i4>11</vt:i4>
      </vt:variant>
    </vt:vector>
  </HeadingPairs>
  <TitlesOfParts>
    <vt:vector size="11" baseType="lpstr">
      <vt:lpstr>Daten für Situationsanalysen</vt:lpstr>
      <vt:lpstr>Marktgrößenanalyse</vt:lpstr>
      <vt:lpstr>Produktlebenszyklusanalysen</vt:lpstr>
      <vt:lpstr>Portfolioanalyse</vt:lpstr>
      <vt:lpstr>Preiselastizität der Nachfrage</vt:lpstr>
      <vt:lpstr>Preiskalkulation</vt:lpstr>
      <vt:lpstr>Mediaplan</vt:lpstr>
      <vt:lpstr>Betriebserfolg</vt:lpstr>
      <vt:lpstr>Werbeerfolg</vt:lpstr>
      <vt:lpstr>Deckungsbeitragserfolg</vt:lpstr>
      <vt:lpstr>E-Commerce-Erfolg</vt:lpstr>
    </vt:vector>
  </TitlesOfParts>
  <Company>Berufsbildende Schulen Osterholz-Scharmbeck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Arndt Beiderwieden</dc:creator>
  <cp:lastModifiedBy>Thomas Gorontzy</cp:lastModifiedBy>
  <cp:lastPrinted>2009-06-18T06:24:25Z</cp:lastPrinted>
  <dcterms:created xsi:type="dcterms:W3CDTF">2005-12-23T18:37:54Z</dcterms:created>
  <dcterms:modified xsi:type="dcterms:W3CDTF">2026-09-04T18:24:30Z</dcterms:modified>
</cp:coreProperties>
</file>