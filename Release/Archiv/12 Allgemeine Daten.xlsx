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kduisdorf-my.sharepoint.com/personal/mpeters_bk-duisdorf_de/Documents/7_Autor/Büro/BüroTechnik/6.Auflage/BPW_6. Auflage_Peters_Excel/12/"/>
    </mc:Choice>
  </mc:AlternateContent>
  <xr:revisionPtr revIDLastSave="0" documentId="11_A3FD347914C5F2605BC8D5E88F9DDA6DB01206C7" xr6:coauthVersionLast="47" xr6:coauthVersionMax="47" xr10:uidLastSave="{00000000-0000-0000-0000-000000000000}"/>
  <bookViews>
    <workbookView xWindow="40920" yWindow="-120" windowWidth="29040" windowHeight="15840" tabRatio="673" xr2:uid="{00000000-000D-0000-FFFF-FFFF00000000}"/>
  </bookViews>
  <sheets>
    <sheet name="Artikel" sheetId="4" r:id="rId1"/>
    <sheet name="Kunden" sheetId="1" r:id="rId2"/>
    <sheet name="Lieferanten" sheetId="2" r:id="rId3"/>
    <sheet name="Warengruppen" sheetId="3" r:id="rId4"/>
    <sheet name="optimale Bestellmenge" sheetId="5" r:id="rId5"/>
    <sheet name="opt. BM Ausgangsdaten" sheetId="6" r:id="rId6"/>
    <sheet name="qualitativer Angebotsvergleich" sheetId="7" r:id="rId7"/>
    <sheet name="Bewertung April 20.." sheetId="8" r:id="rId8"/>
    <sheet name="Eingangsrechnungen" sheetId="11" r:id="rId9"/>
    <sheet name="Rechnerische Richtigkeit" sheetId="12" r:id="rId10"/>
    <sheet name="Schema" sheetId="9" r:id="rId11"/>
    <sheet name="Hilfstabelle" sheetId="10" r:id="rId12"/>
  </sheets>
  <externalReferences>
    <externalReference r:id="rId13"/>
  </externalReferences>
  <definedNames>
    <definedName name="Artikel">Artikel!$A$4:$E$39</definedName>
    <definedName name="banken">[1]Bankleitzahlen!$A$2:$B$31</definedName>
    <definedName name="kunden">[1]Kunden!$A$4:$M$31</definedName>
    <definedName name="lieferer">[1]Lieferanten!$A$4:$AA$31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12" l="1"/>
  <c r="D12" i="12"/>
  <c r="D10" i="12"/>
  <c r="D9" i="12"/>
</calcChain>
</file>

<file path=xl/sharedStrings.xml><?xml version="1.0" encoding="utf-8"?>
<sst xmlns="http://schemas.openxmlformats.org/spreadsheetml/2006/main" count="408" uniqueCount="348">
  <si>
    <t>Artikelliste (Auszug)</t>
  </si>
  <si>
    <t>Artikel-Nr.</t>
  </si>
  <si>
    <t>Artikelbezeichnung</t>
  </si>
  <si>
    <t>Warengruppe</t>
  </si>
  <si>
    <t>Einzelpreis</t>
  </si>
  <si>
    <t>Schreibtisch Ökostar</t>
  </si>
  <si>
    <t>Schreibtisch Ahorn</t>
  </si>
  <si>
    <t>Schreibtisch weiß C-Füße</t>
  </si>
  <si>
    <t>Konferenztischelement lichtgrau</t>
  </si>
  <si>
    <t>Mehrzwecktisch oval lichtgrau</t>
  </si>
  <si>
    <t>Bürostuhl Comfort</t>
  </si>
  <si>
    <t>Bandscheiben-Drehstuhl extra</t>
  </si>
  <si>
    <t>Chefsessel Bonn Maxx</t>
  </si>
  <si>
    <t>Hocker Milano</t>
  </si>
  <si>
    <t>Aktenvernichter Safeway</t>
  </si>
  <si>
    <t>Scann-Chef 100</t>
  </si>
  <si>
    <t>Multifax 0912</t>
  </si>
  <si>
    <t>Tischkopierer Sumsang</t>
  </si>
  <si>
    <t>Ventilator Orkano</t>
  </si>
  <si>
    <t>Naturkontor Schreibtisch 140 * 80</t>
  </si>
  <si>
    <t>Naturkontor Schreibtisch 160 * 80</t>
  </si>
  <si>
    <t>Naturkontor Schreibtisch 180 * 90</t>
  </si>
  <si>
    <t>Bürosessel Tenno (zuvor Bürosessel Bodu L)</t>
  </si>
  <si>
    <t>Kundenliste (Auszug)</t>
  </si>
  <si>
    <t>Kunden-Nr.</t>
  </si>
  <si>
    <t>Firma</t>
  </si>
  <si>
    <t>Firmenzusatz</t>
  </si>
  <si>
    <t>Straße Nummer</t>
  </si>
  <si>
    <t>PLZ</t>
  </si>
  <si>
    <t>Ort</t>
  </si>
  <si>
    <t>Telefon</t>
  </si>
  <si>
    <t>BLZ</t>
  </si>
  <si>
    <t>Bank</t>
  </si>
  <si>
    <t>IBAN</t>
  </si>
  <si>
    <t>Ansprechpartner</t>
  </si>
  <si>
    <t>Rabattsatz %</t>
  </si>
  <si>
    <t>Kunde seit</t>
  </si>
  <si>
    <t>Neuhoff KG</t>
  </si>
  <si>
    <t>RaumDesign</t>
  </si>
  <si>
    <t>Brunnenstraße 3</t>
  </si>
  <si>
    <t>Hannover</t>
  </si>
  <si>
    <t>0511 886055-0</t>
  </si>
  <si>
    <t>Sparda Hannover</t>
  </si>
  <si>
    <t>DE95 2509 0500 5588 4674 58</t>
  </si>
  <si>
    <t>Otto Langner</t>
  </si>
  <si>
    <t>Intermöbel GmbH</t>
  </si>
  <si>
    <t>Großhandel für Büromöbel</t>
  </si>
  <si>
    <t>Kaiserstraße 10</t>
  </si>
  <si>
    <t>Siegen</t>
  </si>
  <si>
    <t>0271 522455-0</t>
  </si>
  <si>
    <t>Commerzbank Siegen</t>
  </si>
  <si>
    <t>DE09 4604 0033 7987 8544 31</t>
  </si>
  <si>
    <t>Zeta Franke</t>
  </si>
  <si>
    <t>Stadt Bonn</t>
  </si>
  <si>
    <t>Gebäudemanagement</t>
  </si>
  <si>
    <t>Berliner Platz 2</t>
  </si>
  <si>
    <t>Bonn</t>
  </si>
  <si>
    <t>0228 953378-0</t>
  </si>
  <si>
    <t>Westdeutsche Landesbank Köln</t>
  </si>
  <si>
    <t>DE10 3005 0000 7584 6214 70</t>
  </si>
  <si>
    <t>Laura Bender</t>
  </si>
  <si>
    <t>Frohn KG</t>
  </si>
  <si>
    <t>Büroausstattung</t>
  </si>
  <si>
    <t>Lerchenweg 44</t>
  </si>
  <si>
    <t>Heidelberg</t>
  </si>
  <si>
    <t>06221 474456-0</t>
  </si>
  <si>
    <t>Sparkasse Heidelberg</t>
  </si>
  <si>
    <t>DE51 6725 0020 5934 8754 24</t>
  </si>
  <si>
    <t>Udo Frohn</t>
  </si>
  <si>
    <t>Birkmann OHG</t>
  </si>
  <si>
    <t>Alles fürs Büro</t>
  </si>
  <si>
    <t>Im Ruhrfeld 35 a</t>
  </si>
  <si>
    <t>Norderstedt</t>
  </si>
  <si>
    <t>040 214455-0</t>
  </si>
  <si>
    <t>Hamburger Sparkasse</t>
  </si>
  <si>
    <t>DE71 2005 0550 5957 5413 59</t>
  </si>
  <si>
    <t>Hans Bräuner</t>
  </si>
  <si>
    <t>Gilles &amp; Partner</t>
  </si>
  <si>
    <t>Möbelgroßhandlung</t>
  </si>
  <si>
    <t>Königstraße 28</t>
  </si>
  <si>
    <t>Naumburg</t>
  </si>
  <si>
    <t>03445 977567-0</t>
  </si>
  <si>
    <t>Volks- und Raiffeinsenbank Saale-Unstrut eG</t>
  </si>
  <si>
    <t>DE10 8006 3648 6947 3278 51</t>
  </si>
  <si>
    <t>Sabine Gilles</t>
  </si>
  <si>
    <t>Stammhaus KG</t>
  </si>
  <si>
    <t>Bürokonzepte</t>
  </si>
  <si>
    <t>Berliner Damm 9</t>
  </si>
  <si>
    <t>Koblenz</t>
  </si>
  <si>
    <t>0261 2554778-0</t>
  </si>
  <si>
    <t>Postbank Frankfurt Main</t>
  </si>
  <si>
    <t>DE33 5001 0060 8574 9636 14</t>
  </si>
  <si>
    <t>Matthias Höpfner</t>
  </si>
  <si>
    <t>Rhenag GmbH</t>
  </si>
  <si>
    <t>Bürogroßhandel</t>
  </si>
  <si>
    <t>Annostraße 56</t>
  </si>
  <si>
    <t>Mannheim</t>
  </si>
  <si>
    <t>0621 745567-0</t>
  </si>
  <si>
    <t>Kreissparkasse Köln</t>
  </si>
  <si>
    <t>DE33 3705 0299 2574 9652 14</t>
  </si>
  <si>
    <t>Lisa Henseler</t>
  </si>
  <si>
    <t>Blattschneider &amp; Partner</t>
  </si>
  <si>
    <t>Rechtsanwaltskanzlei</t>
  </si>
  <si>
    <t>Mozartplatz 89a</t>
  </si>
  <si>
    <t>Frankfurt M.</t>
  </si>
  <si>
    <t>069 558944-0</t>
  </si>
  <si>
    <t>Deutsche Bank Frankfurt</t>
  </si>
  <si>
    <t>DE35 5007 0024 1526 8495 76</t>
  </si>
  <si>
    <t>Bianca Tänzer</t>
  </si>
  <si>
    <t>Ärztezentrum Bonn</t>
  </si>
  <si>
    <t>Ganzheitliche Medizin</t>
  </si>
  <si>
    <t>Hohenzollernplatz 83</t>
  </si>
  <si>
    <t>0228 588755-0</t>
  </si>
  <si>
    <t>Deutsche Apotheker- und Ärztebank eG Düsseldorf</t>
  </si>
  <si>
    <t>DE70 3006 0601 1649 7643 25</t>
  </si>
  <si>
    <t>Gerd Trapagini</t>
  </si>
  <si>
    <t>Peter Wagner e. K.</t>
  </si>
  <si>
    <t>Gartenbaubetrieb</t>
  </si>
  <si>
    <t>Große Straße 12</t>
  </si>
  <si>
    <t>Bornheim</t>
  </si>
  <si>
    <t>02223 47885</t>
  </si>
  <si>
    <t>Volksbank Bonn/Rhein-Sieg eG</t>
  </si>
  <si>
    <t>DE50 3806 0186 3696 2585 14</t>
  </si>
  <si>
    <t>Peter Wagner</t>
  </si>
  <si>
    <t>Schulzentrum Nord</t>
  </si>
  <si>
    <t>Effertzgasse 13</t>
  </si>
  <si>
    <t>Siegburg</t>
  </si>
  <si>
    <t>02241 144856-0</t>
  </si>
  <si>
    <t>DE39 3005 0000 1937 4682 55</t>
  </si>
  <si>
    <t>Hanna Danzer</t>
  </si>
  <si>
    <t>Lieferantenliste (Auszug)</t>
  </si>
  <si>
    <t>Lieferer-Nr.</t>
  </si>
  <si>
    <t>Anschrift</t>
  </si>
  <si>
    <t>Telefax</t>
  </si>
  <si>
    <t>www</t>
  </si>
  <si>
    <t>e-mail</t>
  </si>
  <si>
    <t>Zahlungsziel</t>
  </si>
  <si>
    <t>Skontofrist</t>
  </si>
  <si>
    <t>Skontosatz</t>
  </si>
  <si>
    <t>Prüfziffer</t>
  </si>
  <si>
    <t>Frank Zettler oHG</t>
  </si>
  <si>
    <t>Metallbau</t>
  </si>
  <si>
    <t>Steinacker 38</t>
  </si>
  <si>
    <t>0228 58766-0</t>
  </si>
  <si>
    <t xml:space="preserve">0228 58766-123 </t>
  </si>
  <si>
    <t>www.zettler-metallbau.de</t>
  </si>
  <si>
    <t>info@zettler-metallbau.de</t>
  </si>
  <si>
    <t>Volksbank Bonn/Rhein-Sieg</t>
  </si>
  <si>
    <t>DE90 3806 0186 2487 3215 74</t>
  </si>
  <si>
    <t>Saam KG</t>
  </si>
  <si>
    <t>Bürotechnik</t>
  </si>
  <si>
    <t>Am Sonnenhang 9</t>
  </si>
  <si>
    <t>Fulda</t>
  </si>
  <si>
    <t>0661 88672-0</t>
  </si>
  <si>
    <t>0661 88672-444</t>
  </si>
  <si>
    <t>www.saam-kg.de</t>
  </si>
  <si>
    <t>info@saam-kg.de</t>
  </si>
  <si>
    <t>Commerzbank Fulda</t>
  </si>
  <si>
    <t>DE51 5304 0012 3988 4658 94</t>
  </si>
  <si>
    <t>Opitz AG</t>
  </si>
  <si>
    <t>Holz- und Spanplatten</t>
  </si>
  <si>
    <t>Scheerengasse 177</t>
  </si>
  <si>
    <t>02241 6955-0</t>
  </si>
  <si>
    <t>02241 6955-555</t>
  </si>
  <si>
    <t>www.holz-opitz.de</t>
  </si>
  <si>
    <t>info@holz-opitz.de</t>
  </si>
  <si>
    <t>Postbank Köln</t>
  </si>
  <si>
    <t>DE67 3701 0050 5886 2478 76</t>
  </si>
  <si>
    <t>Balthasar GmbH</t>
  </si>
  <si>
    <t>Spedition</t>
  </si>
  <si>
    <t>Kierbach 27</t>
  </si>
  <si>
    <t>Düren</t>
  </si>
  <si>
    <t>02421 888999-0</t>
  </si>
  <si>
    <t>02421 888999-11</t>
  </si>
  <si>
    <t>www.balthasar-spedition.de</t>
  </si>
  <si>
    <t>info@balthasar-spedition.de</t>
  </si>
  <si>
    <t>Sparkasse Düren</t>
  </si>
  <si>
    <t>DE38 3955 0110 2114 7598 64</t>
  </si>
  <si>
    <t>Metallteile</t>
  </si>
  <si>
    <t>Rösgen e. K.</t>
  </si>
  <si>
    <t>Beethovenstraße 30</t>
  </si>
  <si>
    <t>0511 23796-0</t>
  </si>
  <si>
    <t>0511 23796-55</t>
  </si>
  <si>
    <t>www.schrauben-roesgen.de</t>
  </si>
  <si>
    <t>info@schrauben-roesgen.de</t>
  </si>
  <si>
    <t>Hannoversche Volksbank</t>
  </si>
  <si>
    <t>DE29 2519 0001 1185 7566 57</t>
  </si>
  <si>
    <t>Keupen</t>
  </si>
  <si>
    <t>Farben AG</t>
  </si>
  <si>
    <t>Industriepark 100</t>
  </si>
  <si>
    <t>München</t>
  </si>
  <si>
    <t>089 16854-0</t>
  </si>
  <si>
    <t>089 16854-99</t>
  </si>
  <si>
    <t>www.farben-keupen-ag.de</t>
  </si>
  <si>
    <t>info@farben-keupen-ag.de</t>
  </si>
  <si>
    <t>Postbank München</t>
  </si>
  <si>
    <t>DE67 7001 0080 9675 5157 74</t>
  </si>
  <si>
    <t>Papier Spoth GmbH</t>
  </si>
  <si>
    <t>Großhandel für Papier- und Bürobedarf</t>
  </si>
  <si>
    <t>Auf der Höhe 90</t>
  </si>
  <si>
    <t>Hamburg</t>
  </si>
  <si>
    <t>040 963486-0</t>
  </si>
  <si>
    <t>040 963486-44</t>
  </si>
  <si>
    <t>www.papier-spoth.de</t>
  </si>
  <si>
    <t>info@papier-spoth.de</t>
  </si>
  <si>
    <t>DE68 2005 0550 5445 4668 70</t>
  </si>
  <si>
    <t>pc tech AG</t>
  </si>
  <si>
    <t>Fachhandel für Elektronik</t>
  </si>
  <si>
    <t>Hamburger Str. 111</t>
  </si>
  <si>
    <t>Essen</t>
  </si>
  <si>
    <t>0201 487665-0</t>
  </si>
  <si>
    <t>0201 487665-12</t>
  </si>
  <si>
    <t>www,pctechag.de</t>
  </si>
  <si>
    <t>info@pctechag.de</t>
  </si>
  <si>
    <t>Bank für Sozialwirtschaft</t>
  </si>
  <si>
    <t>DE77 3702 0500 4448 7657 15</t>
  </si>
  <si>
    <t>Willi Lauf OHG</t>
  </si>
  <si>
    <t>Bürobedarf</t>
  </si>
  <si>
    <t>Manderscheider Platz 1</t>
  </si>
  <si>
    <t>Warburg</t>
  </si>
  <si>
    <t>05641 48006-0</t>
  </si>
  <si>
    <t>05641 48006-88</t>
  </si>
  <si>
    <t>www.willi-lauf.de</t>
  </si>
  <si>
    <t>kontakt@willi-lauf.de</t>
  </si>
  <si>
    <t>Vereinigte Volksbank Brakel</t>
  </si>
  <si>
    <t>DE33 4726 4367 1500 2221 08</t>
  </si>
  <si>
    <t>Wittman AG</t>
  </si>
  <si>
    <t>Untere Dorfstr. 130</t>
  </si>
  <si>
    <t>0271 80053-0</t>
  </si>
  <si>
    <t>0271 80053-10</t>
  </si>
  <si>
    <t>www.wittmann-ag.de</t>
  </si>
  <si>
    <t>kontakt@wittmann-ag.de</t>
  </si>
  <si>
    <t>DE82 3701 0050 5135 1547 81</t>
  </si>
  <si>
    <t>Rüdiger Kiel GmbH</t>
  </si>
  <si>
    <t>Schaumstoffe und Polstereibedarf</t>
  </si>
  <si>
    <t>Brunnenstr. 23</t>
  </si>
  <si>
    <t xml:space="preserve">Meckenheim  </t>
  </si>
  <si>
    <t>02225 646440-0</t>
  </si>
  <si>
    <t>02225 646440-11</t>
  </si>
  <si>
    <t>www.polster-kiel.de</t>
  </si>
  <si>
    <t>info@polster-kiel.de</t>
  </si>
  <si>
    <t>DE96 3806 0186 2677 7898 90</t>
  </si>
  <si>
    <t>Bezeichnung</t>
  </si>
  <si>
    <t>eigene Erzeugnisse Tische</t>
  </si>
  <si>
    <t>eigene Erzeugnisse Stühle</t>
  </si>
  <si>
    <t>Handelswaren Bürotechnik</t>
  </si>
  <si>
    <t>eigene Erzeugnisse Bürotechnik</t>
  </si>
  <si>
    <t>sonstige Büroausstattung</t>
  </si>
  <si>
    <t>Ermittlung der optimalen Bestellmenge</t>
  </si>
  <si>
    <t>Eingabebereich:</t>
  </si>
  <si>
    <t>Artikel-Nr.:</t>
  </si>
  <si>
    <t>Artikel-Bezeichnung:</t>
  </si>
  <si>
    <t>Jahresbedarf:</t>
  </si>
  <si>
    <t>Bezugspreis pro Stück:</t>
  </si>
  <si>
    <t>Rechenbereich:</t>
  </si>
  <si>
    <t>Bestellhäufigkeit</t>
  </si>
  <si>
    <t>Bestellmenge</t>
  </si>
  <si>
    <t>durchschnittl.
Lagerbestand</t>
  </si>
  <si>
    <t>Bestellkosten</t>
  </si>
  <si>
    <t>Lagerkosten</t>
  </si>
  <si>
    <t>Gesamtkosten</t>
  </si>
  <si>
    <t>Bemerkungen</t>
  </si>
  <si>
    <t>Übersicht über Qualität, Lieferdauer und Zuverlässigkeit der Lieferungen im April 20..</t>
  </si>
  <si>
    <t>Warenein-
gangs-Nr.</t>
  </si>
  <si>
    <t>Lieferanten-
Nr.</t>
  </si>
  <si>
    <t>vergebene Punkte… (von… P.)</t>
  </si>
  <si>
    <t>Qualität
(15 P.)</t>
  </si>
  <si>
    <t>Lieferdauer
(10 P.)</t>
  </si>
  <si>
    <t>Zuverlässigkeit
(10 P.)</t>
  </si>
  <si>
    <t>Qualitativer Angebotsvergleich</t>
  </si>
  <si>
    <t>Lieferanten-Nr.</t>
  </si>
  <si>
    <t>Lieferant</t>
  </si>
  <si>
    <t>Anzahl Lieferungen
April 20..</t>
  </si>
  <si>
    <t>durchschnittl. Bewertungen der…</t>
  </si>
  <si>
    <t>Auswahl des
Lieferanten</t>
  </si>
  <si>
    <t>Ausgangsdaten für Ermittlung der optimalen Bestellmenge</t>
  </si>
  <si>
    <t>Jahresbedarf</t>
  </si>
  <si>
    <t>Bezugspreis
pro Stück</t>
  </si>
  <si>
    <t>Kosten je Bestellung:</t>
  </si>
  <si>
    <t>Lagerkostensatz:</t>
  </si>
  <si>
    <t>Gesamt
(35 P.)</t>
  </si>
  <si>
    <t>Beachten Sie hierbei, dass Sie jeweils den Durchschnitt der drei Kriterien ermitteln sollen.</t>
  </si>
  <si>
    <t>Für den oben dargestellten qualitativen Angebotsvergleich benötigen Sie die Werte aus dem Tabellenblatt "Bewertung April 20..".</t>
  </si>
  <si>
    <t>Funktionen verwendet werden.</t>
  </si>
  <si>
    <t>Hinweise für die Anwender:</t>
  </si>
  <si>
    <t>Verwenden Sie für die Ermittlung der benötigten Werte KEINE EINFACHEN ZELLBEZÜGE. Es sollen hierfür vielmehr sinnvolle</t>
  </si>
  <si>
    <t>Artikelnummer:</t>
  </si>
  <si>
    <t>Artikelname:</t>
  </si>
  <si>
    <t>Datum:</t>
  </si>
  <si>
    <t>angefragte Menge:</t>
  </si>
  <si>
    <t>Listeneinkaufspreis:</t>
  </si>
  <si>
    <t>Prozent</t>
  </si>
  <si>
    <t>Euro</t>
  </si>
  <si>
    <t>Listeneinkaufspreis</t>
  </si>
  <si>
    <t>-</t>
  </si>
  <si>
    <t>Liefererrabatt</t>
  </si>
  <si>
    <t>=</t>
  </si>
  <si>
    <t>Zieleinkaufspreis</t>
  </si>
  <si>
    <t>Liefererskonto</t>
  </si>
  <si>
    <t>Bareinkaufspreis</t>
  </si>
  <si>
    <t>+</t>
  </si>
  <si>
    <t>Bezugskosten</t>
  </si>
  <si>
    <t>Bezugspreis</t>
  </si>
  <si>
    <t>Handlungskosten</t>
  </si>
  <si>
    <t>Selbstkosten</t>
  </si>
  <si>
    <t>Gewinn</t>
  </si>
  <si>
    <t>Barverkaufspreis</t>
  </si>
  <si>
    <t>Kundenskonto</t>
  </si>
  <si>
    <t>Vertreterprovision</t>
  </si>
  <si>
    <t>Zielverkaufspreis</t>
  </si>
  <si>
    <t>Kundenrabatt</t>
  </si>
  <si>
    <t>Listenverkaufspreis</t>
  </si>
  <si>
    <t>Listenverkaufspreis pro Stück</t>
  </si>
  <si>
    <t>Rabattstaffel Kunden</t>
  </si>
  <si>
    <t>Bestellmenge 
ab …</t>
  </si>
  <si>
    <t>Rabattsatz 
in Prozent</t>
  </si>
  <si>
    <t>Daten der Eingangsrechnungen (ungeprüft)</t>
  </si>
  <si>
    <t>Bestell-
Nr.</t>
  </si>
  <si>
    <t>Rechnungs-
nummer</t>
  </si>
  <si>
    <t>Lieferanten-
nummer</t>
  </si>
  <si>
    <t>Warenwert, 
netto</t>
  </si>
  <si>
    <t>Rabattsatz</t>
  </si>
  <si>
    <t>Rabatt</t>
  </si>
  <si>
    <t>Nettobetrag</t>
  </si>
  <si>
    <t>Bezugs-
kosten</t>
  </si>
  <si>
    <t>Umsatz-
steuer</t>
  </si>
  <si>
    <t>Rechnungs-
betrag</t>
  </si>
  <si>
    <t>Skonto-
satz</t>
  </si>
  <si>
    <t>Zahlungs-
ziel in Tagen</t>
  </si>
  <si>
    <t>Skontofrist
in Tagen</t>
  </si>
  <si>
    <t>558/474</t>
  </si>
  <si>
    <t>10275/2015</t>
  </si>
  <si>
    <t>7322/2015</t>
  </si>
  <si>
    <t>Prüfung der Eingangsrechnung auf rechnerische Richtigkeit</t>
  </si>
  <si>
    <t>Rechnungsdaten</t>
  </si>
  <si>
    <t>berechnete Werte</t>
  </si>
  <si>
    <t>Korrektur</t>
  </si>
  <si>
    <t>Bestell-Nr</t>
  </si>
  <si>
    <t>Rechnungsnummer</t>
  </si>
  <si>
    <t>Lieferantennummer</t>
  </si>
  <si>
    <t>Warenwert, netto</t>
  </si>
  <si>
    <t>Umsatzsteuer</t>
  </si>
  <si>
    <t>Rechnungsbetrag</t>
  </si>
  <si>
    <t>Skontosatz:</t>
  </si>
  <si>
    <t>Zahlungsziel inTagen:</t>
  </si>
  <si>
    <t>Skontofrist in Tagen:</t>
  </si>
  <si>
    <t>Überweisungsbetrag (Skonto):</t>
  </si>
  <si>
    <t>eff. Jahreszinssatz Lieferantenkredit: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</si>
</sst>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#,##0.00\ &quot;€&quot;"/>
    <numFmt numFmtId="165" formatCode="00000"/>
    <numFmt numFmtId="166" formatCode="0.0"/>
    <numFmt numFmtId="167" formatCode="_-* #,##0.00\ [$€-407]_-;\-* #,##0.00\ [$€-407]_-;_-* &quot;-&quot;??\ [$€-407]_-;_-@_-"/>
    <numFmt numFmtId="168" formatCode="0.0%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6"/>
      <name val="Arial"/>
      <family val="2"/>
    </font>
    <font>
      <sz val="10"/>
      <color theme="0"/>
      <name val="Arial"/>
      <family val="2"/>
    </font>
    <font>
      <u/>
      <sz val="10"/>
      <color indexed="12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1F497D"/>
      <name val="Arial"/>
      <family val="2"/>
    </font>
    <font>
      <sz val="10"/>
      <color rgb="FF000000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u/>
      <sz val="11"/>
      <color theme="1"/>
      <name val="Arial"/>
      <family val="2"/>
    </font>
    <font>
      <sz val="11"/>
      <name val="Arial"/>
      <family val="2"/>
    </font>
    <font>
      <sz val="11"/>
      <color theme="1"/>
      <name val="Arialk"/>
    </font>
    <font>
      <b/>
      <sz val="11"/>
      <color theme="1"/>
      <name val="Arialk"/>
    </font>
    <font>
      <b/>
      <u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6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112">
    <xf numFmtId="0" fontId="0" fillId="0" borderId="0" xfId="0"/>
    <xf numFmtId="0" fontId="2" fillId="0" borderId="0" xfId="3" applyAlignment="1">
      <alignment vertical="center"/>
    </xf>
    <xf numFmtId="0" fontId="3" fillId="2" borderId="2" xfId="3" applyFont="1" applyFill="1" applyBorder="1" applyAlignment="1">
      <alignment horizontal="center" vertical="center"/>
    </xf>
    <xf numFmtId="0" fontId="2" fillId="0" borderId="1" xfId="3" applyBorder="1" applyAlignment="1">
      <alignment horizontal="center" vertical="center"/>
    </xf>
    <xf numFmtId="0" fontId="2" fillId="0" borderId="1" xfId="3" applyBorder="1" applyAlignment="1">
      <alignment vertical="center"/>
    </xf>
    <xf numFmtId="1" fontId="2" fillId="0" borderId="1" xfId="3" applyNumberFormat="1" applyBorder="1" applyAlignment="1">
      <alignment vertical="center"/>
    </xf>
    <xf numFmtId="165" fontId="2" fillId="0" borderId="1" xfId="3" applyNumberFormat="1" applyBorder="1" applyAlignment="1">
      <alignment horizontal="center" vertical="center"/>
    </xf>
    <xf numFmtId="49" fontId="2" fillId="0" borderId="1" xfId="3" applyNumberFormat="1" applyBorder="1" applyAlignment="1">
      <alignment vertical="center"/>
    </xf>
    <xf numFmtId="0" fontId="3" fillId="0" borderId="1" xfId="3" applyFont="1" applyBorder="1" applyAlignment="1">
      <alignment horizontal="left" vertical="center" wrapText="1"/>
    </xf>
    <xf numFmtId="0" fontId="2" fillId="0" borderId="1" xfId="3" applyBorder="1" applyAlignment="1">
      <alignment horizontal="left" vertical="center"/>
    </xf>
    <xf numFmtId="166" fontId="2" fillId="0" borderId="1" xfId="3" applyNumberFormat="1" applyBorder="1" applyAlignment="1">
      <alignment vertical="center"/>
    </xf>
    <xf numFmtId="14" fontId="2" fillId="0" borderId="1" xfId="3" applyNumberFormat="1" applyBorder="1" applyAlignment="1">
      <alignment horizontal="center" vertical="center"/>
    </xf>
    <xf numFmtId="1" fontId="4" fillId="0" borderId="3" xfId="3" applyNumberFormat="1" applyFont="1" applyBorder="1" applyAlignment="1">
      <alignment vertical="center"/>
    </xf>
    <xf numFmtId="1" fontId="4" fillId="0" borderId="0" xfId="3" applyNumberFormat="1" applyFont="1" applyAlignment="1">
      <alignment vertical="center"/>
    </xf>
    <xf numFmtId="0" fontId="5" fillId="0" borderId="0" xfId="3" applyFont="1"/>
    <xf numFmtId="0" fontId="2" fillId="0" borderId="0" xfId="3"/>
    <xf numFmtId="0" fontId="2" fillId="0" borderId="4" xfId="3" applyBorder="1" applyAlignment="1">
      <alignment horizontal="center" vertical="center"/>
    </xf>
    <xf numFmtId="0" fontId="2" fillId="0" borderId="4" xfId="3" applyBorder="1" applyAlignment="1">
      <alignment vertical="center"/>
    </xf>
    <xf numFmtId="1" fontId="2" fillId="0" borderId="4" xfId="3" applyNumberFormat="1" applyBorder="1" applyAlignment="1">
      <alignment vertical="center"/>
    </xf>
    <xf numFmtId="165" fontId="2" fillId="0" borderId="4" xfId="3" applyNumberFormat="1" applyBorder="1" applyAlignment="1">
      <alignment horizontal="center" vertical="center"/>
    </xf>
    <xf numFmtId="49" fontId="2" fillId="0" borderId="4" xfId="3" applyNumberFormat="1" applyBorder="1" applyAlignment="1">
      <alignment horizontal="right" vertical="center"/>
    </xf>
    <xf numFmtId="1" fontId="6" fillId="0" borderId="4" xfId="4" applyNumberFormat="1" applyFill="1" applyBorder="1" applyAlignment="1" applyProtection="1">
      <alignment vertical="center"/>
    </xf>
    <xf numFmtId="0" fontId="2" fillId="0" borderId="1" xfId="3" applyBorder="1"/>
    <xf numFmtId="0" fontId="2" fillId="0" borderId="1" xfId="3" applyBorder="1" applyAlignment="1">
      <alignment horizontal="right"/>
    </xf>
    <xf numFmtId="49" fontId="2" fillId="0" borderId="1" xfId="3" applyNumberFormat="1" applyBorder="1" applyAlignment="1">
      <alignment horizontal="right" vertical="center"/>
    </xf>
    <xf numFmtId="1" fontId="6" fillId="0" borderId="1" xfId="4" applyNumberFormat="1" applyFill="1" applyBorder="1" applyAlignment="1" applyProtection="1">
      <alignment vertical="center"/>
    </xf>
    <xf numFmtId="0" fontId="6" fillId="0" borderId="0" xfId="4" applyAlignment="1" applyProtection="1"/>
    <xf numFmtId="0" fontId="2" fillId="0" borderId="1" xfId="3" applyBorder="1" applyAlignment="1">
      <alignment horizontal="right" vertical="center"/>
    </xf>
    <xf numFmtId="1" fontId="2" fillId="0" borderId="1" xfId="3" applyNumberFormat="1" applyBorder="1" applyAlignment="1">
      <alignment horizontal="right" vertical="center"/>
    </xf>
    <xf numFmtId="0" fontId="7" fillId="0" borderId="0" xfId="0" applyFont="1"/>
    <xf numFmtId="164" fontId="7" fillId="0" borderId="0" xfId="0" applyNumberFormat="1" applyFont="1"/>
    <xf numFmtId="0" fontId="7" fillId="0" borderId="1" xfId="0" applyFont="1" applyBorder="1"/>
    <xf numFmtId="164" fontId="7" fillId="0" borderId="0" xfId="1" applyNumberFormat="1" applyFont="1"/>
    <xf numFmtId="0" fontId="8" fillId="0" borderId="0" xfId="0" applyFont="1"/>
    <xf numFmtId="164" fontId="8" fillId="0" borderId="0" xfId="0" applyNumberFormat="1" applyFont="1"/>
    <xf numFmtId="0" fontId="8" fillId="0" borderId="1" xfId="0" applyFont="1" applyBorder="1"/>
    <xf numFmtId="164" fontId="8" fillId="0" borderId="1" xfId="1" applyNumberFormat="1" applyFont="1" applyBorder="1"/>
    <xf numFmtId="0" fontId="2" fillId="0" borderId="1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64" fontId="8" fillId="0" borderId="0" xfId="1" applyNumberFormat="1" applyFont="1"/>
    <xf numFmtId="0" fontId="9" fillId="3" borderId="1" xfId="0" applyFont="1" applyFill="1" applyBorder="1" applyAlignment="1">
      <alignment horizontal="center"/>
    </xf>
    <xf numFmtId="164" fontId="9" fillId="3" borderId="1" xfId="0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12" fillId="0" borderId="0" xfId="0" applyFont="1"/>
    <xf numFmtId="0" fontId="13" fillId="0" borderId="0" xfId="3" applyFont="1" applyAlignment="1">
      <alignment vertical="center"/>
    </xf>
    <xf numFmtId="0" fontId="14" fillId="0" borderId="0" xfId="0" applyFont="1"/>
    <xf numFmtId="167" fontId="7" fillId="0" borderId="1" xfId="0" applyNumberFormat="1" applyFont="1" applyBorder="1"/>
    <xf numFmtId="168" fontId="7" fillId="0" borderId="1" xfId="0" applyNumberFormat="1" applyFont="1" applyBorder="1"/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12" fillId="3" borderId="1" xfId="0" applyFont="1" applyFill="1" applyBorder="1" applyAlignment="1">
      <alignment horizontal="center" vertical="center"/>
    </xf>
    <xf numFmtId="164" fontId="12" fillId="3" borderId="1" xfId="0" applyNumberFormat="1" applyFont="1" applyFill="1" applyBorder="1" applyAlignment="1">
      <alignment horizontal="center" vertical="center" wrapText="1"/>
    </xf>
    <xf numFmtId="3" fontId="7" fillId="0" borderId="1" xfId="0" applyNumberFormat="1" applyFont="1" applyBorder="1"/>
    <xf numFmtId="0" fontId="15" fillId="0" borderId="1" xfId="0" applyFont="1" applyBorder="1" applyAlignment="1">
      <alignment vertical="center"/>
    </xf>
    <xf numFmtId="0" fontId="7" fillId="3" borderId="1" xfId="0" applyFont="1" applyFill="1" applyBorder="1" applyAlignment="1">
      <alignment horizontal="center" vertical="center" wrapText="1"/>
    </xf>
    <xf numFmtId="0" fontId="16" fillId="0" borderId="0" xfId="0" applyFont="1"/>
    <xf numFmtId="0" fontId="17" fillId="3" borderId="1" xfId="0" applyFont="1" applyFill="1" applyBorder="1"/>
    <xf numFmtId="0" fontId="16" fillId="3" borderId="1" xfId="0" applyFont="1" applyFill="1" applyBorder="1"/>
    <xf numFmtId="0" fontId="17" fillId="0" borderId="0" xfId="0" applyFont="1" applyAlignment="1">
      <alignment horizontal="left"/>
    </xf>
    <xf numFmtId="0" fontId="17" fillId="3" borderId="0" xfId="0" applyFont="1" applyFill="1" applyAlignment="1">
      <alignment horizontal="center"/>
    </xf>
    <xf numFmtId="0" fontId="17" fillId="3" borderId="0" xfId="0" applyFont="1" applyFill="1"/>
    <xf numFmtId="0" fontId="17" fillId="3" borderId="8" xfId="0" quotePrefix="1" applyFont="1" applyFill="1" applyBorder="1"/>
    <xf numFmtId="0" fontId="17" fillId="3" borderId="8" xfId="0" applyFont="1" applyFill="1" applyBorder="1"/>
    <xf numFmtId="0" fontId="16" fillId="0" borderId="8" xfId="0" applyFont="1" applyBorder="1"/>
    <xf numFmtId="0" fontId="17" fillId="3" borderId="0" xfId="0" quotePrefix="1" applyFont="1" applyFill="1"/>
    <xf numFmtId="0" fontId="18" fillId="0" borderId="0" xfId="0" applyFont="1"/>
    <xf numFmtId="0" fontId="15" fillId="0" borderId="0" xfId="0" applyFont="1" applyAlignment="1">
      <alignment horizontal="center"/>
    </xf>
    <xf numFmtId="0" fontId="15" fillId="0" borderId="0" xfId="0" applyFont="1"/>
    <xf numFmtId="164" fontId="15" fillId="0" borderId="0" xfId="0" applyNumberFormat="1" applyFont="1"/>
    <xf numFmtId="10" fontId="15" fillId="0" borderId="0" xfId="0" applyNumberFormat="1" applyFont="1"/>
    <xf numFmtId="0" fontId="13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5" fillId="0" borderId="1" xfId="0" applyFont="1" applyBorder="1"/>
    <xf numFmtId="164" fontId="15" fillId="0" borderId="1" xfId="0" applyNumberFormat="1" applyFont="1" applyBorder="1"/>
    <xf numFmtId="10" fontId="15" fillId="0" borderId="1" xfId="0" applyNumberFormat="1" applyFont="1" applyBorder="1"/>
    <xf numFmtId="0" fontId="13" fillId="4" borderId="1" xfId="0" applyFont="1" applyFill="1" applyBorder="1" applyAlignment="1">
      <alignment horizontal="center" vertical="center" wrapText="1"/>
    </xf>
    <xf numFmtId="164" fontId="13" fillId="4" borderId="1" xfId="0" applyNumberFormat="1" applyFont="1" applyFill="1" applyBorder="1" applyAlignment="1">
      <alignment horizontal="center" vertical="center" wrapText="1"/>
    </xf>
    <xf numFmtId="10" fontId="13" fillId="4" borderId="1" xfId="0" applyNumberFormat="1" applyFont="1" applyFill="1" applyBorder="1" applyAlignment="1">
      <alignment horizontal="center" vertical="center"/>
    </xf>
    <xf numFmtId="164" fontId="13" fillId="4" borderId="1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3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vertical="center"/>
    </xf>
    <xf numFmtId="0" fontId="13" fillId="0" borderId="1" xfId="2" applyNumberFormat="1" applyFont="1" applyBorder="1" applyAlignment="1">
      <alignment horizontal="right" vertical="center"/>
    </xf>
    <xf numFmtId="0" fontId="15" fillId="0" borderId="1" xfId="2" applyNumberFormat="1" applyFont="1" applyBorder="1" applyAlignment="1">
      <alignment horizontal="right" vertical="center"/>
    </xf>
    <xf numFmtId="0" fontId="15" fillId="0" borderId="1" xfId="0" applyFont="1" applyBorder="1" applyAlignment="1">
      <alignment horizontal="right" vertical="center"/>
    </xf>
    <xf numFmtId="164" fontId="15" fillId="0" borderId="1" xfId="0" applyNumberFormat="1" applyFont="1" applyBorder="1" applyAlignment="1">
      <alignment horizontal="center" vertical="center"/>
    </xf>
    <xf numFmtId="0" fontId="15" fillId="4" borderId="1" xfId="0" applyFont="1" applyFill="1" applyBorder="1" applyAlignment="1">
      <alignment horizontal="right" vertical="center"/>
    </xf>
    <xf numFmtId="164" fontId="15" fillId="4" borderId="1" xfId="0" applyNumberFormat="1" applyFont="1" applyFill="1" applyBorder="1" applyAlignment="1">
      <alignment horizontal="right" vertical="center"/>
    </xf>
    <xf numFmtId="0" fontId="15" fillId="0" borderId="9" xfId="2" applyNumberFormat="1" applyFont="1" applyBorder="1" applyAlignment="1">
      <alignment horizontal="right" vertical="center"/>
    </xf>
    <xf numFmtId="0" fontId="15" fillId="0" borderId="0" xfId="2" applyNumberFormat="1" applyFont="1" applyFill="1" applyBorder="1" applyAlignment="1">
      <alignment vertical="center"/>
    </xf>
    <xf numFmtId="0" fontId="15" fillId="4" borderId="1" xfId="0" applyFont="1" applyFill="1" applyBorder="1" applyAlignment="1">
      <alignment vertical="center" wrapText="1"/>
    </xf>
    <xf numFmtId="0" fontId="15" fillId="0" borderId="1" xfId="5" applyNumberFormat="1" applyFont="1" applyBorder="1" applyAlignment="1">
      <alignment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18" fillId="4" borderId="5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15" fillId="4" borderId="9" xfId="0" applyFont="1" applyFill="1" applyBorder="1" applyAlignment="1">
      <alignment horizontal="center" vertical="center"/>
    </xf>
    <xf numFmtId="0" fontId="15" fillId="4" borderId="10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left"/>
    </xf>
    <xf numFmtId="0" fontId="16" fillId="0" borderId="1" xfId="0" applyFont="1" applyBorder="1"/>
    <xf numFmtId="0" fontId="16" fillId="0" borderId="1" xfId="0" applyFont="1" applyBorder="1" applyAlignment="1">
      <alignment horizontal="left"/>
    </xf>
    <xf numFmtId="0" fontId="12" fillId="0" borderId="0" xfId="0" applyFont="1" applyAlignment="1">
      <alignment horizontal="center"/>
    </xf>
  </cellXfs>
  <cellStyles count="6">
    <cellStyle name="Euro" xfId="2" xr:uid="{00000000-0005-0000-0000-000000000000}"/>
    <cellStyle name="Link" xfId="4" builtinId="8"/>
    <cellStyle name="Prozent" xfId="5" builtinId="5"/>
    <cellStyle name="Standard" xfId="0" builtinId="0"/>
    <cellStyle name="Standard 2" xfId="3" xr:uid="{00000000-0005-0000-0000-000004000000}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Users\OA\Documents\Duisdorfer%20B&#252;rokonzept%20Warenwirtschaf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sgangsrechnung blanco"/>
      <sheetName val="Eingangsrechnung blanco"/>
      <sheetName val="Kunden"/>
      <sheetName val="Lieferanten"/>
      <sheetName val="Artikel"/>
      <sheetName val="Bankleitzahlen"/>
      <sheetName val="Warengruppen"/>
      <sheetName val="Eingangsrechnung Wittmann"/>
      <sheetName val="Ausgangsrechnung Stadt Bonn"/>
      <sheetName val="Eingangsrechnung Wittmann (2)"/>
      <sheetName val="Ausgangsrechnung Stadt Bonn (2"/>
      <sheetName val="Eingangsrechnung Metallteil (3)"/>
      <sheetName val="AR Intermöbel"/>
      <sheetName val="Eingangsrechnung Willi Lauf"/>
      <sheetName val="Eingangsrechnung Metallteil (4"/>
    </sheetNames>
    <sheetDataSet>
      <sheetData sheetId="0"/>
      <sheetData sheetId="1"/>
      <sheetData sheetId="2">
        <row r="4">
          <cell r="A4">
            <v>2401</v>
          </cell>
          <cell r="B4" t="str">
            <v>Neuhoff KG</v>
          </cell>
          <cell r="C4" t="str">
            <v>RaumDesign</v>
          </cell>
          <cell r="D4" t="str">
            <v>Brunnenstraße 3</v>
          </cell>
          <cell r="E4">
            <v>38700</v>
          </cell>
          <cell r="F4" t="str">
            <v>Hannover</v>
          </cell>
          <cell r="G4" t="str">
            <v>0511 886055-0</v>
          </cell>
          <cell r="H4">
            <v>25090500</v>
          </cell>
          <cell r="I4" t="str">
            <v>Sparda Hannover</v>
          </cell>
          <cell r="J4">
            <v>0</v>
          </cell>
          <cell r="K4" t="str">
            <v>Otto Langner</v>
          </cell>
          <cell r="L4">
            <v>5</v>
          </cell>
          <cell r="M4">
            <v>38438</v>
          </cell>
        </row>
        <row r="5">
          <cell r="A5">
            <v>2402</v>
          </cell>
          <cell r="B5" t="str">
            <v>Intermöbel GmbH</v>
          </cell>
          <cell r="C5" t="str">
            <v>Großhandel für Büromöbel</v>
          </cell>
          <cell r="D5" t="str">
            <v>Kaiserstraße 10</v>
          </cell>
          <cell r="E5">
            <v>57074</v>
          </cell>
          <cell r="F5" t="str">
            <v>Siegen</v>
          </cell>
          <cell r="G5" t="str">
            <v>0271 522455-0</v>
          </cell>
          <cell r="H5">
            <v>46040033</v>
          </cell>
          <cell r="I5" t="str">
            <v>Commerzbank Siegen</v>
          </cell>
          <cell r="J5">
            <v>0</v>
          </cell>
          <cell r="K5" t="str">
            <v>Zeta Franke</v>
          </cell>
          <cell r="L5">
            <v>7.5</v>
          </cell>
          <cell r="M5">
            <v>38722</v>
          </cell>
        </row>
        <row r="6">
          <cell r="A6">
            <v>2403</v>
          </cell>
          <cell r="B6" t="str">
            <v>Stadt Bonn</v>
          </cell>
          <cell r="C6" t="str">
            <v>Gebäudemanagement</v>
          </cell>
          <cell r="D6" t="str">
            <v>Berliner Platz 2</v>
          </cell>
          <cell r="E6">
            <v>53103</v>
          </cell>
          <cell r="F6" t="str">
            <v>Bonn</v>
          </cell>
          <cell r="G6" t="str">
            <v>0228 953378-0</v>
          </cell>
          <cell r="H6">
            <v>30050000</v>
          </cell>
          <cell r="I6" t="str">
            <v>Westdeutsche Landesbank Köln</v>
          </cell>
          <cell r="J6">
            <v>0</v>
          </cell>
          <cell r="K6" t="str">
            <v>Laura Bender</v>
          </cell>
          <cell r="L6">
            <v>0</v>
          </cell>
          <cell r="M6">
            <v>38842</v>
          </cell>
        </row>
        <row r="7">
          <cell r="A7">
            <v>2404</v>
          </cell>
          <cell r="B7" t="str">
            <v>Frohn KG</v>
          </cell>
          <cell r="C7" t="str">
            <v>Büroausstattung</v>
          </cell>
          <cell r="D7" t="str">
            <v>Lerchenweg 44</v>
          </cell>
          <cell r="E7">
            <v>69117</v>
          </cell>
          <cell r="F7" t="str">
            <v>Heidelberg</v>
          </cell>
          <cell r="G7" t="str">
            <v>06221 474456-0</v>
          </cell>
          <cell r="H7">
            <v>67250020</v>
          </cell>
          <cell r="I7" t="str">
            <v>Sparkasse Heidelberg</v>
          </cell>
          <cell r="J7">
            <v>0</v>
          </cell>
          <cell r="K7" t="str">
            <v>Udo Frohn</v>
          </cell>
          <cell r="L7">
            <v>5</v>
          </cell>
          <cell r="M7">
            <v>39346</v>
          </cell>
        </row>
        <row r="8">
          <cell r="A8">
            <v>2405</v>
          </cell>
          <cell r="B8" t="str">
            <v>Birkmann OHG</v>
          </cell>
          <cell r="C8" t="str">
            <v>Alles fürs Büro</v>
          </cell>
          <cell r="D8" t="str">
            <v>Im Ruhrfeld 35 a</v>
          </cell>
          <cell r="E8">
            <v>22866</v>
          </cell>
          <cell r="F8" t="str">
            <v>Norderstedt</v>
          </cell>
          <cell r="G8" t="str">
            <v>040 214455-0</v>
          </cell>
          <cell r="H8">
            <v>20050550</v>
          </cell>
          <cell r="I8" t="str">
            <v>Hamburger Sparkasse</v>
          </cell>
          <cell r="J8">
            <v>0</v>
          </cell>
          <cell r="K8" t="str">
            <v>Hans Bräuner</v>
          </cell>
          <cell r="L8">
            <v>10</v>
          </cell>
          <cell r="M8">
            <v>39535</v>
          </cell>
        </row>
        <row r="9">
          <cell r="A9">
            <v>2406</v>
          </cell>
          <cell r="B9" t="str">
            <v>Gilles &amp; Partner</v>
          </cell>
          <cell r="C9" t="str">
            <v>Möbelgroßhandlung</v>
          </cell>
          <cell r="D9" t="str">
            <v>Königstraße 28</v>
          </cell>
          <cell r="E9">
            <v>6618</v>
          </cell>
          <cell r="F9" t="str">
            <v>Naumburg</v>
          </cell>
          <cell r="G9" t="str">
            <v>03445 977567-0</v>
          </cell>
          <cell r="H9">
            <v>80063648</v>
          </cell>
          <cell r="I9" t="str">
            <v>Volks- und Raiffeinsenbank Saale-Unstrut eG</v>
          </cell>
          <cell r="J9">
            <v>0</v>
          </cell>
          <cell r="K9" t="str">
            <v>Sabine Gilles</v>
          </cell>
          <cell r="L9">
            <v>5</v>
          </cell>
          <cell r="M9">
            <v>39597</v>
          </cell>
        </row>
        <row r="10">
          <cell r="A10">
            <v>2407</v>
          </cell>
          <cell r="B10" t="str">
            <v>Stammhaus KG</v>
          </cell>
          <cell r="C10" t="str">
            <v>Bürokonzepte</v>
          </cell>
          <cell r="D10" t="str">
            <v>Berliner Damm 9</v>
          </cell>
          <cell r="E10">
            <v>56077</v>
          </cell>
          <cell r="F10" t="str">
            <v>Koblenz</v>
          </cell>
          <cell r="G10" t="str">
            <v>0261 2554778-0</v>
          </cell>
          <cell r="H10">
            <v>50010060</v>
          </cell>
          <cell r="I10" t="str">
            <v>Postbank Frankfurt Main</v>
          </cell>
          <cell r="J10">
            <v>0</v>
          </cell>
          <cell r="K10" t="str">
            <v>Matthias Höpfner</v>
          </cell>
          <cell r="L10">
            <v>7.5</v>
          </cell>
          <cell r="M10">
            <v>39667</v>
          </cell>
        </row>
        <row r="11">
          <cell r="A11">
            <v>2408</v>
          </cell>
          <cell r="B11" t="str">
            <v>Rhenag GmbH</v>
          </cell>
          <cell r="C11" t="str">
            <v>Bürogroßhandel</v>
          </cell>
          <cell r="D11" t="str">
            <v>Annostraße 56</v>
          </cell>
          <cell r="E11">
            <v>68239</v>
          </cell>
          <cell r="F11" t="str">
            <v>Mannheim</v>
          </cell>
          <cell r="G11" t="str">
            <v>0621 745567-0</v>
          </cell>
          <cell r="H11">
            <v>37050299</v>
          </cell>
          <cell r="I11" t="str">
            <v>Kreissparkasse Köln</v>
          </cell>
          <cell r="J11">
            <v>0</v>
          </cell>
          <cell r="K11" t="str">
            <v>Lisa Henseler</v>
          </cell>
          <cell r="L11">
            <v>10</v>
          </cell>
          <cell r="M11">
            <v>39967</v>
          </cell>
        </row>
        <row r="12">
          <cell r="A12">
            <v>2409</v>
          </cell>
          <cell r="B12" t="str">
            <v>Blattschneider &amp; Partner</v>
          </cell>
          <cell r="C12" t="str">
            <v>Rechtsanwaltskanzlei</v>
          </cell>
          <cell r="D12" t="str">
            <v>Mozartplatz 89a</v>
          </cell>
          <cell r="E12">
            <v>60322</v>
          </cell>
          <cell r="F12" t="str">
            <v>Frankfurt M.</v>
          </cell>
          <cell r="G12" t="str">
            <v>069 558944-0</v>
          </cell>
          <cell r="H12">
            <v>50070024</v>
          </cell>
          <cell r="I12" t="str">
            <v>Deutsche Bank Frankfurt</v>
          </cell>
          <cell r="J12">
            <v>0</v>
          </cell>
          <cell r="K12" t="str">
            <v>Bianca Tänzer</v>
          </cell>
          <cell r="L12">
            <v>0</v>
          </cell>
          <cell r="M12">
            <v>40064</v>
          </cell>
        </row>
        <row r="13">
          <cell r="A13">
            <v>2410</v>
          </cell>
          <cell r="B13" t="str">
            <v>Ärztezentrum Bonn</v>
          </cell>
          <cell r="C13" t="str">
            <v>Ganzheitliche Medizin</v>
          </cell>
          <cell r="D13" t="str">
            <v>Hohenzollernplatz 83</v>
          </cell>
          <cell r="E13">
            <v>53188</v>
          </cell>
          <cell r="F13" t="str">
            <v>Bonn</v>
          </cell>
          <cell r="G13" t="str">
            <v>0228 588755-0</v>
          </cell>
          <cell r="H13">
            <v>30060601</v>
          </cell>
          <cell r="I13" t="str">
            <v>Deutsche Apotheker- und Ärztebank eG Düsseldorf</v>
          </cell>
          <cell r="J13">
            <v>0</v>
          </cell>
          <cell r="K13" t="str">
            <v>Gerd Trapagini</v>
          </cell>
          <cell r="L13">
            <v>0</v>
          </cell>
          <cell r="M13">
            <v>40191</v>
          </cell>
        </row>
        <row r="14">
          <cell r="A14">
            <v>2411</v>
          </cell>
          <cell r="B14" t="str">
            <v>Peter Wagner e. K.</v>
          </cell>
          <cell r="C14" t="str">
            <v>Gartenbaubetrieb</v>
          </cell>
          <cell r="D14" t="str">
            <v>Große Straße 12</v>
          </cell>
          <cell r="E14">
            <v>53332</v>
          </cell>
          <cell r="F14" t="str">
            <v>Bornheim</v>
          </cell>
          <cell r="G14" t="str">
            <v>02223 47885</v>
          </cell>
          <cell r="H14">
            <v>38060186</v>
          </cell>
          <cell r="I14" t="str">
            <v>Volksbank Bonn/Rhein-Sieg eG</v>
          </cell>
          <cell r="J14">
            <v>0</v>
          </cell>
          <cell r="K14" t="str">
            <v>Peter Wagner</v>
          </cell>
          <cell r="L14">
            <v>5</v>
          </cell>
          <cell r="M14">
            <v>40730</v>
          </cell>
        </row>
        <row r="15">
          <cell r="A15">
            <v>2412</v>
          </cell>
          <cell r="B15" t="str">
            <v>Schulzentrum Nord</v>
          </cell>
          <cell r="C15">
            <v>0</v>
          </cell>
          <cell r="D15" t="str">
            <v>Effertzgasse 13</v>
          </cell>
          <cell r="E15">
            <v>53721</v>
          </cell>
          <cell r="F15" t="str">
            <v>Siegburg</v>
          </cell>
          <cell r="G15" t="str">
            <v>02241 144856-0</v>
          </cell>
          <cell r="H15">
            <v>30050000</v>
          </cell>
          <cell r="I15" t="str">
            <v>Westdeutsche Landesbank Köln</v>
          </cell>
          <cell r="J15">
            <v>0</v>
          </cell>
          <cell r="K15" t="str">
            <v>Hanna Danzer</v>
          </cell>
          <cell r="L15">
            <v>0</v>
          </cell>
          <cell r="M15">
            <v>41171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  <row r="17">
          <cell r="A17">
            <v>2499</v>
          </cell>
          <cell r="B17" t="str">
            <v>Sonstige Kunden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</row>
        <row r="18">
          <cell r="A18">
            <v>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A19">
            <v>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</row>
        <row r="20">
          <cell r="A20">
            <v>0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</row>
        <row r="22">
          <cell r="A22">
            <v>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</row>
        <row r="24">
          <cell r="A24">
            <v>0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A28">
            <v>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</row>
        <row r="31">
          <cell r="A31">
            <v>24099</v>
          </cell>
          <cell r="B31" t="str">
            <v>Sonstige Kunden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</sheetData>
      <sheetData sheetId="3">
        <row r="4">
          <cell r="A4">
            <v>4401</v>
          </cell>
          <cell r="B4" t="str">
            <v>Frank Zettler oHG</v>
          </cell>
          <cell r="C4" t="str">
            <v>Metallbau</v>
          </cell>
          <cell r="D4" t="str">
            <v>Steinacker 38</v>
          </cell>
          <cell r="E4">
            <v>53177</v>
          </cell>
          <cell r="F4" t="str">
            <v>Bonn</v>
          </cell>
          <cell r="G4" t="str">
            <v>0228 58766-0</v>
          </cell>
          <cell r="H4" t="str">
            <v xml:space="preserve">0228 58766-123 </v>
          </cell>
          <cell r="I4" t="str">
            <v>www.zettler-metallbau.de</v>
          </cell>
          <cell r="J4" t="str">
            <v>info@zettler-metallbau.de</v>
          </cell>
          <cell r="K4">
            <v>38060186</v>
          </cell>
          <cell r="L4" t="str">
            <v>Volksbank Bonn/Rhein-Sieg</v>
          </cell>
          <cell r="M4">
            <v>2487321574</v>
          </cell>
          <cell r="N4" t="str">
            <v>Beate Keuser</v>
          </cell>
          <cell r="O4" t="str">
            <v>BK</v>
          </cell>
          <cell r="P4" t="str">
            <v xml:space="preserve"> 58766-122</v>
          </cell>
          <cell r="Q4" t="str">
            <v>Geschäftsführer:</v>
          </cell>
          <cell r="R4" t="str">
            <v>Dipl. Kfm. Frank Zettler</v>
          </cell>
          <cell r="S4" t="str">
            <v>Bonn: HRA 6487</v>
          </cell>
          <cell r="T4" t="str">
            <v>Ust-Id: DE911487597</v>
          </cell>
          <cell r="U4" t="str">
            <v>9125/5741/105</v>
          </cell>
          <cell r="W4">
            <v>30</v>
          </cell>
          <cell r="X4">
            <v>10</v>
          </cell>
          <cell r="Y4">
            <v>2</v>
          </cell>
          <cell r="Z4">
            <v>4875</v>
          </cell>
          <cell r="AA4" t="str">
            <v>90380601862487321574</v>
          </cell>
        </row>
        <row r="5">
          <cell r="A5">
            <v>4402</v>
          </cell>
          <cell r="B5" t="str">
            <v>Saam KG</v>
          </cell>
          <cell r="C5" t="str">
            <v>Bürotechnik</v>
          </cell>
          <cell r="D5" t="str">
            <v>Am Sonnenhang 9</v>
          </cell>
          <cell r="E5">
            <v>36039</v>
          </cell>
          <cell r="F5" t="str">
            <v>Fulda</v>
          </cell>
          <cell r="G5" t="str">
            <v>0661 88672-0</v>
          </cell>
          <cell r="H5" t="str">
            <v>0661 88672-444</v>
          </cell>
          <cell r="I5" t="str">
            <v>www.saam-kg.de</v>
          </cell>
          <cell r="J5" t="str">
            <v>info@saam-kg.de</v>
          </cell>
          <cell r="K5">
            <v>53040012</v>
          </cell>
          <cell r="L5" t="str">
            <v>Commerzbank Fulda</v>
          </cell>
          <cell r="M5">
            <v>3988465894</v>
          </cell>
          <cell r="N5" t="str">
            <v>Frank Scheuren</v>
          </cell>
          <cell r="O5" t="str">
            <v>fs</v>
          </cell>
          <cell r="P5" t="str">
            <v>0661 88672-777</v>
          </cell>
          <cell r="Q5" t="str">
            <v>Geschäftsführer:</v>
          </cell>
          <cell r="R5" t="str">
            <v>Sabine Saam</v>
          </cell>
          <cell r="S5" t="str">
            <v>Fulda: HRA 4777</v>
          </cell>
          <cell r="T5" t="str">
            <v>Ust-Id: DE927422577</v>
          </cell>
          <cell r="U5" t="str">
            <v>9238/4487/188</v>
          </cell>
          <cell r="W5">
            <v>40</v>
          </cell>
          <cell r="X5">
            <v>14</v>
          </cell>
          <cell r="Y5">
            <v>3</v>
          </cell>
          <cell r="Z5">
            <v>244877</v>
          </cell>
          <cell r="AA5" t="str">
            <v>51530400123988465894</v>
          </cell>
        </row>
        <row r="6">
          <cell r="A6">
            <v>4403</v>
          </cell>
          <cell r="B6" t="str">
            <v>Opitz AG</v>
          </cell>
          <cell r="C6" t="str">
            <v>Holz- und Spanplatten</v>
          </cell>
          <cell r="D6" t="str">
            <v>Scheerengasse 177</v>
          </cell>
          <cell r="E6">
            <v>53721</v>
          </cell>
          <cell r="F6" t="str">
            <v>Siegburg</v>
          </cell>
          <cell r="G6" t="str">
            <v>02241 6955-0</v>
          </cell>
          <cell r="H6" t="str">
            <v>02241 6955-555</v>
          </cell>
          <cell r="I6" t="str">
            <v>www.holz-opitz.de</v>
          </cell>
          <cell r="J6" t="str">
            <v>info@holz-opitz.de</v>
          </cell>
          <cell r="K6">
            <v>37010050</v>
          </cell>
          <cell r="L6" t="str">
            <v>Postbank Köln</v>
          </cell>
          <cell r="M6">
            <v>5886247876</v>
          </cell>
          <cell r="N6" t="str">
            <v>Bettina Gause</v>
          </cell>
          <cell r="O6" t="str">
            <v>bg</v>
          </cell>
          <cell r="P6" t="str">
            <v xml:space="preserve">02241 6955-954 </v>
          </cell>
          <cell r="Q6" t="str">
            <v>Vorstand:</v>
          </cell>
          <cell r="R6" t="str">
            <v>Herbert Opitz, Sabrina Schütz</v>
          </cell>
          <cell r="S6" t="str">
            <v>Siegburg:HRB 1245</v>
          </cell>
          <cell r="T6" t="str">
            <v>Ust-Id: DE917775846</v>
          </cell>
          <cell r="U6" t="str">
            <v>9103/4477/124</v>
          </cell>
          <cell r="V6" t="str">
            <v>Dr. Johannes Bremer</v>
          </cell>
          <cell r="W6">
            <v>30</v>
          </cell>
          <cell r="X6">
            <v>8</v>
          </cell>
          <cell r="Y6">
            <v>2</v>
          </cell>
          <cell r="Z6" t="str">
            <v>38715/5</v>
          </cell>
          <cell r="AA6" t="str">
            <v>67370100505886247876</v>
          </cell>
        </row>
        <row r="7">
          <cell r="A7">
            <v>4404</v>
          </cell>
          <cell r="B7" t="str">
            <v>Balthasar GmbH</v>
          </cell>
          <cell r="C7" t="str">
            <v>Spedition</v>
          </cell>
          <cell r="D7" t="str">
            <v>Kierbach 27</v>
          </cell>
          <cell r="E7">
            <v>52324</v>
          </cell>
          <cell r="F7" t="str">
            <v>Düren</v>
          </cell>
          <cell r="G7" t="str">
            <v>02421 888999-0</v>
          </cell>
          <cell r="H7" t="str">
            <v>02421 888999-11</v>
          </cell>
          <cell r="I7" t="str">
            <v>www.balthasar-spedition.de</v>
          </cell>
          <cell r="J7" t="str">
            <v>info@balthasar-spedition.de</v>
          </cell>
          <cell r="K7">
            <v>39550110</v>
          </cell>
          <cell r="L7" t="str">
            <v>Sparkasse Düren</v>
          </cell>
          <cell r="M7">
            <v>2114759864</v>
          </cell>
          <cell r="N7" t="str">
            <v>Peter Holzmann</v>
          </cell>
          <cell r="O7" t="str">
            <v>PH</v>
          </cell>
          <cell r="P7" t="str">
            <v>02421 888999-554</v>
          </cell>
          <cell r="Q7" t="str">
            <v>Geschäftsführerin:</v>
          </cell>
          <cell r="R7" t="str">
            <v>Martina Olsen</v>
          </cell>
          <cell r="S7" t="str">
            <v>Düren: HRB 8889</v>
          </cell>
          <cell r="T7" t="str">
            <v>Ust-Id: DE527771132</v>
          </cell>
          <cell r="U7" t="str">
            <v>5208/3221/147</v>
          </cell>
          <cell r="W7">
            <v>20</v>
          </cell>
          <cell r="Z7" t="str">
            <v>487762-8</v>
          </cell>
          <cell r="AA7" t="str">
            <v>38395501102114759864</v>
          </cell>
        </row>
        <row r="8">
          <cell r="A8">
            <v>4405</v>
          </cell>
          <cell r="B8" t="str">
            <v>Metallteile</v>
          </cell>
          <cell r="C8" t="str">
            <v>Rösgen e. K.</v>
          </cell>
          <cell r="D8" t="str">
            <v>Beethovenstraße 30</v>
          </cell>
          <cell r="E8">
            <v>38700</v>
          </cell>
          <cell r="F8" t="str">
            <v>Hannover</v>
          </cell>
          <cell r="G8" t="str">
            <v>0511 23796-0</v>
          </cell>
          <cell r="H8" t="str">
            <v>0511 23796-55</v>
          </cell>
          <cell r="I8" t="str">
            <v>www.schrauben-roesgen.de</v>
          </cell>
          <cell r="J8" t="str">
            <v>info@schrauben-roesgen.de</v>
          </cell>
          <cell r="K8">
            <v>25190001</v>
          </cell>
          <cell r="L8" t="str">
            <v>Hannoversche Volksbank</v>
          </cell>
          <cell r="M8">
            <v>1185756657</v>
          </cell>
          <cell r="N8" t="str">
            <v>Bertram Franke</v>
          </cell>
          <cell r="O8" t="str">
            <v>bf</v>
          </cell>
          <cell r="P8" t="str">
            <v>0511 23796-487</v>
          </cell>
          <cell r="Q8" t="str">
            <v>Geschäftsführer:</v>
          </cell>
          <cell r="R8" t="str">
            <v>Ludger Rösgen</v>
          </cell>
          <cell r="S8" t="str">
            <v>Hannover:HRA 1748</v>
          </cell>
          <cell r="T8" t="str">
            <v>Ust-Id: DE231154468</v>
          </cell>
          <cell r="U8" t="str">
            <v>2321/4487/877</v>
          </cell>
          <cell r="W8">
            <v>30</v>
          </cell>
          <cell r="X8">
            <v>10</v>
          </cell>
          <cell r="Y8">
            <v>3</v>
          </cell>
          <cell r="Z8">
            <v>157753</v>
          </cell>
          <cell r="AA8" t="str">
            <v>29251900011185756657</v>
          </cell>
        </row>
        <row r="9">
          <cell r="A9">
            <v>4406</v>
          </cell>
          <cell r="B9" t="str">
            <v>Keupen</v>
          </cell>
          <cell r="C9" t="str">
            <v>Farben AG</v>
          </cell>
          <cell r="D9" t="str">
            <v>Industriepark 100</v>
          </cell>
          <cell r="E9">
            <v>81249</v>
          </cell>
          <cell r="F9" t="str">
            <v>München</v>
          </cell>
          <cell r="G9" t="str">
            <v>089 16854-0</v>
          </cell>
          <cell r="H9" t="str">
            <v>089 16854-99</v>
          </cell>
          <cell r="I9" t="str">
            <v>www.farben-keupen-ag.de</v>
          </cell>
          <cell r="J9" t="str">
            <v>info@farben-keupen-ag.de</v>
          </cell>
          <cell r="K9">
            <v>70010080</v>
          </cell>
          <cell r="L9" t="str">
            <v>Postbank München</v>
          </cell>
          <cell r="M9">
            <v>9675515774</v>
          </cell>
          <cell r="N9" t="str">
            <v>Emil Emmerich</v>
          </cell>
          <cell r="O9" t="str">
            <v>EEm</v>
          </cell>
          <cell r="P9" t="str">
            <v>089 16854-25</v>
          </cell>
          <cell r="Q9" t="str">
            <v>Vorstand:</v>
          </cell>
          <cell r="R9" t="str">
            <v xml:space="preserve">Ignaz Gruber, Torsten Peters, Paula Weinheim </v>
          </cell>
          <cell r="S9" t="str">
            <v>BMünchen: HRB 7415</v>
          </cell>
          <cell r="T9" t="str">
            <v>Ust-Id: DE116677221</v>
          </cell>
          <cell r="U9" t="str">
            <v>1123/9876/125</v>
          </cell>
          <cell r="V9" t="str">
            <v>Prof. Dr. Heribert Werner</v>
          </cell>
          <cell r="W9">
            <v>30</v>
          </cell>
          <cell r="X9">
            <v>10</v>
          </cell>
          <cell r="Y9">
            <v>2</v>
          </cell>
          <cell r="Z9">
            <v>187321</v>
          </cell>
          <cell r="AA9" t="str">
            <v>36700100809675515774</v>
          </cell>
        </row>
        <row r="10">
          <cell r="A10">
            <v>4407</v>
          </cell>
          <cell r="B10" t="str">
            <v>Papier Spoth GmbH</v>
          </cell>
          <cell r="C10" t="str">
            <v>Großhandel für Papier- und Bürobedarf</v>
          </cell>
          <cell r="D10" t="str">
            <v>Auf der Höhe 90</v>
          </cell>
          <cell r="E10">
            <v>22076</v>
          </cell>
          <cell r="F10" t="str">
            <v>Hamburg</v>
          </cell>
          <cell r="G10" t="str">
            <v>040 963486-0</v>
          </cell>
          <cell r="H10" t="str">
            <v>040 963486-44</v>
          </cell>
          <cell r="I10" t="str">
            <v>www.papier-spoth.de</v>
          </cell>
          <cell r="J10" t="str">
            <v>info@papier-spoth.de</v>
          </cell>
          <cell r="K10">
            <v>20050550</v>
          </cell>
          <cell r="L10" t="str">
            <v>Hamburger Sparkasse</v>
          </cell>
          <cell r="M10">
            <v>5445466870</v>
          </cell>
          <cell r="N10" t="str">
            <v>Bernd Schmitz</v>
          </cell>
          <cell r="O10" t="str">
            <v>bsch</v>
          </cell>
          <cell r="P10" t="str">
            <v>040 963486-47</v>
          </cell>
          <cell r="Q10" t="str">
            <v>Geschäftsführerin:</v>
          </cell>
          <cell r="R10" t="str">
            <v>Ute Schäfer</v>
          </cell>
          <cell r="S10" t="str">
            <v>Hamburg Mitte:HRB 7448</v>
          </cell>
          <cell r="T10" t="str">
            <v>Ust-Id: DE215544973</v>
          </cell>
          <cell r="U10" t="str">
            <v>2131/4777/325</v>
          </cell>
          <cell r="W10">
            <v>30</v>
          </cell>
          <cell r="X10">
            <v>8</v>
          </cell>
          <cell r="Y10">
            <v>2</v>
          </cell>
          <cell r="Z10">
            <v>1877</v>
          </cell>
          <cell r="AA10" t="str">
            <v>68200505505445466870</v>
          </cell>
        </row>
        <row r="11">
          <cell r="A11">
            <v>4408</v>
          </cell>
          <cell r="B11" t="str">
            <v>pc tech AG</v>
          </cell>
          <cell r="C11" t="str">
            <v>Fachhandel für Elektronik</v>
          </cell>
          <cell r="D11" t="str">
            <v>Hamburger Str. 111</v>
          </cell>
          <cell r="E11">
            <v>45317</v>
          </cell>
          <cell r="F11" t="str">
            <v>Essen</v>
          </cell>
          <cell r="G11" t="str">
            <v>0201 487665-0</v>
          </cell>
          <cell r="H11" t="str">
            <v>0201 487665-12</v>
          </cell>
          <cell r="I11" t="str">
            <v>www,pctechag.de</v>
          </cell>
          <cell r="J11" t="str">
            <v>info@pctechag.de</v>
          </cell>
          <cell r="K11">
            <v>37020500</v>
          </cell>
          <cell r="L11" t="str">
            <v>Bank für Sozialwirtschaft</v>
          </cell>
          <cell r="M11">
            <v>4448765715</v>
          </cell>
          <cell r="N11" t="str">
            <v>Othmar Zirse</v>
          </cell>
          <cell r="O11" t="str">
            <v>OZ</v>
          </cell>
          <cell r="P11" t="str">
            <v>0201 487665-83</v>
          </cell>
          <cell r="Q11" t="str">
            <v>Vorstand:</v>
          </cell>
          <cell r="R11" t="str">
            <v>Helmut Stöcker, Sandra Mamedi</v>
          </cell>
          <cell r="S11" t="str">
            <v>Essen: HRA 17848</v>
          </cell>
          <cell r="T11" t="str">
            <v>Ust-Id: DE827744456</v>
          </cell>
          <cell r="U11" t="str">
            <v>2271/4875/999</v>
          </cell>
          <cell r="W11">
            <v>30</v>
          </cell>
          <cell r="X11">
            <v>8</v>
          </cell>
          <cell r="Y11">
            <v>3</v>
          </cell>
          <cell r="Z11">
            <v>38742</v>
          </cell>
          <cell r="AA11" t="str">
            <v>77370205004448765715</v>
          </cell>
        </row>
        <row r="12">
          <cell r="A12">
            <v>4409</v>
          </cell>
          <cell r="B12" t="str">
            <v>Willi Lauf OHG</v>
          </cell>
          <cell r="C12" t="str">
            <v>Bürobedarf</v>
          </cell>
          <cell r="D12" t="str">
            <v>Manderscheider Platz 1</v>
          </cell>
          <cell r="E12">
            <v>34414</v>
          </cell>
          <cell r="F12" t="str">
            <v>Warburg</v>
          </cell>
          <cell r="G12" t="str">
            <v>05641 48006-0</v>
          </cell>
          <cell r="H12" t="str">
            <v>05641 48006-88</v>
          </cell>
          <cell r="I12" t="str">
            <v>www.willi-lauf.de</v>
          </cell>
          <cell r="J12" t="str">
            <v>kontakt@willi-lauf.de</v>
          </cell>
          <cell r="K12">
            <v>47264367</v>
          </cell>
          <cell r="L12" t="str">
            <v>Vereinigte Volksbank Brakel</v>
          </cell>
          <cell r="M12">
            <v>1500222108</v>
          </cell>
          <cell r="N12" t="str">
            <v>Herr Lauf</v>
          </cell>
          <cell r="O12" t="str">
            <v>lf</v>
          </cell>
          <cell r="Q12" t="str">
            <v>Geschäftsführer:</v>
          </cell>
          <cell r="R12" t="str">
            <v>Dipl. Betriebswirt Willi Lauf</v>
          </cell>
          <cell r="S12" t="str">
            <v>Warburg: HRA 4711</v>
          </cell>
          <cell r="T12" t="str">
            <v>Ust-Id: DE998877665</v>
          </cell>
          <cell r="U12" t="str">
            <v>5412/2541/666</v>
          </cell>
          <cell r="W12">
            <v>30</v>
          </cell>
          <cell r="X12">
            <v>10</v>
          </cell>
          <cell r="Y12">
            <v>2</v>
          </cell>
          <cell r="Z12">
            <v>987654</v>
          </cell>
          <cell r="AA12" t="str">
            <v>33472643671500222108</v>
          </cell>
        </row>
        <row r="13">
          <cell r="A13">
            <v>4410</v>
          </cell>
          <cell r="B13" t="str">
            <v>Wittman AG</v>
          </cell>
          <cell r="C13" t="str">
            <v>Bürotechnik</v>
          </cell>
          <cell r="D13" t="str">
            <v>Untere Dorfstr. 130</v>
          </cell>
          <cell r="E13">
            <v>57074</v>
          </cell>
          <cell r="F13" t="str">
            <v>Siegen</v>
          </cell>
          <cell r="G13" t="str">
            <v>0271 80053-0</v>
          </cell>
          <cell r="H13" t="str">
            <v>0271 80053-10</v>
          </cell>
          <cell r="I13" t="str">
            <v>www.wittmann-ag.de</v>
          </cell>
          <cell r="J13" t="str">
            <v>kontakt@wittmann-ag.de</v>
          </cell>
          <cell r="K13">
            <v>37010050</v>
          </cell>
          <cell r="L13" t="str">
            <v>Postbank Köln</v>
          </cell>
          <cell r="M13">
            <v>5135154781</v>
          </cell>
          <cell r="N13" t="str">
            <v>Bianca Kuhn</v>
          </cell>
          <cell r="O13" t="str">
            <v>BK</v>
          </cell>
          <cell r="Q13" t="str">
            <v>Vorstand:</v>
          </cell>
          <cell r="R13" t="str">
            <v>Dr. Simone Karls</v>
          </cell>
          <cell r="S13" t="str">
            <v>Siegen: HRB 7478</v>
          </cell>
          <cell r="T13" t="str">
            <v>Ust-Id: DE623742427</v>
          </cell>
          <cell r="U13" t="str">
            <v>2255/4645/954</v>
          </cell>
          <cell r="W13">
            <v>30</v>
          </cell>
          <cell r="X13">
            <v>10</v>
          </cell>
          <cell r="Y13">
            <v>2</v>
          </cell>
          <cell r="Z13">
            <v>2495420</v>
          </cell>
          <cell r="AA13" t="str">
            <v>82370100505135154781</v>
          </cell>
        </row>
        <row r="14">
          <cell r="A14">
            <v>4411</v>
          </cell>
          <cell r="B14" t="str">
            <v>Rüdiger Kiel GmbH</v>
          </cell>
          <cell r="C14" t="str">
            <v>Schaumstoffe und Polstereibedarf</v>
          </cell>
          <cell r="D14" t="str">
            <v>Brunnenstr. 23</v>
          </cell>
          <cell r="E14">
            <v>53340</v>
          </cell>
          <cell r="F14" t="str">
            <v xml:space="preserve">Meckenheim  </v>
          </cell>
          <cell r="G14" t="str">
            <v>02225 646440-0</v>
          </cell>
          <cell r="H14" t="str">
            <v>02225 646440-11</v>
          </cell>
          <cell r="I14" t="str">
            <v>www.polster-kiel.de</v>
          </cell>
          <cell r="J14" t="str">
            <v>info@polster-kiel.de</v>
          </cell>
          <cell r="K14">
            <v>38060186</v>
          </cell>
          <cell r="L14" t="str">
            <v>Volksbank Bonn/Rhein-Sieg</v>
          </cell>
          <cell r="M14">
            <v>2677789890</v>
          </cell>
          <cell r="N14" t="str">
            <v>Hanna Abels</v>
          </cell>
          <cell r="O14" t="str">
            <v>Ab</v>
          </cell>
          <cell r="Q14" t="str">
            <v>Geschäftsführer</v>
          </cell>
          <cell r="R14" t="str">
            <v>Rüdiger Kiel</v>
          </cell>
          <cell r="S14" t="str">
            <v>Rheinbach: HRB 3546</v>
          </cell>
          <cell r="T14" t="str">
            <v>Ust-Id: DE748362859</v>
          </cell>
          <cell r="U14" t="str">
            <v>3562/7676/303</v>
          </cell>
          <cell r="W14">
            <v>30</v>
          </cell>
          <cell r="X14">
            <v>10</v>
          </cell>
          <cell r="Y14">
            <v>3</v>
          </cell>
          <cell r="Z14">
            <v>6457</v>
          </cell>
          <cell r="AA14" t="str">
            <v>96380601862677789890</v>
          </cell>
        </row>
        <row r="15">
          <cell r="L15" t="e">
            <v>#N/A</v>
          </cell>
          <cell r="AA15"/>
        </row>
        <row r="16">
          <cell r="L16" t="e">
            <v>#N/A</v>
          </cell>
          <cell r="AA16"/>
        </row>
        <row r="17">
          <cell r="L17" t="e">
            <v>#N/A</v>
          </cell>
          <cell r="AA17"/>
        </row>
        <row r="18">
          <cell r="L18" t="e">
            <v>#N/A</v>
          </cell>
          <cell r="AA18"/>
        </row>
        <row r="19">
          <cell r="L19" t="e">
            <v>#N/A</v>
          </cell>
          <cell r="AA19"/>
        </row>
        <row r="20">
          <cell r="L20" t="e">
            <v>#N/A</v>
          </cell>
          <cell r="AA20"/>
        </row>
        <row r="21">
          <cell r="L21" t="e">
            <v>#N/A</v>
          </cell>
          <cell r="AA21"/>
        </row>
        <row r="22">
          <cell r="L22" t="e">
            <v>#N/A</v>
          </cell>
          <cell r="AA22"/>
        </row>
        <row r="23">
          <cell r="L23" t="e">
            <v>#N/A</v>
          </cell>
          <cell r="AA23"/>
        </row>
        <row r="24">
          <cell r="L24" t="e">
            <v>#N/A</v>
          </cell>
          <cell r="AA24"/>
        </row>
        <row r="25">
          <cell r="L25" t="e">
            <v>#N/A</v>
          </cell>
          <cell r="AA25"/>
        </row>
        <row r="26">
          <cell r="L26" t="e">
            <v>#N/A</v>
          </cell>
          <cell r="AA26"/>
        </row>
        <row r="27">
          <cell r="L27" t="e">
            <v>#N/A</v>
          </cell>
          <cell r="AA27"/>
        </row>
        <row r="28">
          <cell r="L28" t="e">
            <v>#N/A</v>
          </cell>
          <cell r="AA28"/>
        </row>
        <row r="29">
          <cell r="AA29"/>
        </row>
        <row r="30">
          <cell r="AA30"/>
        </row>
        <row r="31">
          <cell r="A31">
            <v>4499</v>
          </cell>
          <cell r="B31" t="str">
            <v>Sonstige Lieferanten</v>
          </cell>
          <cell r="AA31"/>
        </row>
      </sheetData>
      <sheetData sheetId="4">
        <row r="3">
          <cell r="A3" t="str">
            <v>Artikel-Nr.</v>
          </cell>
        </row>
      </sheetData>
      <sheetData sheetId="5">
        <row r="2">
          <cell r="A2">
            <v>38060186</v>
          </cell>
          <cell r="B2" t="str">
            <v>Volksbank Bonn/Rhein-Sieg</v>
          </cell>
        </row>
        <row r="3">
          <cell r="A3">
            <v>37010050</v>
          </cell>
          <cell r="B3" t="str">
            <v>Postbank Köln</v>
          </cell>
        </row>
        <row r="4">
          <cell r="A4">
            <v>37050299</v>
          </cell>
          <cell r="B4" t="str">
            <v>Kreissparkasse Köln</v>
          </cell>
        </row>
        <row r="5">
          <cell r="A5">
            <v>30020946</v>
          </cell>
          <cell r="B5" t="str">
            <v>Citibank Frankfurt/Main</v>
          </cell>
        </row>
        <row r="6">
          <cell r="A6">
            <v>53040012</v>
          </cell>
          <cell r="B6" t="str">
            <v>Commerzbank Fulda</v>
          </cell>
        </row>
        <row r="7">
          <cell r="A7">
            <v>39550110</v>
          </cell>
          <cell r="B7" t="str">
            <v>Sparkasse Düren</v>
          </cell>
        </row>
        <row r="8">
          <cell r="A8">
            <v>25190001</v>
          </cell>
          <cell r="B8" t="str">
            <v>Hannoversche Volksbank</v>
          </cell>
        </row>
        <row r="9">
          <cell r="A9">
            <v>20050550</v>
          </cell>
          <cell r="B9" t="str">
            <v>Hamburger Sparkasse</v>
          </cell>
        </row>
        <row r="10">
          <cell r="A10">
            <v>37020500</v>
          </cell>
          <cell r="B10" t="str">
            <v>Bank für Sozialwirtschaft</v>
          </cell>
        </row>
        <row r="11">
          <cell r="A11">
            <v>70010080</v>
          </cell>
          <cell r="B11" t="str">
            <v>Postbank München</v>
          </cell>
        </row>
        <row r="12">
          <cell r="A12">
            <v>47264367</v>
          </cell>
          <cell r="B12" t="str">
            <v>Vereinigte Volksbank Brakel</v>
          </cell>
        </row>
        <row r="13">
          <cell r="A13">
            <v>0</v>
          </cell>
          <cell r="B13">
            <v>0</v>
          </cell>
        </row>
        <row r="14">
          <cell r="A14">
            <v>0</v>
          </cell>
          <cell r="B14">
            <v>0</v>
          </cell>
        </row>
        <row r="15">
          <cell r="A15">
            <v>0</v>
          </cell>
          <cell r="B15">
            <v>0</v>
          </cell>
        </row>
        <row r="16">
          <cell r="A16">
            <v>0</v>
          </cell>
          <cell r="B16">
            <v>0</v>
          </cell>
        </row>
        <row r="17">
          <cell r="A17">
            <v>0</v>
          </cell>
          <cell r="B17">
            <v>0</v>
          </cell>
        </row>
        <row r="18">
          <cell r="A18">
            <v>0</v>
          </cell>
          <cell r="B18">
            <v>0</v>
          </cell>
        </row>
        <row r="19">
          <cell r="A19">
            <v>0</v>
          </cell>
          <cell r="B19">
            <v>0</v>
          </cell>
        </row>
        <row r="20">
          <cell r="A20">
            <v>0</v>
          </cell>
          <cell r="B20">
            <v>0</v>
          </cell>
        </row>
        <row r="21">
          <cell r="A21">
            <v>0</v>
          </cell>
          <cell r="B21">
            <v>0</v>
          </cell>
        </row>
        <row r="22">
          <cell r="A22">
            <v>0</v>
          </cell>
          <cell r="B22">
            <v>0</v>
          </cell>
        </row>
        <row r="23">
          <cell r="A23">
            <v>0</v>
          </cell>
          <cell r="B23">
            <v>0</v>
          </cell>
        </row>
        <row r="24">
          <cell r="A24">
            <v>0</v>
          </cell>
          <cell r="B24">
            <v>0</v>
          </cell>
        </row>
        <row r="25">
          <cell r="A25">
            <v>0</v>
          </cell>
          <cell r="B25">
            <v>0</v>
          </cell>
        </row>
        <row r="26">
          <cell r="A26">
            <v>0</v>
          </cell>
          <cell r="B26">
            <v>0</v>
          </cell>
        </row>
        <row r="27">
          <cell r="A27">
            <v>0</v>
          </cell>
          <cell r="B27">
            <v>0</v>
          </cell>
        </row>
        <row r="28">
          <cell r="A28">
            <v>0</v>
          </cell>
          <cell r="B28">
            <v>0</v>
          </cell>
        </row>
        <row r="29">
          <cell r="A29">
            <v>0</v>
          </cell>
          <cell r="B29">
            <v>0</v>
          </cell>
        </row>
        <row r="30">
          <cell r="A30">
            <v>0</v>
          </cell>
          <cell r="B30">
            <v>0</v>
          </cell>
        </row>
        <row r="31">
          <cell r="A31">
            <v>0</v>
          </cell>
          <cell r="B31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www.meyer-papier.de/" TargetMode="External"/><Relationship Id="rId13" Type="http://schemas.openxmlformats.org/officeDocument/2006/relationships/hyperlink" Target="mailto:info@schrauben-roesgen.de" TargetMode="External"/><Relationship Id="rId18" Type="http://schemas.openxmlformats.org/officeDocument/2006/relationships/hyperlink" Target="mailto:kontakt@willi-lauf.de" TargetMode="External"/><Relationship Id="rId3" Type="http://schemas.openxmlformats.org/officeDocument/2006/relationships/hyperlink" Target="http://www.balthasar-spedition.de/" TargetMode="External"/><Relationship Id="rId21" Type="http://schemas.openxmlformats.org/officeDocument/2006/relationships/hyperlink" Target="http://www.polster-kiel.de/" TargetMode="External"/><Relationship Id="rId7" Type="http://schemas.openxmlformats.org/officeDocument/2006/relationships/hyperlink" Target="http://www.papier-spoth.de/" TargetMode="External"/><Relationship Id="rId12" Type="http://schemas.openxmlformats.org/officeDocument/2006/relationships/hyperlink" Target="mailto:info@holz-opitz.de" TargetMode="External"/><Relationship Id="rId17" Type="http://schemas.openxmlformats.org/officeDocument/2006/relationships/hyperlink" Target="http://www.willi-lauf.de/" TargetMode="External"/><Relationship Id="rId2" Type="http://schemas.openxmlformats.org/officeDocument/2006/relationships/hyperlink" Target="http://www.saam-kg.de/" TargetMode="External"/><Relationship Id="rId16" Type="http://schemas.openxmlformats.org/officeDocument/2006/relationships/hyperlink" Target="mailto:info@pctechag.de" TargetMode="External"/><Relationship Id="rId20" Type="http://schemas.openxmlformats.org/officeDocument/2006/relationships/hyperlink" Target="mailto:kontakt@wittmann-ag.de" TargetMode="External"/><Relationship Id="rId1" Type="http://schemas.openxmlformats.org/officeDocument/2006/relationships/hyperlink" Target="http://www.zettler-metallbau.de/" TargetMode="External"/><Relationship Id="rId6" Type="http://schemas.openxmlformats.org/officeDocument/2006/relationships/hyperlink" Target="http://www.farben-keupen-ag.de/" TargetMode="External"/><Relationship Id="rId11" Type="http://schemas.openxmlformats.org/officeDocument/2006/relationships/hyperlink" Target="mailto:info@balthasar-spedition.de" TargetMode="External"/><Relationship Id="rId5" Type="http://schemas.openxmlformats.org/officeDocument/2006/relationships/hyperlink" Target="http://www.schrauben-roesgen.de/" TargetMode="External"/><Relationship Id="rId15" Type="http://schemas.openxmlformats.org/officeDocument/2006/relationships/hyperlink" Target="mailto:info@papier-spoth.de" TargetMode="External"/><Relationship Id="rId10" Type="http://schemas.openxmlformats.org/officeDocument/2006/relationships/hyperlink" Target="mailto:info@saam-kg.de" TargetMode="External"/><Relationship Id="rId19" Type="http://schemas.openxmlformats.org/officeDocument/2006/relationships/hyperlink" Target="http://www.wittmann-ag.de/" TargetMode="External"/><Relationship Id="rId4" Type="http://schemas.openxmlformats.org/officeDocument/2006/relationships/hyperlink" Target="http://www.holz-opitz.de/" TargetMode="External"/><Relationship Id="rId9" Type="http://schemas.openxmlformats.org/officeDocument/2006/relationships/hyperlink" Target="mailto:info@zettler-metallbau.de" TargetMode="External"/><Relationship Id="rId14" Type="http://schemas.openxmlformats.org/officeDocument/2006/relationships/hyperlink" Target="mailto:info@farben-keupen-ag.de" TargetMode="External"/><Relationship Id="rId22" Type="http://schemas.openxmlformats.org/officeDocument/2006/relationships/hyperlink" Target="mailto:info@polster-kiel.de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workbookViewId="0"/>
  </sheetViews>
  <sheetFormatPr baseColWidth="10" defaultColWidth="11.3984375" defaultRowHeight="13.5"/>
  <cols>
    <col min="1" max="1" width="11.73046875" style="29" customWidth="1"/>
    <col min="2" max="2" width="38.86328125" style="29" bestFit="1" customWidth="1"/>
    <col min="3" max="3" width="14.73046875" style="29" bestFit="1" customWidth="1"/>
    <col min="4" max="4" width="12.3984375" style="30" bestFit="1" customWidth="1"/>
    <col min="5" max="16384" width="11.3984375" style="29"/>
  </cols>
  <sheetData>
    <row r="1" spans="1:4" ht="13.9">
      <c r="A1" s="44" t="s">
        <v>0</v>
      </c>
    </row>
    <row r="2" spans="1:4" s="33" customFormat="1" ht="12.75">
      <c r="D2" s="34"/>
    </row>
    <row r="3" spans="1:4" s="33" customFormat="1" ht="15.95" customHeight="1">
      <c r="A3" s="41" t="s">
        <v>1</v>
      </c>
      <c r="B3" s="41" t="s">
        <v>2</v>
      </c>
      <c r="C3" s="41" t="s">
        <v>3</v>
      </c>
      <c r="D3" s="42" t="s">
        <v>4</v>
      </c>
    </row>
    <row r="4" spans="1:4" s="33" customFormat="1" ht="15.95" customHeight="1">
      <c r="A4" s="35">
        <v>101111</v>
      </c>
      <c r="B4" s="35" t="s">
        <v>5</v>
      </c>
      <c r="C4" s="35">
        <v>10</v>
      </c>
      <c r="D4" s="36">
        <v>489</v>
      </c>
    </row>
    <row r="5" spans="1:4" s="33" customFormat="1" ht="15.95" customHeight="1">
      <c r="A5" s="35">
        <v>101112</v>
      </c>
      <c r="B5" s="35" t="s">
        <v>6</v>
      </c>
      <c r="C5" s="35">
        <v>10</v>
      </c>
      <c r="D5" s="36">
        <v>519</v>
      </c>
    </row>
    <row r="6" spans="1:4" s="33" customFormat="1" ht="15.95" customHeight="1">
      <c r="A6" s="35">
        <v>101113</v>
      </c>
      <c r="B6" s="35" t="s">
        <v>7</v>
      </c>
      <c r="C6" s="35">
        <v>10</v>
      </c>
      <c r="D6" s="36">
        <v>219</v>
      </c>
    </row>
    <row r="7" spans="1:4" s="33" customFormat="1" ht="15.95" customHeight="1">
      <c r="A7" s="35">
        <v>101114</v>
      </c>
      <c r="B7" s="35" t="s">
        <v>8</v>
      </c>
      <c r="C7" s="35">
        <v>10</v>
      </c>
      <c r="D7" s="36">
        <v>98</v>
      </c>
    </row>
    <row r="8" spans="1:4" s="33" customFormat="1" ht="15.95" customHeight="1">
      <c r="A8" s="35">
        <v>101115</v>
      </c>
      <c r="B8" s="35" t="s">
        <v>9</v>
      </c>
      <c r="C8" s="35">
        <v>10</v>
      </c>
      <c r="D8" s="36">
        <v>579</v>
      </c>
    </row>
    <row r="9" spans="1:4" s="33" customFormat="1" ht="15.95" customHeight="1">
      <c r="A9" s="35">
        <v>202111</v>
      </c>
      <c r="B9" s="35" t="s">
        <v>10</v>
      </c>
      <c r="C9" s="35">
        <v>20</v>
      </c>
      <c r="D9" s="36">
        <v>228</v>
      </c>
    </row>
    <row r="10" spans="1:4" s="33" customFormat="1" ht="15.95" customHeight="1">
      <c r="A10" s="35">
        <v>202112</v>
      </c>
      <c r="B10" s="35" t="s">
        <v>11</v>
      </c>
      <c r="C10" s="35">
        <v>20</v>
      </c>
      <c r="D10" s="36">
        <v>299</v>
      </c>
    </row>
    <row r="11" spans="1:4" s="33" customFormat="1" ht="15.95" customHeight="1">
      <c r="A11" s="35">
        <v>202113</v>
      </c>
      <c r="B11" s="35" t="s">
        <v>12</v>
      </c>
      <c r="C11" s="35">
        <v>20</v>
      </c>
      <c r="D11" s="36">
        <v>399</v>
      </c>
    </row>
    <row r="12" spans="1:4" s="33" customFormat="1" ht="15.95" customHeight="1">
      <c r="A12" s="35">
        <v>202114</v>
      </c>
      <c r="B12" s="35" t="s">
        <v>22</v>
      </c>
      <c r="C12" s="35">
        <v>20</v>
      </c>
      <c r="D12" s="36">
        <v>349</v>
      </c>
    </row>
    <row r="13" spans="1:4" s="33" customFormat="1" ht="15.95" customHeight="1">
      <c r="A13" s="35">
        <v>202115</v>
      </c>
      <c r="B13" s="35" t="s">
        <v>13</v>
      </c>
      <c r="C13" s="35">
        <v>20</v>
      </c>
      <c r="D13" s="36">
        <v>59</v>
      </c>
    </row>
    <row r="14" spans="1:4" s="33" customFormat="1" ht="15.95" customHeight="1">
      <c r="A14" s="35">
        <v>300212</v>
      </c>
      <c r="B14" s="37" t="s">
        <v>14</v>
      </c>
      <c r="C14" s="35">
        <v>30</v>
      </c>
      <c r="D14" s="36">
        <v>79</v>
      </c>
    </row>
    <row r="15" spans="1:4" s="33" customFormat="1" ht="15.95" customHeight="1">
      <c r="A15" s="35">
        <v>300213</v>
      </c>
      <c r="B15" s="35" t="s">
        <v>15</v>
      </c>
      <c r="C15" s="35">
        <v>30</v>
      </c>
      <c r="D15" s="36">
        <v>150</v>
      </c>
    </row>
    <row r="16" spans="1:4" s="33" customFormat="1" ht="15.95" customHeight="1">
      <c r="A16" s="35">
        <v>301111</v>
      </c>
      <c r="B16" s="35" t="s">
        <v>16</v>
      </c>
      <c r="C16" s="35">
        <v>30</v>
      </c>
      <c r="D16" s="36">
        <v>59</v>
      </c>
    </row>
    <row r="17" spans="1:5" s="33" customFormat="1" ht="15.95" customHeight="1">
      <c r="A17" s="35">
        <v>302222</v>
      </c>
      <c r="B17" s="35" t="s">
        <v>17</v>
      </c>
      <c r="C17" s="35">
        <v>30</v>
      </c>
      <c r="D17" s="36">
        <v>275</v>
      </c>
    </row>
    <row r="18" spans="1:5" s="33" customFormat="1" ht="15.95" customHeight="1">
      <c r="A18" s="35">
        <v>401589</v>
      </c>
      <c r="B18" s="35" t="s">
        <v>18</v>
      </c>
      <c r="C18" s="35">
        <v>40</v>
      </c>
      <c r="D18" s="36">
        <v>36</v>
      </c>
    </row>
    <row r="19" spans="1:5" s="33" customFormat="1" ht="15.95" customHeight="1">
      <c r="A19" s="35">
        <v>885961</v>
      </c>
      <c r="B19" s="35" t="s">
        <v>19</v>
      </c>
      <c r="C19" s="35">
        <v>88</v>
      </c>
      <c r="D19" s="36">
        <v>399</v>
      </c>
      <c r="E19" s="38"/>
    </row>
    <row r="20" spans="1:5" s="33" customFormat="1" ht="15.95" customHeight="1">
      <c r="A20" s="35">
        <v>885963</v>
      </c>
      <c r="B20" s="35" t="s">
        <v>20</v>
      </c>
      <c r="C20" s="35">
        <v>88</v>
      </c>
      <c r="D20" s="36">
        <v>449</v>
      </c>
      <c r="E20" s="39"/>
    </row>
    <row r="21" spans="1:5" s="33" customFormat="1" ht="15.95" customHeight="1">
      <c r="A21" s="35">
        <v>885965</v>
      </c>
      <c r="B21" s="35" t="s">
        <v>21</v>
      </c>
      <c r="C21" s="35">
        <v>88</v>
      </c>
      <c r="D21" s="36">
        <v>599</v>
      </c>
    </row>
    <row r="22" spans="1:5" s="33" customFormat="1" ht="12.75">
      <c r="D22" s="40"/>
    </row>
    <row r="23" spans="1:5" s="33" customFormat="1" ht="12.75">
      <c r="D23" s="40"/>
    </row>
    <row r="24" spans="1:5">
      <c r="D24" s="32"/>
    </row>
    <row r="25" spans="1:5">
      <c r="D25" s="32"/>
    </row>
    <row r="26" spans="1:5">
      <c r="D26" s="32"/>
    </row>
    <row r="27" spans="1:5">
      <c r="D27" s="32"/>
    </row>
    <row r="28" spans="1:5">
      <c r="D28" s="32"/>
    </row>
    <row r="29" spans="1:5">
      <c r="D29" s="32"/>
    </row>
    <row r="30" spans="1:5">
      <c r="D30" s="32"/>
    </row>
    <row r="31" spans="1:5">
      <c r="D31" s="32"/>
    </row>
    <row r="32" spans="1:5">
      <c r="D32" s="32"/>
    </row>
    <row r="33" spans="4:4">
      <c r="D33" s="32"/>
    </row>
    <row r="34" spans="4:4">
      <c r="D34" s="32"/>
    </row>
    <row r="35" spans="4:4">
      <c r="D35" s="32"/>
    </row>
    <row r="36" spans="4:4">
      <c r="D36" s="32"/>
    </row>
    <row r="37" spans="4:4">
      <c r="D37" s="32"/>
    </row>
    <row r="38" spans="4:4">
      <c r="D38" s="32"/>
    </row>
    <row r="39" spans="4:4">
      <c r="D39" s="32"/>
    </row>
    <row r="40" spans="4:4">
      <c r="D40" s="32"/>
    </row>
    <row r="41" spans="4:4">
      <c r="D41" s="32"/>
    </row>
    <row r="42" spans="4:4">
      <c r="D42" s="32"/>
    </row>
    <row r="43" spans="4:4">
      <c r="D43" s="32"/>
    </row>
    <row r="44" spans="4:4">
      <c r="D44" s="32"/>
    </row>
    <row r="45" spans="4:4">
      <c r="D45" s="32"/>
    </row>
    <row r="46" spans="4:4">
      <c r="D46" s="32"/>
    </row>
    <row r="47" spans="4:4">
      <c r="D47" s="32"/>
    </row>
    <row r="48" spans="4:4">
      <c r="D48" s="32"/>
    </row>
    <row r="49" spans="4:4">
      <c r="D49" s="32"/>
    </row>
    <row r="50" spans="4:4">
      <c r="D50" s="32"/>
    </row>
    <row r="51" spans="4:4">
      <c r="D51" s="32"/>
    </row>
    <row r="52" spans="4:4">
      <c r="D52" s="32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"/>
  <sheetViews>
    <sheetView workbookViewId="0"/>
  </sheetViews>
  <sheetFormatPr baseColWidth="10" defaultColWidth="11.3984375" defaultRowHeight="12.75"/>
  <cols>
    <col min="1" max="1" width="18.59765625" style="1" bestFit="1" customWidth="1"/>
    <col min="2" max="2" width="21.59765625" style="1" bestFit="1" customWidth="1"/>
    <col min="3" max="3" width="23" style="1" bestFit="1" customWidth="1"/>
    <col min="4" max="4" width="20.265625" style="1" bestFit="1" customWidth="1"/>
    <col min="5" max="5" width="7.3984375" style="1" customWidth="1"/>
    <col min="6" max="6" width="11.265625" style="1" customWidth="1"/>
    <col min="7" max="7" width="19.265625" style="1" customWidth="1"/>
    <col min="8" max="8" width="12.59765625" style="1" customWidth="1"/>
    <col min="9" max="9" width="44.3984375" style="1" customWidth="1"/>
    <col min="10" max="10" width="26.86328125" style="1" bestFit="1" customWidth="1"/>
    <col min="11" max="11" width="14.59765625" style="1" bestFit="1" customWidth="1"/>
    <col min="12" max="12" width="14.59765625" style="1" customWidth="1"/>
    <col min="13" max="13" width="10.1328125" style="1" bestFit="1" customWidth="1"/>
    <col min="14" max="16384" width="11.3984375" style="1"/>
  </cols>
  <sheetData>
    <row r="1" spans="1:13" ht="13.9">
      <c r="A1" s="45" t="s">
        <v>23</v>
      </c>
    </row>
    <row r="3" spans="1:13" ht="15.95" customHeight="1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2" t="s">
        <v>36</v>
      </c>
    </row>
    <row r="4" spans="1:13" ht="15.95" customHeight="1">
      <c r="A4" s="3">
        <v>2401</v>
      </c>
      <c r="B4" s="4" t="s">
        <v>37</v>
      </c>
      <c r="C4" s="4" t="s">
        <v>38</v>
      </c>
      <c r="D4" s="5" t="s">
        <v>39</v>
      </c>
      <c r="E4" s="6">
        <v>38700</v>
      </c>
      <c r="F4" s="5" t="s">
        <v>40</v>
      </c>
      <c r="G4" s="7" t="s">
        <v>41</v>
      </c>
      <c r="H4" s="3">
        <v>25090500</v>
      </c>
      <c r="I4" s="8" t="s">
        <v>42</v>
      </c>
      <c r="J4" s="9" t="s">
        <v>43</v>
      </c>
      <c r="K4" s="4" t="s">
        <v>44</v>
      </c>
      <c r="L4" s="10">
        <v>5</v>
      </c>
      <c r="M4" s="11">
        <v>38438</v>
      </c>
    </row>
    <row r="5" spans="1:13" ht="15.95" customHeight="1">
      <c r="A5" s="3">
        <v>2402</v>
      </c>
      <c r="B5" s="4" t="s">
        <v>45</v>
      </c>
      <c r="C5" s="4" t="s">
        <v>46</v>
      </c>
      <c r="D5" s="5" t="s">
        <v>47</v>
      </c>
      <c r="E5" s="6">
        <v>57074</v>
      </c>
      <c r="F5" s="5" t="s">
        <v>48</v>
      </c>
      <c r="G5" s="7" t="s">
        <v>49</v>
      </c>
      <c r="H5" s="3">
        <v>46040033</v>
      </c>
      <c r="I5" s="8" t="s">
        <v>50</v>
      </c>
      <c r="J5" s="9" t="s">
        <v>51</v>
      </c>
      <c r="K5" s="4" t="s">
        <v>52</v>
      </c>
      <c r="L5" s="10">
        <v>7.5</v>
      </c>
      <c r="M5" s="11">
        <v>38722</v>
      </c>
    </row>
    <row r="6" spans="1:13" ht="15.95" customHeight="1">
      <c r="A6" s="3">
        <v>2403</v>
      </c>
      <c r="B6" s="4" t="s">
        <v>53</v>
      </c>
      <c r="C6" s="4" t="s">
        <v>54</v>
      </c>
      <c r="D6" s="5" t="s">
        <v>55</v>
      </c>
      <c r="E6" s="6">
        <v>53103</v>
      </c>
      <c r="F6" s="5" t="s">
        <v>56</v>
      </c>
      <c r="G6" s="7" t="s">
        <v>57</v>
      </c>
      <c r="H6" s="3">
        <v>30050000</v>
      </c>
      <c r="I6" s="8" t="s">
        <v>58</v>
      </c>
      <c r="J6" s="9" t="s">
        <v>59</v>
      </c>
      <c r="K6" s="4" t="s">
        <v>60</v>
      </c>
      <c r="L6" s="10">
        <v>0</v>
      </c>
      <c r="M6" s="11">
        <v>38842</v>
      </c>
    </row>
    <row r="7" spans="1:13" ht="15.95" customHeight="1">
      <c r="A7" s="3">
        <v>2404</v>
      </c>
      <c r="B7" s="4" t="s">
        <v>61</v>
      </c>
      <c r="C7" s="4" t="s">
        <v>62</v>
      </c>
      <c r="D7" s="5" t="s">
        <v>63</v>
      </c>
      <c r="E7" s="6">
        <v>69117</v>
      </c>
      <c r="F7" s="5" t="s">
        <v>64</v>
      </c>
      <c r="G7" s="7" t="s">
        <v>65</v>
      </c>
      <c r="H7" s="3">
        <v>67250020</v>
      </c>
      <c r="I7" s="8" t="s">
        <v>66</v>
      </c>
      <c r="J7" s="9" t="s">
        <v>67</v>
      </c>
      <c r="K7" s="4" t="s">
        <v>68</v>
      </c>
      <c r="L7" s="10">
        <v>5</v>
      </c>
      <c r="M7" s="11">
        <v>39346</v>
      </c>
    </row>
    <row r="8" spans="1:13" ht="15.95" customHeight="1">
      <c r="A8" s="3">
        <v>2405</v>
      </c>
      <c r="B8" s="4" t="s">
        <v>69</v>
      </c>
      <c r="C8" s="4" t="s">
        <v>70</v>
      </c>
      <c r="D8" s="5" t="s">
        <v>71</v>
      </c>
      <c r="E8" s="6">
        <v>22866</v>
      </c>
      <c r="F8" s="5" t="s">
        <v>72</v>
      </c>
      <c r="G8" s="7" t="s">
        <v>73</v>
      </c>
      <c r="H8" s="3">
        <v>20050550</v>
      </c>
      <c r="I8" s="8" t="s">
        <v>74</v>
      </c>
      <c r="J8" s="9" t="s">
        <v>75</v>
      </c>
      <c r="K8" s="4" t="s">
        <v>76</v>
      </c>
      <c r="L8" s="10">
        <v>10</v>
      </c>
      <c r="M8" s="11">
        <v>39535</v>
      </c>
    </row>
    <row r="9" spans="1:13" ht="15.95" customHeight="1">
      <c r="A9" s="3">
        <v>2406</v>
      </c>
      <c r="B9" s="4" t="s">
        <v>77</v>
      </c>
      <c r="C9" s="4" t="s">
        <v>78</v>
      </c>
      <c r="D9" s="5" t="s">
        <v>79</v>
      </c>
      <c r="E9" s="6">
        <v>6618</v>
      </c>
      <c r="F9" s="5" t="s">
        <v>80</v>
      </c>
      <c r="G9" s="7" t="s">
        <v>81</v>
      </c>
      <c r="H9" s="3">
        <v>80063648</v>
      </c>
      <c r="I9" s="8" t="s">
        <v>82</v>
      </c>
      <c r="J9" s="9" t="s">
        <v>83</v>
      </c>
      <c r="K9" s="4" t="s">
        <v>84</v>
      </c>
      <c r="L9" s="10">
        <v>5</v>
      </c>
      <c r="M9" s="11">
        <v>39597</v>
      </c>
    </row>
    <row r="10" spans="1:13" ht="15.95" customHeight="1">
      <c r="A10" s="3">
        <v>2407</v>
      </c>
      <c r="B10" s="4" t="s">
        <v>85</v>
      </c>
      <c r="C10" s="4" t="s">
        <v>86</v>
      </c>
      <c r="D10" s="5" t="s">
        <v>87</v>
      </c>
      <c r="E10" s="6">
        <v>56077</v>
      </c>
      <c r="F10" s="5" t="s">
        <v>88</v>
      </c>
      <c r="G10" s="7" t="s">
        <v>89</v>
      </c>
      <c r="H10" s="3">
        <v>50010060</v>
      </c>
      <c r="I10" s="8" t="s">
        <v>90</v>
      </c>
      <c r="J10" s="9" t="s">
        <v>91</v>
      </c>
      <c r="K10" s="4" t="s">
        <v>92</v>
      </c>
      <c r="L10" s="10">
        <v>7.5</v>
      </c>
      <c r="M10" s="11">
        <v>39667</v>
      </c>
    </row>
    <row r="11" spans="1:13" ht="15.95" customHeight="1">
      <c r="A11" s="3">
        <v>2408</v>
      </c>
      <c r="B11" s="4" t="s">
        <v>93</v>
      </c>
      <c r="C11" s="4" t="s">
        <v>94</v>
      </c>
      <c r="D11" s="5" t="s">
        <v>95</v>
      </c>
      <c r="E11" s="6">
        <v>68239</v>
      </c>
      <c r="F11" s="5" t="s">
        <v>96</v>
      </c>
      <c r="G11" s="7" t="s">
        <v>97</v>
      </c>
      <c r="H11" s="3">
        <v>37050299</v>
      </c>
      <c r="I11" s="8" t="s">
        <v>98</v>
      </c>
      <c r="J11" s="9" t="s">
        <v>99</v>
      </c>
      <c r="K11" s="4" t="s">
        <v>100</v>
      </c>
      <c r="L11" s="10">
        <v>10</v>
      </c>
      <c r="M11" s="11">
        <v>39967</v>
      </c>
    </row>
    <row r="12" spans="1:13" ht="15.95" customHeight="1">
      <c r="A12" s="3">
        <v>2409</v>
      </c>
      <c r="B12" s="4" t="s">
        <v>101</v>
      </c>
      <c r="C12" s="4" t="s">
        <v>102</v>
      </c>
      <c r="D12" s="5" t="s">
        <v>103</v>
      </c>
      <c r="E12" s="6">
        <v>60322</v>
      </c>
      <c r="F12" s="5" t="s">
        <v>104</v>
      </c>
      <c r="G12" s="7" t="s">
        <v>105</v>
      </c>
      <c r="H12" s="3">
        <v>50070024</v>
      </c>
      <c r="I12" s="8" t="s">
        <v>106</v>
      </c>
      <c r="J12" s="9" t="s">
        <v>107</v>
      </c>
      <c r="K12" s="4" t="s">
        <v>108</v>
      </c>
      <c r="L12" s="10">
        <v>0</v>
      </c>
      <c r="M12" s="11">
        <v>40064</v>
      </c>
    </row>
    <row r="13" spans="1:13" ht="15.95" customHeight="1">
      <c r="A13" s="3">
        <v>2410</v>
      </c>
      <c r="B13" s="4" t="s">
        <v>109</v>
      </c>
      <c r="C13" s="4" t="s">
        <v>110</v>
      </c>
      <c r="D13" s="5" t="s">
        <v>111</v>
      </c>
      <c r="E13" s="6">
        <v>53188</v>
      </c>
      <c r="F13" s="5" t="s">
        <v>56</v>
      </c>
      <c r="G13" s="7" t="s">
        <v>112</v>
      </c>
      <c r="H13" s="3">
        <v>30060601</v>
      </c>
      <c r="I13" s="8" t="s">
        <v>113</v>
      </c>
      <c r="J13" s="9" t="s">
        <v>114</v>
      </c>
      <c r="K13" s="4" t="s">
        <v>115</v>
      </c>
      <c r="L13" s="10">
        <v>0</v>
      </c>
      <c r="M13" s="11">
        <v>40191</v>
      </c>
    </row>
    <row r="14" spans="1:13" ht="15.95" customHeight="1">
      <c r="A14" s="3">
        <v>2411</v>
      </c>
      <c r="B14" s="4" t="s">
        <v>116</v>
      </c>
      <c r="C14" s="4" t="s">
        <v>117</v>
      </c>
      <c r="D14" s="5" t="s">
        <v>118</v>
      </c>
      <c r="E14" s="6">
        <v>53332</v>
      </c>
      <c r="F14" s="5" t="s">
        <v>119</v>
      </c>
      <c r="G14" s="7" t="s">
        <v>120</v>
      </c>
      <c r="H14" s="3">
        <v>38060186</v>
      </c>
      <c r="I14" s="8" t="s">
        <v>121</v>
      </c>
      <c r="J14" s="9" t="s">
        <v>122</v>
      </c>
      <c r="K14" s="4" t="s">
        <v>123</v>
      </c>
      <c r="L14" s="10">
        <v>5</v>
      </c>
      <c r="M14" s="11">
        <v>40730</v>
      </c>
    </row>
    <row r="15" spans="1:13" ht="15.95" customHeight="1">
      <c r="A15" s="3">
        <v>2412</v>
      </c>
      <c r="B15" s="4" t="s">
        <v>124</v>
      </c>
      <c r="C15" s="4"/>
      <c r="D15" s="5" t="s">
        <v>125</v>
      </c>
      <c r="E15" s="6">
        <v>53721</v>
      </c>
      <c r="F15" s="5" t="s">
        <v>126</v>
      </c>
      <c r="G15" s="7" t="s">
        <v>127</v>
      </c>
      <c r="H15" s="3">
        <v>30050000</v>
      </c>
      <c r="I15" s="8" t="s">
        <v>58</v>
      </c>
      <c r="J15" s="9" t="s">
        <v>128</v>
      </c>
      <c r="K15" s="4" t="s">
        <v>129</v>
      </c>
      <c r="L15" s="10">
        <v>0</v>
      </c>
      <c r="M15" s="11">
        <v>41171</v>
      </c>
    </row>
    <row r="16" spans="1:13">
      <c r="D16" s="12"/>
      <c r="E16" s="12"/>
      <c r="F16" s="12"/>
      <c r="G16" s="12"/>
      <c r="H16" s="12"/>
    </row>
    <row r="17" spans="5:6">
      <c r="E17" s="12"/>
      <c r="F17" s="13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5"/>
  <sheetViews>
    <sheetView workbookViewId="0"/>
  </sheetViews>
  <sheetFormatPr baseColWidth="10" defaultColWidth="11.3984375" defaultRowHeight="12.75"/>
  <cols>
    <col min="1" max="1" width="11.73046875" style="15" customWidth="1"/>
    <col min="2" max="2" width="18" style="15" bestFit="1" customWidth="1"/>
    <col min="3" max="3" width="33.265625" style="15" bestFit="1" customWidth="1"/>
    <col min="4" max="4" width="20.73046875" style="15" bestFit="1" customWidth="1"/>
    <col min="5" max="5" width="8.73046875" style="15" customWidth="1"/>
    <col min="6" max="6" width="12.73046875" style="15" bestFit="1" customWidth="1"/>
    <col min="7" max="7" width="14.1328125" style="15" bestFit="1" customWidth="1"/>
    <col min="8" max="8" width="15.1328125" style="15" bestFit="1" customWidth="1"/>
    <col min="9" max="9" width="24" style="15" bestFit="1" customWidth="1"/>
    <col min="10" max="10" width="24.265625" style="15" bestFit="1" customWidth="1"/>
    <col min="11" max="11" width="9" style="15" bestFit="1" customWidth="1"/>
    <col min="12" max="12" width="24.73046875" style="15" customWidth="1"/>
    <col min="13" max="13" width="11.265625" style="15" bestFit="1" customWidth="1"/>
    <col min="14" max="14" width="9.86328125" style="15" bestFit="1" customWidth="1"/>
    <col min="15" max="15" width="10.3984375" style="15" bestFit="1" customWidth="1"/>
    <col min="16" max="16" width="28.3984375" style="15" customWidth="1"/>
    <col min="17" max="17" width="8.1328125" style="14" bestFit="1" customWidth="1"/>
    <col min="18" max="16384" width="11.3984375" style="15"/>
  </cols>
  <sheetData>
    <row r="1" spans="1:17" ht="13.9">
      <c r="A1" s="45" t="s">
        <v>130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7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7" ht="15.95" customHeight="1">
      <c r="A3" s="2" t="s">
        <v>131</v>
      </c>
      <c r="B3" s="2" t="s">
        <v>25</v>
      </c>
      <c r="C3" s="2" t="s">
        <v>26</v>
      </c>
      <c r="D3" s="2" t="s">
        <v>132</v>
      </c>
      <c r="E3" s="2" t="s">
        <v>28</v>
      </c>
      <c r="F3" s="2" t="s">
        <v>29</v>
      </c>
      <c r="G3" s="2" t="s">
        <v>30</v>
      </c>
      <c r="H3" s="2" t="s">
        <v>133</v>
      </c>
      <c r="I3" s="2" t="s">
        <v>134</v>
      </c>
      <c r="J3" s="2" t="s">
        <v>135</v>
      </c>
      <c r="K3" s="2" t="s">
        <v>31</v>
      </c>
      <c r="L3" s="2" t="s">
        <v>32</v>
      </c>
      <c r="M3" s="2" t="s">
        <v>136</v>
      </c>
      <c r="N3" s="2" t="s">
        <v>137</v>
      </c>
      <c r="O3" s="2" t="s">
        <v>138</v>
      </c>
      <c r="P3" s="2" t="s">
        <v>33</v>
      </c>
      <c r="Q3" s="14" t="s">
        <v>139</v>
      </c>
    </row>
    <row r="4" spans="1:17" ht="15.95" customHeight="1">
      <c r="A4" s="16">
        <v>4401</v>
      </c>
      <c r="B4" s="17" t="s">
        <v>140</v>
      </c>
      <c r="C4" s="17" t="s">
        <v>141</v>
      </c>
      <c r="D4" s="18" t="s">
        <v>142</v>
      </c>
      <c r="E4" s="19">
        <v>53177</v>
      </c>
      <c r="F4" s="18" t="s">
        <v>56</v>
      </c>
      <c r="G4" s="20" t="s">
        <v>143</v>
      </c>
      <c r="H4" s="20" t="s">
        <v>144</v>
      </c>
      <c r="I4" s="21" t="s">
        <v>145</v>
      </c>
      <c r="J4" s="21" t="s">
        <v>146</v>
      </c>
      <c r="K4" s="16">
        <v>38060186</v>
      </c>
      <c r="L4" s="22" t="s">
        <v>147</v>
      </c>
      <c r="M4" s="16">
        <v>30</v>
      </c>
      <c r="N4" s="16">
        <v>10</v>
      </c>
      <c r="O4" s="16">
        <v>2</v>
      </c>
      <c r="P4" s="23" t="s">
        <v>148</v>
      </c>
      <c r="Q4" s="14">
        <v>90</v>
      </c>
    </row>
    <row r="5" spans="1:17" ht="15.95" customHeight="1">
      <c r="A5" s="3">
        <v>4402</v>
      </c>
      <c r="B5" s="4" t="s">
        <v>149</v>
      </c>
      <c r="C5" s="4" t="s">
        <v>150</v>
      </c>
      <c r="D5" s="5" t="s">
        <v>151</v>
      </c>
      <c r="E5" s="6">
        <v>36039</v>
      </c>
      <c r="F5" s="5" t="s">
        <v>152</v>
      </c>
      <c r="G5" s="24" t="s">
        <v>153</v>
      </c>
      <c r="H5" s="24" t="s">
        <v>154</v>
      </c>
      <c r="I5" s="25" t="s">
        <v>155</v>
      </c>
      <c r="J5" s="25" t="s">
        <v>156</v>
      </c>
      <c r="K5" s="3">
        <v>53040012</v>
      </c>
      <c r="L5" s="22" t="s">
        <v>157</v>
      </c>
      <c r="M5" s="3">
        <v>40</v>
      </c>
      <c r="N5" s="3">
        <v>14</v>
      </c>
      <c r="O5" s="3">
        <v>3</v>
      </c>
      <c r="P5" s="23" t="s">
        <v>158</v>
      </c>
      <c r="Q5" s="14">
        <v>51</v>
      </c>
    </row>
    <row r="6" spans="1:17" ht="15.95" customHeight="1">
      <c r="A6" s="3">
        <v>4403</v>
      </c>
      <c r="B6" s="4" t="s">
        <v>159</v>
      </c>
      <c r="C6" s="4" t="s">
        <v>160</v>
      </c>
      <c r="D6" s="5" t="s">
        <v>161</v>
      </c>
      <c r="E6" s="6">
        <v>53721</v>
      </c>
      <c r="F6" s="5" t="s">
        <v>126</v>
      </c>
      <c r="G6" s="24" t="s">
        <v>162</v>
      </c>
      <c r="H6" s="24" t="s">
        <v>163</v>
      </c>
      <c r="I6" s="26" t="s">
        <v>164</v>
      </c>
      <c r="J6" s="26" t="s">
        <v>165</v>
      </c>
      <c r="K6" s="3">
        <v>37010050</v>
      </c>
      <c r="L6" s="22" t="s">
        <v>166</v>
      </c>
      <c r="M6" s="3">
        <v>30</v>
      </c>
      <c r="N6" s="3">
        <v>8</v>
      </c>
      <c r="O6" s="3">
        <v>2</v>
      </c>
      <c r="P6" s="27" t="s">
        <v>167</v>
      </c>
      <c r="Q6" s="14">
        <v>67</v>
      </c>
    </row>
    <row r="7" spans="1:17" ht="15.95" customHeight="1">
      <c r="A7" s="3">
        <v>4404</v>
      </c>
      <c r="B7" s="4" t="s">
        <v>168</v>
      </c>
      <c r="C7" s="4" t="s">
        <v>169</v>
      </c>
      <c r="D7" s="5" t="s">
        <v>170</v>
      </c>
      <c r="E7" s="6">
        <v>52324</v>
      </c>
      <c r="F7" s="5" t="s">
        <v>171</v>
      </c>
      <c r="G7" s="24" t="s">
        <v>172</v>
      </c>
      <c r="H7" s="24" t="s">
        <v>173</v>
      </c>
      <c r="I7" s="25" t="s">
        <v>174</v>
      </c>
      <c r="J7" s="25" t="s">
        <v>175</v>
      </c>
      <c r="K7" s="3">
        <v>39550110</v>
      </c>
      <c r="L7" s="22" t="s">
        <v>176</v>
      </c>
      <c r="M7" s="3">
        <v>20</v>
      </c>
      <c r="N7" s="3">
        <v>0</v>
      </c>
      <c r="O7" s="3">
        <v>0</v>
      </c>
      <c r="P7" s="27" t="s">
        <v>177</v>
      </c>
      <c r="Q7" s="14">
        <v>38</v>
      </c>
    </row>
    <row r="8" spans="1:17" ht="15.95" customHeight="1">
      <c r="A8" s="3">
        <v>4405</v>
      </c>
      <c r="B8" s="4" t="s">
        <v>178</v>
      </c>
      <c r="C8" s="4" t="s">
        <v>179</v>
      </c>
      <c r="D8" s="5" t="s">
        <v>180</v>
      </c>
      <c r="E8" s="6">
        <v>38700</v>
      </c>
      <c r="F8" s="5" t="s">
        <v>40</v>
      </c>
      <c r="G8" s="24" t="s">
        <v>181</v>
      </c>
      <c r="H8" s="24" t="s">
        <v>182</v>
      </c>
      <c r="I8" s="25" t="s">
        <v>183</v>
      </c>
      <c r="J8" s="25" t="s">
        <v>184</v>
      </c>
      <c r="K8" s="3">
        <v>25190001</v>
      </c>
      <c r="L8" s="22" t="s">
        <v>185</v>
      </c>
      <c r="M8" s="3">
        <v>30</v>
      </c>
      <c r="N8" s="3">
        <v>10</v>
      </c>
      <c r="O8" s="3">
        <v>3</v>
      </c>
      <c r="P8" s="27" t="s">
        <v>186</v>
      </c>
      <c r="Q8" s="14">
        <v>29</v>
      </c>
    </row>
    <row r="9" spans="1:17" ht="15.95" customHeight="1">
      <c r="A9" s="3">
        <v>4406</v>
      </c>
      <c r="B9" s="4" t="s">
        <v>187</v>
      </c>
      <c r="C9" s="4" t="s">
        <v>188</v>
      </c>
      <c r="D9" s="5" t="s">
        <v>189</v>
      </c>
      <c r="E9" s="6">
        <v>81249</v>
      </c>
      <c r="F9" s="5" t="s">
        <v>190</v>
      </c>
      <c r="G9" s="24" t="s">
        <v>191</v>
      </c>
      <c r="H9" s="24" t="s">
        <v>192</v>
      </c>
      <c r="I9" s="25" t="s">
        <v>193</v>
      </c>
      <c r="J9" s="25" t="s">
        <v>194</v>
      </c>
      <c r="K9" s="3">
        <v>70010080</v>
      </c>
      <c r="L9" s="22" t="s">
        <v>195</v>
      </c>
      <c r="M9" s="3">
        <v>30</v>
      </c>
      <c r="N9" s="3">
        <v>10</v>
      </c>
      <c r="O9" s="3">
        <v>2</v>
      </c>
      <c r="P9" s="27" t="s">
        <v>196</v>
      </c>
      <c r="Q9" s="14">
        <v>36</v>
      </c>
    </row>
    <row r="10" spans="1:17" ht="15.95" customHeight="1">
      <c r="A10" s="3">
        <v>4407</v>
      </c>
      <c r="B10" s="4" t="s">
        <v>197</v>
      </c>
      <c r="C10" s="4" t="s">
        <v>198</v>
      </c>
      <c r="D10" s="5" t="s">
        <v>199</v>
      </c>
      <c r="E10" s="6">
        <v>22076</v>
      </c>
      <c r="F10" s="5" t="s">
        <v>200</v>
      </c>
      <c r="G10" s="24" t="s">
        <v>201</v>
      </c>
      <c r="H10" s="24" t="s">
        <v>202</v>
      </c>
      <c r="I10" s="25" t="s">
        <v>203</v>
      </c>
      <c r="J10" s="25" t="s">
        <v>204</v>
      </c>
      <c r="K10" s="3">
        <v>20050550</v>
      </c>
      <c r="L10" s="22" t="s">
        <v>74</v>
      </c>
      <c r="M10" s="3">
        <v>30</v>
      </c>
      <c r="N10" s="3">
        <v>8</v>
      </c>
      <c r="O10" s="3">
        <v>2</v>
      </c>
      <c r="P10" s="27" t="s">
        <v>205</v>
      </c>
      <c r="Q10" s="14">
        <v>68</v>
      </c>
    </row>
    <row r="11" spans="1:17" ht="15.95" customHeight="1">
      <c r="A11" s="3">
        <v>4408</v>
      </c>
      <c r="B11" s="4" t="s">
        <v>206</v>
      </c>
      <c r="C11" s="4" t="s">
        <v>207</v>
      </c>
      <c r="D11" s="5" t="s">
        <v>208</v>
      </c>
      <c r="E11" s="6">
        <v>45317</v>
      </c>
      <c r="F11" s="5" t="s">
        <v>209</v>
      </c>
      <c r="G11" s="24" t="s">
        <v>210</v>
      </c>
      <c r="H11" s="24" t="s">
        <v>211</v>
      </c>
      <c r="I11" s="25" t="s">
        <v>212</v>
      </c>
      <c r="J11" s="25" t="s">
        <v>213</v>
      </c>
      <c r="K11" s="3">
        <v>37020500</v>
      </c>
      <c r="L11" s="22" t="s">
        <v>214</v>
      </c>
      <c r="M11" s="3">
        <v>30</v>
      </c>
      <c r="N11" s="3">
        <v>8</v>
      </c>
      <c r="O11" s="3">
        <v>3</v>
      </c>
      <c r="P11" s="27" t="s">
        <v>215</v>
      </c>
      <c r="Q11" s="14">
        <v>77</v>
      </c>
    </row>
    <row r="12" spans="1:17" ht="15.95" customHeight="1">
      <c r="A12" s="3">
        <v>4409</v>
      </c>
      <c r="B12" s="4" t="s">
        <v>216</v>
      </c>
      <c r="C12" s="4" t="s">
        <v>217</v>
      </c>
      <c r="D12" s="5" t="s">
        <v>218</v>
      </c>
      <c r="E12" s="6">
        <v>34414</v>
      </c>
      <c r="F12" s="5" t="s">
        <v>219</v>
      </c>
      <c r="G12" s="24" t="s">
        <v>220</v>
      </c>
      <c r="H12" s="5" t="s">
        <v>221</v>
      </c>
      <c r="I12" s="25" t="s">
        <v>222</v>
      </c>
      <c r="J12" s="25" t="s">
        <v>223</v>
      </c>
      <c r="K12" s="3">
        <v>47264367</v>
      </c>
      <c r="L12" s="22" t="s">
        <v>224</v>
      </c>
      <c r="M12" s="3">
        <v>30</v>
      </c>
      <c r="N12" s="3">
        <v>10</v>
      </c>
      <c r="O12" s="3">
        <v>2</v>
      </c>
      <c r="P12" s="27" t="s">
        <v>225</v>
      </c>
      <c r="Q12" s="14">
        <v>33</v>
      </c>
    </row>
    <row r="13" spans="1:17" ht="15.95" customHeight="1">
      <c r="A13" s="3">
        <v>4410</v>
      </c>
      <c r="B13" s="4" t="s">
        <v>226</v>
      </c>
      <c r="C13" s="4" t="s">
        <v>150</v>
      </c>
      <c r="D13" s="5" t="s">
        <v>227</v>
      </c>
      <c r="E13" s="6">
        <v>57074</v>
      </c>
      <c r="F13" s="5" t="s">
        <v>48</v>
      </c>
      <c r="G13" s="24" t="s">
        <v>228</v>
      </c>
      <c r="H13" s="28" t="s">
        <v>229</v>
      </c>
      <c r="I13" s="25" t="s">
        <v>230</v>
      </c>
      <c r="J13" s="25" t="s">
        <v>231</v>
      </c>
      <c r="K13" s="3">
        <v>37010050</v>
      </c>
      <c r="L13" s="22" t="s">
        <v>166</v>
      </c>
      <c r="M13" s="3">
        <v>30</v>
      </c>
      <c r="N13" s="3">
        <v>10</v>
      </c>
      <c r="O13" s="3">
        <v>2</v>
      </c>
      <c r="P13" s="27" t="s">
        <v>232</v>
      </c>
      <c r="Q13" s="14">
        <v>82</v>
      </c>
    </row>
    <row r="14" spans="1:17" ht="15.95" customHeight="1">
      <c r="A14" s="3">
        <v>4411</v>
      </c>
      <c r="B14" s="4" t="s">
        <v>233</v>
      </c>
      <c r="C14" s="4" t="s">
        <v>234</v>
      </c>
      <c r="D14" s="5" t="s">
        <v>235</v>
      </c>
      <c r="E14" s="6">
        <v>53340</v>
      </c>
      <c r="F14" s="5" t="s">
        <v>236</v>
      </c>
      <c r="G14" s="24" t="s">
        <v>237</v>
      </c>
      <c r="H14" s="24" t="s">
        <v>238</v>
      </c>
      <c r="I14" s="25" t="s">
        <v>239</v>
      </c>
      <c r="J14" s="25" t="s">
        <v>240</v>
      </c>
      <c r="K14" s="3">
        <v>38060186</v>
      </c>
      <c r="L14" s="22" t="s">
        <v>147</v>
      </c>
      <c r="M14" s="3">
        <v>30</v>
      </c>
      <c r="N14" s="3">
        <v>10</v>
      </c>
      <c r="O14" s="3">
        <v>3</v>
      </c>
      <c r="P14" s="27" t="s">
        <v>241</v>
      </c>
      <c r="Q14" s="14">
        <v>96</v>
      </c>
    </row>
    <row r="15" spans="1:17">
      <c r="P15" s="14"/>
      <c r="Q15" s="15"/>
    </row>
    <row r="16" spans="1:17">
      <c r="P16" s="14"/>
      <c r="Q16" s="15"/>
    </row>
    <row r="17" spans="16:17">
      <c r="P17" s="14"/>
      <c r="Q17" s="15"/>
    </row>
    <row r="18" spans="16:17">
      <c r="P18" s="14"/>
      <c r="Q18" s="15"/>
    </row>
    <row r="19" spans="16:17">
      <c r="P19" s="14"/>
      <c r="Q19" s="15"/>
    </row>
    <row r="20" spans="16:17">
      <c r="P20" s="14"/>
      <c r="Q20" s="15"/>
    </row>
    <row r="21" spans="16:17">
      <c r="P21" s="14"/>
      <c r="Q21" s="15"/>
    </row>
    <row r="22" spans="16:17">
      <c r="P22" s="14"/>
      <c r="Q22" s="15"/>
    </row>
    <row r="23" spans="16:17">
      <c r="P23" s="14"/>
      <c r="Q23" s="15"/>
    </row>
    <row r="24" spans="16:17">
      <c r="P24" s="14"/>
      <c r="Q24" s="15"/>
    </row>
    <row r="25" spans="16:17">
      <c r="P25" s="14"/>
      <c r="Q25" s="15"/>
    </row>
  </sheetData>
  <hyperlinks>
    <hyperlink ref="I4" r:id="rId1" xr:uid="{00000000-0004-0000-0200-000000000000}"/>
    <hyperlink ref="I5" r:id="rId2" xr:uid="{00000000-0004-0000-0200-000001000000}"/>
    <hyperlink ref="I7" r:id="rId3" xr:uid="{00000000-0004-0000-0200-000002000000}"/>
    <hyperlink ref="I6" r:id="rId4" xr:uid="{00000000-0004-0000-0200-000003000000}"/>
    <hyperlink ref="I8" r:id="rId5" xr:uid="{00000000-0004-0000-0200-000004000000}"/>
    <hyperlink ref="I9" r:id="rId6" xr:uid="{00000000-0004-0000-0200-000005000000}"/>
    <hyperlink ref="I10" r:id="rId7" xr:uid="{00000000-0004-0000-0200-000006000000}"/>
    <hyperlink ref="I11" r:id="rId8" display="www.meyer-papier.de" xr:uid="{00000000-0004-0000-0200-000007000000}"/>
    <hyperlink ref="J4" r:id="rId9" xr:uid="{00000000-0004-0000-0200-000008000000}"/>
    <hyperlink ref="J5" r:id="rId10" xr:uid="{00000000-0004-0000-0200-000009000000}"/>
    <hyperlink ref="J7" r:id="rId11" xr:uid="{00000000-0004-0000-0200-00000A000000}"/>
    <hyperlink ref="J6" r:id="rId12" xr:uid="{00000000-0004-0000-0200-00000B000000}"/>
    <hyperlink ref="J8" r:id="rId13" xr:uid="{00000000-0004-0000-0200-00000C000000}"/>
    <hyperlink ref="J9" r:id="rId14" xr:uid="{00000000-0004-0000-0200-00000D000000}"/>
    <hyperlink ref="J10" r:id="rId15" xr:uid="{00000000-0004-0000-0200-00000E000000}"/>
    <hyperlink ref="J11" r:id="rId16" xr:uid="{00000000-0004-0000-0200-00000F000000}"/>
    <hyperlink ref="I12" r:id="rId17" xr:uid="{00000000-0004-0000-0200-000010000000}"/>
    <hyperlink ref="J12" r:id="rId18" xr:uid="{00000000-0004-0000-0200-000011000000}"/>
    <hyperlink ref="I13" r:id="rId19" xr:uid="{00000000-0004-0000-0200-000012000000}"/>
    <hyperlink ref="J13" r:id="rId20" xr:uid="{00000000-0004-0000-0200-000013000000}"/>
    <hyperlink ref="I14" r:id="rId21" xr:uid="{00000000-0004-0000-0200-000014000000}"/>
    <hyperlink ref="J14" r:id="rId22" xr:uid="{00000000-0004-0000-0200-000015000000}"/>
  </hyperlink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zoomScale="150" zoomScaleNormal="150" workbookViewId="0"/>
  </sheetViews>
  <sheetFormatPr baseColWidth="10" defaultColWidth="11.3984375" defaultRowHeight="13.5"/>
  <cols>
    <col min="1" max="1" width="15.1328125" style="29" customWidth="1"/>
    <col min="2" max="2" width="31.59765625" style="29" bestFit="1" customWidth="1"/>
    <col min="3" max="16384" width="11.3984375" style="29"/>
  </cols>
  <sheetData>
    <row r="1" spans="1:2" ht="13.9">
      <c r="A1" s="44" t="s">
        <v>3</v>
      </c>
    </row>
    <row r="3" spans="1:2">
      <c r="A3" s="43" t="s">
        <v>3</v>
      </c>
      <c r="B3" s="43" t="s">
        <v>242</v>
      </c>
    </row>
    <row r="4" spans="1:2">
      <c r="A4" s="31">
        <v>10</v>
      </c>
      <c r="B4" s="31" t="s">
        <v>243</v>
      </c>
    </row>
    <row r="5" spans="1:2">
      <c r="A5" s="31">
        <v>20</v>
      </c>
      <c r="B5" s="31" t="s">
        <v>244</v>
      </c>
    </row>
    <row r="6" spans="1:2">
      <c r="A6" s="31">
        <v>30</v>
      </c>
      <c r="B6" s="31" t="s">
        <v>245</v>
      </c>
    </row>
    <row r="7" spans="1:2">
      <c r="A7" s="31">
        <v>40</v>
      </c>
      <c r="B7" s="31" t="s">
        <v>246</v>
      </c>
    </row>
    <row r="8" spans="1:2">
      <c r="A8" s="31">
        <v>50</v>
      </c>
      <c r="B8" s="31" t="s">
        <v>247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2"/>
  <sheetViews>
    <sheetView zoomScale="130" zoomScaleNormal="130" workbookViewId="0"/>
  </sheetViews>
  <sheetFormatPr baseColWidth="10" defaultColWidth="11.3984375" defaultRowHeight="13.5"/>
  <cols>
    <col min="1" max="1" width="22.73046875" style="29" customWidth="1"/>
    <col min="2" max="7" width="15.73046875" style="29" customWidth="1"/>
    <col min="8" max="16384" width="11.3984375" style="29"/>
  </cols>
  <sheetData>
    <row r="1" spans="1:7" ht="13.9">
      <c r="A1" s="44" t="s">
        <v>248</v>
      </c>
    </row>
    <row r="3" spans="1:7" ht="13.9">
      <c r="A3" s="46" t="s">
        <v>249</v>
      </c>
    </row>
    <row r="5" spans="1:7">
      <c r="A5" s="31" t="s">
        <v>250</v>
      </c>
      <c r="B5" s="31"/>
    </row>
    <row r="6" spans="1:7">
      <c r="A6" s="31" t="s">
        <v>251</v>
      </c>
      <c r="B6" s="31"/>
    </row>
    <row r="7" spans="1:7">
      <c r="A7" s="31" t="s">
        <v>252</v>
      </c>
      <c r="B7" s="31"/>
    </row>
    <row r="8" spans="1:7">
      <c r="A8" s="31" t="s">
        <v>278</v>
      </c>
      <c r="B8" s="47">
        <v>50</v>
      </c>
    </row>
    <row r="9" spans="1:7">
      <c r="A9" s="31" t="s">
        <v>253</v>
      </c>
      <c r="B9" s="31"/>
    </row>
    <row r="10" spans="1:7">
      <c r="A10" s="31" t="s">
        <v>279</v>
      </c>
      <c r="B10" s="48">
        <v>0.1</v>
      </c>
    </row>
    <row r="12" spans="1:7" ht="13.9">
      <c r="A12" s="46" t="s">
        <v>254</v>
      </c>
    </row>
    <row r="14" spans="1:7" ht="27">
      <c r="A14" s="49" t="s">
        <v>255</v>
      </c>
      <c r="B14" s="49" t="s">
        <v>256</v>
      </c>
      <c r="C14" s="50" t="s">
        <v>257</v>
      </c>
      <c r="D14" s="49" t="s">
        <v>258</v>
      </c>
      <c r="E14" s="49" t="s">
        <v>259</v>
      </c>
      <c r="F14" s="49" t="s">
        <v>260</v>
      </c>
      <c r="G14" s="49" t="s">
        <v>261</v>
      </c>
    </row>
    <row r="15" spans="1:7">
      <c r="A15" s="51">
        <v>1</v>
      </c>
      <c r="B15" s="31"/>
      <c r="C15" s="31"/>
      <c r="D15" s="31"/>
      <c r="E15" s="31"/>
      <c r="F15" s="31"/>
      <c r="G15" s="31"/>
    </row>
    <row r="16" spans="1:7">
      <c r="A16" s="51">
        <v>2</v>
      </c>
      <c r="B16" s="31"/>
      <c r="C16" s="31"/>
      <c r="D16" s="31"/>
      <c r="E16" s="31"/>
      <c r="F16" s="31"/>
      <c r="G16" s="31"/>
    </row>
    <row r="17" spans="1:7">
      <c r="A17" s="51">
        <v>4</v>
      </c>
      <c r="B17" s="31"/>
      <c r="C17" s="31"/>
      <c r="D17" s="31"/>
      <c r="E17" s="31"/>
      <c r="F17" s="31"/>
      <c r="G17" s="31"/>
    </row>
    <row r="18" spans="1:7">
      <c r="A18" s="51">
        <v>6</v>
      </c>
      <c r="B18" s="31"/>
      <c r="C18" s="31"/>
      <c r="D18" s="31"/>
      <c r="E18" s="31"/>
      <c r="F18" s="31"/>
      <c r="G18" s="31"/>
    </row>
    <row r="19" spans="1:7">
      <c r="A19" s="51">
        <v>8</v>
      </c>
      <c r="B19" s="31"/>
      <c r="C19" s="31"/>
      <c r="D19" s="31"/>
      <c r="E19" s="31"/>
      <c r="F19" s="31"/>
      <c r="G19" s="31"/>
    </row>
    <row r="20" spans="1:7">
      <c r="A20" s="51">
        <v>10</v>
      </c>
      <c r="B20" s="31"/>
      <c r="C20" s="31"/>
      <c r="D20" s="31"/>
      <c r="E20" s="31"/>
      <c r="F20" s="31"/>
      <c r="G20" s="31"/>
    </row>
    <row r="21" spans="1:7">
      <c r="A21" s="51">
        <v>12</v>
      </c>
      <c r="B21" s="31"/>
      <c r="C21" s="31"/>
      <c r="D21" s="31"/>
      <c r="E21" s="31"/>
      <c r="F21" s="31"/>
      <c r="G21" s="31"/>
    </row>
    <row r="22" spans="1:7">
      <c r="A22" s="51">
        <v>24</v>
      </c>
      <c r="B22" s="31"/>
      <c r="C22" s="31"/>
      <c r="D22" s="31"/>
      <c r="E22" s="31"/>
      <c r="F22" s="31"/>
      <c r="G22" s="31"/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2"/>
  <sheetViews>
    <sheetView zoomScale="130" zoomScaleNormal="130" workbookViewId="0"/>
  </sheetViews>
  <sheetFormatPr baseColWidth="10" defaultColWidth="11.3984375" defaultRowHeight="13.5"/>
  <cols>
    <col min="1" max="1" width="11.73046875" style="29" customWidth="1"/>
    <col min="2" max="2" width="44.265625" style="29" bestFit="1" customWidth="1"/>
    <col min="3" max="3" width="14.73046875" style="29" customWidth="1"/>
    <col min="4" max="4" width="14.73046875" style="30" customWidth="1"/>
    <col min="5" max="16384" width="11.3984375" style="29"/>
  </cols>
  <sheetData>
    <row r="1" spans="1:4" ht="13.9">
      <c r="A1" s="44" t="s">
        <v>275</v>
      </c>
    </row>
    <row r="3" spans="1:4" ht="30" customHeight="1">
      <c r="A3" s="52" t="s">
        <v>1</v>
      </c>
      <c r="B3" s="52" t="s">
        <v>2</v>
      </c>
      <c r="C3" s="52" t="s">
        <v>276</v>
      </c>
      <c r="D3" s="53" t="s">
        <v>277</v>
      </c>
    </row>
    <row r="4" spans="1:4" ht="15.95" customHeight="1">
      <c r="A4" s="31">
        <v>101111</v>
      </c>
      <c r="B4" s="31" t="s">
        <v>5</v>
      </c>
      <c r="C4" s="54">
        <v>648</v>
      </c>
      <c r="D4" s="47">
        <v>293</v>
      </c>
    </row>
    <row r="5" spans="1:4" ht="15.95" customHeight="1">
      <c r="A5" s="31">
        <v>101112</v>
      </c>
      <c r="B5" s="31" t="s">
        <v>6</v>
      </c>
      <c r="C5" s="54">
        <v>864</v>
      </c>
      <c r="D5" s="47">
        <v>311.39999999999998</v>
      </c>
    </row>
    <row r="6" spans="1:4" ht="15.95" customHeight="1">
      <c r="A6" s="31">
        <v>101113</v>
      </c>
      <c r="B6" s="31" t="s">
        <v>7</v>
      </c>
      <c r="C6" s="54">
        <v>1740</v>
      </c>
      <c r="D6" s="47">
        <v>131.30000000000001</v>
      </c>
    </row>
    <row r="7" spans="1:4" ht="15.95" customHeight="1">
      <c r="A7" s="31">
        <v>101114</v>
      </c>
      <c r="B7" s="31" t="s">
        <v>8</v>
      </c>
      <c r="C7" s="54">
        <v>1464</v>
      </c>
      <c r="D7" s="47">
        <v>58.7</v>
      </c>
    </row>
    <row r="8" spans="1:4" ht="15.95" customHeight="1">
      <c r="A8" s="31">
        <v>101115</v>
      </c>
      <c r="B8" s="31" t="s">
        <v>9</v>
      </c>
      <c r="C8" s="54">
        <v>1248</v>
      </c>
      <c r="D8" s="47">
        <v>347.5</v>
      </c>
    </row>
    <row r="9" spans="1:4" ht="15.95" customHeight="1">
      <c r="A9" s="31">
        <v>202111</v>
      </c>
      <c r="B9" s="31" t="s">
        <v>10</v>
      </c>
      <c r="C9" s="54">
        <v>3048</v>
      </c>
      <c r="D9" s="47">
        <v>136.80000000000001</v>
      </c>
    </row>
    <row r="10" spans="1:4" ht="15.95" customHeight="1">
      <c r="A10" s="31">
        <v>202112</v>
      </c>
      <c r="B10" s="31" t="s">
        <v>11</v>
      </c>
      <c r="C10" s="54">
        <v>3732</v>
      </c>
      <c r="D10" s="47">
        <v>179.4</v>
      </c>
    </row>
    <row r="11" spans="1:4" ht="15.95" customHeight="1">
      <c r="A11" s="31">
        <v>202113</v>
      </c>
      <c r="B11" s="31" t="s">
        <v>12</v>
      </c>
      <c r="C11" s="54">
        <v>2256</v>
      </c>
      <c r="D11" s="47">
        <v>239.4</v>
      </c>
    </row>
    <row r="12" spans="1:4" ht="15.95" customHeight="1">
      <c r="A12" s="31">
        <v>202114</v>
      </c>
      <c r="B12" s="31" t="s">
        <v>22</v>
      </c>
      <c r="C12" s="54">
        <v>3060</v>
      </c>
      <c r="D12" s="47">
        <v>209.4</v>
      </c>
    </row>
    <row r="13" spans="1:4" ht="15.95" customHeight="1">
      <c r="A13" s="31">
        <v>202115</v>
      </c>
      <c r="B13" s="31" t="s">
        <v>13</v>
      </c>
      <c r="C13" s="54">
        <v>4860</v>
      </c>
      <c r="D13" s="47">
        <v>35.4</v>
      </c>
    </row>
    <row r="14" spans="1:4" ht="15.95" customHeight="1">
      <c r="A14" s="31">
        <v>300212</v>
      </c>
      <c r="B14" s="55" t="s">
        <v>14</v>
      </c>
      <c r="C14" s="54">
        <v>8700</v>
      </c>
      <c r="D14" s="47">
        <v>47.4</v>
      </c>
    </row>
    <row r="15" spans="1:4" ht="15.95" customHeight="1">
      <c r="A15" s="31">
        <v>300213</v>
      </c>
      <c r="B15" s="31" t="s">
        <v>15</v>
      </c>
      <c r="C15" s="54">
        <v>14520</v>
      </c>
      <c r="D15" s="47">
        <v>90</v>
      </c>
    </row>
    <row r="16" spans="1:4" ht="15.95" customHeight="1">
      <c r="A16" s="31">
        <v>301111</v>
      </c>
      <c r="B16" s="31" t="s">
        <v>16</v>
      </c>
      <c r="C16" s="54">
        <v>23580</v>
      </c>
      <c r="D16" s="47">
        <v>35.4</v>
      </c>
    </row>
    <row r="17" spans="1:4" ht="15.95" customHeight="1">
      <c r="A17" s="31">
        <v>302222</v>
      </c>
      <c r="B17" s="31" t="s">
        <v>17</v>
      </c>
      <c r="C17" s="54">
        <v>9900</v>
      </c>
      <c r="D17" s="47">
        <v>165</v>
      </c>
    </row>
    <row r="18" spans="1:4" ht="15.95" customHeight="1">
      <c r="A18" s="31">
        <v>401589</v>
      </c>
      <c r="B18" s="31" t="s">
        <v>18</v>
      </c>
      <c r="C18" s="54">
        <v>7704</v>
      </c>
      <c r="D18" s="47">
        <v>21.6</v>
      </c>
    </row>
    <row r="19" spans="1:4" ht="15.95" customHeight="1">
      <c r="A19" s="31">
        <v>885961</v>
      </c>
      <c r="B19" s="31" t="s">
        <v>19</v>
      </c>
      <c r="C19" s="54">
        <v>864</v>
      </c>
      <c r="D19" s="47">
        <v>239.4</v>
      </c>
    </row>
    <row r="20" spans="1:4" ht="15.95" customHeight="1">
      <c r="A20" s="31">
        <v>885963</v>
      </c>
      <c r="B20" s="31" t="s">
        <v>20</v>
      </c>
      <c r="C20" s="54">
        <v>1044</v>
      </c>
      <c r="D20" s="47">
        <v>269.2</v>
      </c>
    </row>
    <row r="21" spans="1:4" ht="15.95" customHeight="1">
      <c r="A21" s="31">
        <v>885965</v>
      </c>
      <c r="B21" s="31" t="s">
        <v>21</v>
      </c>
      <c r="C21" s="54">
        <v>1956</v>
      </c>
      <c r="D21" s="47">
        <v>359.4</v>
      </c>
    </row>
    <row r="22" spans="1:4">
      <c r="D22" s="32"/>
    </row>
    <row r="23" spans="1:4">
      <c r="D23" s="32"/>
    </row>
    <row r="24" spans="1:4">
      <c r="D24" s="32"/>
    </row>
    <row r="25" spans="1:4">
      <c r="D25" s="32"/>
    </row>
    <row r="26" spans="1:4">
      <c r="D26" s="32"/>
    </row>
    <row r="27" spans="1:4">
      <c r="D27" s="32"/>
    </row>
    <row r="28" spans="1:4">
      <c r="D28" s="32"/>
    </row>
    <row r="29" spans="1:4">
      <c r="D29" s="32"/>
    </row>
    <row r="30" spans="1:4">
      <c r="D30" s="32"/>
    </row>
    <row r="31" spans="1:4">
      <c r="D31" s="32"/>
    </row>
    <row r="32" spans="1:4">
      <c r="D32" s="32"/>
    </row>
    <row r="33" spans="4:4">
      <c r="D33" s="32"/>
    </row>
    <row r="34" spans="4:4">
      <c r="D34" s="32"/>
    </row>
    <row r="35" spans="4:4">
      <c r="D35" s="32"/>
    </row>
    <row r="36" spans="4:4">
      <c r="D36" s="32"/>
    </row>
    <row r="37" spans="4:4">
      <c r="D37" s="32"/>
    </row>
    <row r="38" spans="4:4">
      <c r="D38" s="32"/>
    </row>
    <row r="39" spans="4:4">
      <c r="D39" s="32"/>
    </row>
    <row r="40" spans="4:4">
      <c r="D40" s="32"/>
    </row>
    <row r="41" spans="4:4">
      <c r="D41" s="32"/>
    </row>
    <row r="42" spans="4:4">
      <c r="D42" s="32"/>
    </row>
    <row r="43" spans="4:4">
      <c r="D43" s="32"/>
    </row>
    <row r="44" spans="4:4">
      <c r="D44" s="32"/>
    </row>
    <row r="45" spans="4:4">
      <c r="D45" s="32"/>
    </row>
    <row r="46" spans="4:4">
      <c r="D46" s="32"/>
    </row>
    <row r="47" spans="4:4">
      <c r="D47" s="32"/>
    </row>
    <row r="48" spans="4:4">
      <c r="D48" s="32"/>
    </row>
    <row r="49" spans="4:4">
      <c r="D49" s="32"/>
    </row>
    <row r="50" spans="4:4">
      <c r="D50" s="32"/>
    </row>
    <row r="51" spans="4:4">
      <c r="D51" s="32"/>
    </row>
    <row r="52" spans="4:4">
      <c r="D52" s="32"/>
    </row>
  </sheetData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6"/>
  <sheetViews>
    <sheetView zoomScale="136" zoomScaleNormal="136" workbookViewId="0"/>
  </sheetViews>
  <sheetFormatPr baseColWidth="10" defaultColWidth="11.3984375" defaultRowHeight="13.5"/>
  <cols>
    <col min="1" max="8" width="15.73046875" style="29" customWidth="1"/>
    <col min="9" max="16384" width="11.3984375" style="29"/>
  </cols>
  <sheetData>
    <row r="1" spans="1:8" ht="13.9">
      <c r="A1" s="44" t="s">
        <v>269</v>
      </c>
    </row>
    <row r="3" spans="1:8" ht="17.100000000000001" customHeight="1">
      <c r="A3" s="96" t="s">
        <v>270</v>
      </c>
      <c r="B3" s="96" t="s">
        <v>271</v>
      </c>
      <c r="C3" s="95" t="s">
        <v>272</v>
      </c>
      <c r="D3" s="97" t="s">
        <v>273</v>
      </c>
      <c r="E3" s="98"/>
      <c r="F3" s="99"/>
      <c r="G3" s="95" t="s">
        <v>280</v>
      </c>
      <c r="H3" s="95" t="s">
        <v>274</v>
      </c>
    </row>
    <row r="4" spans="1:8" ht="27">
      <c r="A4" s="96"/>
      <c r="B4" s="96"/>
      <c r="C4" s="95"/>
      <c r="D4" s="50" t="s">
        <v>266</v>
      </c>
      <c r="E4" s="50" t="s">
        <v>267</v>
      </c>
      <c r="F4" s="50" t="s">
        <v>268</v>
      </c>
      <c r="G4" s="96"/>
      <c r="H4" s="95"/>
    </row>
    <row r="5" spans="1:8" ht="20.100000000000001" customHeight="1">
      <c r="A5" s="31"/>
      <c r="B5" s="31"/>
      <c r="C5" s="31"/>
      <c r="D5" s="31"/>
      <c r="E5" s="31"/>
      <c r="F5" s="31"/>
      <c r="G5" s="31"/>
      <c r="H5" s="31"/>
    </row>
    <row r="6" spans="1:8" ht="20.100000000000001" customHeight="1">
      <c r="A6" s="31"/>
      <c r="B6" s="31"/>
      <c r="C6" s="31"/>
      <c r="D6" s="31"/>
      <c r="E6" s="31"/>
      <c r="F6" s="31"/>
      <c r="G6" s="31"/>
      <c r="H6" s="31"/>
    </row>
    <row r="7" spans="1:8" ht="20.100000000000001" customHeight="1">
      <c r="A7" s="31"/>
      <c r="B7" s="31"/>
      <c r="C7" s="31"/>
      <c r="D7" s="31"/>
      <c r="E7" s="31"/>
      <c r="F7" s="31"/>
      <c r="G7" s="31"/>
      <c r="H7" s="31"/>
    </row>
    <row r="10" spans="1:8" ht="13.9">
      <c r="A10" s="44" t="s">
        <v>284</v>
      </c>
    </row>
    <row r="12" spans="1:8">
      <c r="A12" s="29" t="s">
        <v>282</v>
      </c>
    </row>
    <row r="13" spans="1:8">
      <c r="A13" s="29" t="s">
        <v>281</v>
      </c>
    </row>
    <row r="15" spans="1:8">
      <c r="A15" s="29" t="s">
        <v>285</v>
      </c>
    </row>
    <row r="16" spans="1:8">
      <c r="A16" s="29" t="s">
        <v>283</v>
      </c>
    </row>
  </sheetData>
  <mergeCells count="6">
    <mergeCell ref="H3:H4"/>
    <mergeCell ref="A3:A4"/>
    <mergeCell ref="B3:B4"/>
    <mergeCell ref="C3:C4"/>
    <mergeCell ref="D3:F3"/>
    <mergeCell ref="G3:G4"/>
  </mergeCells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0"/>
  <sheetViews>
    <sheetView workbookViewId="0"/>
  </sheetViews>
  <sheetFormatPr baseColWidth="10" defaultColWidth="11.3984375" defaultRowHeight="13.5"/>
  <cols>
    <col min="1" max="5" width="14.73046875" style="29" customWidth="1"/>
    <col min="6" max="16384" width="11.3984375" style="29"/>
  </cols>
  <sheetData>
    <row r="1" spans="1:5" ht="13.9">
      <c r="A1" s="44" t="s">
        <v>262</v>
      </c>
    </row>
    <row r="3" spans="1:5">
      <c r="A3" s="100" t="s">
        <v>263</v>
      </c>
      <c r="B3" s="100" t="s">
        <v>264</v>
      </c>
      <c r="C3" s="101" t="s">
        <v>265</v>
      </c>
      <c r="D3" s="101"/>
      <c r="E3" s="101"/>
    </row>
    <row r="4" spans="1:5" ht="27">
      <c r="A4" s="100"/>
      <c r="B4" s="100"/>
      <c r="C4" s="56" t="s">
        <v>266</v>
      </c>
      <c r="D4" s="56" t="s">
        <v>267</v>
      </c>
      <c r="E4" s="56" t="s">
        <v>268</v>
      </c>
    </row>
    <row r="5" spans="1:5">
      <c r="A5" s="31">
        <v>525</v>
      </c>
      <c r="B5" s="31">
        <v>4410</v>
      </c>
      <c r="C5" s="31">
        <v>14</v>
      </c>
      <c r="D5" s="31">
        <v>8</v>
      </c>
      <c r="E5" s="31">
        <v>9</v>
      </c>
    </row>
    <row r="6" spans="1:5">
      <c r="A6" s="31">
        <v>526</v>
      </c>
      <c r="B6" s="31">
        <v>4402</v>
      </c>
      <c r="C6" s="31">
        <v>12</v>
      </c>
      <c r="D6" s="31">
        <v>9</v>
      </c>
      <c r="E6" s="31">
        <v>10</v>
      </c>
    </row>
    <row r="7" spans="1:5">
      <c r="A7" s="31">
        <v>527</v>
      </c>
      <c r="B7" s="31">
        <v>4404</v>
      </c>
      <c r="C7" s="31">
        <v>11</v>
      </c>
      <c r="D7" s="31">
        <v>8</v>
      </c>
      <c r="E7" s="31">
        <v>8</v>
      </c>
    </row>
    <row r="8" spans="1:5">
      <c r="A8" s="31">
        <v>528</v>
      </c>
      <c r="B8" s="31">
        <v>4406</v>
      </c>
      <c r="C8" s="31">
        <v>15</v>
      </c>
      <c r="D8" s="31">
        <v>7</v>
      </c>
      <c r="E8" s="31">
        <v>10</v>
      </c>
    </row>
    <row r="9" spans="1:5">
      <c r="A9" s="31">
        <v>529</v>
      </c>
      <c r="B9" s="31">
        <v>4411</v>
      </c>
      <c r="C9" s="31">
        <v>13</v>
      </c>
      <c r="D9" s="31">
        <v>10</v>
      </c>
      <c r="E9" s="31">
        <v>10</v>
      </c>
    </row>
    <row r="10" spans="1:5">
      <c r="A10" s="31">
        <v>530</v>
      </c>
      <c r="B10" s="31">
        <v>4404</v>
      </c>
      <c r="C10" s="31">
        <v>10</v>
      </c>
      <c r="D10" s="31">
        <v>9</v>
      </c>
      <c r="E10" s="31">
        <v>10</v>
      </c>
    </row>
    <row r="11" spans="1:5">
      <c r="A11" s="31">
        <v>531</v>
      </c>
      <c r="B11" s="31">
        <v>4403</v>
      </c>
      <c r="C11" s="31">
        <v>11</v>
      </c>
      <c r="D11" s="31">
        <v>9</v>
      </c>
      <c r="E11" s="31">
        <v>9</v>
      </c>
    </row>
    <row r="12" spans="1:5">
      <c r="A12" s="31">
        <v>532</v>
      </c>
      <c r="B12" s="31">
        <v>4407</v>
      </c>
      <c r="C12" s="31">
        <v>12</v>
      </c>
      <c r="D12" s="31">
        <v>10</v>
      </c>
      <c r="E12" s="31">
        <v>10</v>
      </c>
    </row>
    <row r="13" spans="1:5">
      <c r="A13" s="31">
        <v>533</v>
      </c>
      <c r="B13" s="31">
        <v>4406</v>
      </c>
      <c r="C13" s="31">
        <v>15</v>
      </c>
      <c r="D13" s="31">
        <v>7</v>
      </c>
      <c r="E13" s="31">
        <v>8</v>
      </c>
    </row>
    <row r="14" spans="1:5">
      <c r="A14" s="31">
        <v>534</v>
      </c>
      <c r="B14" s="31">
        <v>4410</v>
      </c>
      <c r="C14" s="31">
        <v>13</v>
      </c>
      <c r="D14" s="31">
        <v>9</v>
      </c>
      <c r="E14" s="31">
        <v>9</v>
      </c>
    </row>
    <row r="15" spans="1:5">
      <c r="A15" s="31">
        <v>535</v>
      </c>
      <c r="B15" s="31">
        <v>4401</v>
      </c>
      <c r="C15" s="31">
        <v>9</v>
      </c>
      <c r="D15" s="31">
        <v>8</v>
      </c>
      <c r="E15" s="31">
        <v>10</v>
      </c>
    </row>
    <row r="16" spans="1:5">
      <c r="A16" s="31">
        <v>536</v>
      </c>
      <c r="B16" s="31">
        <v>4405</v>
      </c>
      <c r="C16" s="31">
        <v>12</v>
      </c>
      <c r="D16" s="31">
        <v>7</v>
      </c>
      <c r="E16" s="31">
        <v>10</v>
      </c>
    </row>
    <row r="17" spans="1:5">
      <c r="A17" s="31">
        <v>537</v>
      </c>
      <c r="B17" s="31">
        <v>4408</v>
      </c>
      <c r="C17" s="31">
        <v>14</v>
      </c>
      <c r="D17" s="31">
        <v>9</v>
      </c>
      <c r="E17" s="31">
        <v>9</v>
      </c>
    </row>
    <row r="18" spans="1:5">
      <c r="A18" s="31">
        <v>538</v>
      </c>
      <c r="B18" s="31">
        <v>4403</v>
      </c>
      <c r="C18" s="31">
        <v>13</v>
      </c>
      <c r="D18" s="31">
        <v>8</v>
      </c>
      <c r="E18" s="31">
        <v>7</v>
      </c>
    </row>
    <row r="19" spans="1:5">
      <c r="A19" s="31">
        <v>539</v>
      </c>
      <c r="B19" s="31">
        <v>4411</v>
      </c>
      <c r="C19" s="31">
        <v>15</v>
      </c>
      <c r="D19" s="31">
        <v>10</v>
      </c>
      <c r="E19" s="31">
        <v>9</v>
      </c>
    </row>
    <row r="20" spans="1:5">
      <c r="A20" s="31">
        <v>540</v>
      </c>
      <c r="B20" s="31">
        <v>4402</v>
      </c>
      <c r="C20" s="31">
        <v>15</v>
      </c>
      <c r="D20" s="31">
        <v>10</v>
      </c>
      <c r="E20" s="31">
        <v>10</v>
      </c>
    </row>
    <row r="21" spans="1:5">
      <c r="A21" s="31">
        <v>541</v>
      </c>
      <c r="B21" s="31">
        <v>4404</v>
      </c>
      <c r="C21" s="31">
        <v>14</v>
      </c>
      <c r="D21" s="31">
        <v>9</v>
      </c>
      <c r="E21" s="31">
        <v>9</v>
      </c>
    </row>
    <row r="22" spans="1:5">
      <c r="A22" s="31">
        <v>542</v>
      </c>
      <c r="B22" s="31">
        <v>4408</v>
      </c>
      <c r="C22" s="31">
        <v>12</v>
      </c>
      <c r="D22" s="31">
        <v>8</v>
      </c>
      <c r="E22" s="31">
        <v>10</v>
      </c>
    </row>
    <row r="23" spans="1:5">
      <c r="A23" s="31">
        <v>543</v>
      </c>
      <c r="B23" s="31">
        <v>4411</v>
      </c>
      <c r="C23" s="31">
        <v>11</v>
      </c>
      <c r="D23" s="31">
        <v>10</v>
      </c>
      <c r="E23" s="31">
        <v>10</v>
      </c>
    </row>
    <row r="24" spans="1:5">
      <c r="A24" s="31">
        <v>544</v>
      </c>
      <c r="B24" s="31">
        <v>4403</v>
      </c>
      <c r="C24" s="31">
        <v>10</v>
      </c>
      <c r="D24" s="31">
        <v>10</v>
      </c>
      <c r="E24" s="31">
        <v>10</v>
      </c>
    </row>
    <row r="25" spans="1:5">
      <c r="A25" s="31">
        <v>545</v>
      </c>
      <c r="B25" s="31">
        <v>4410</v>
      </c>
      <c r="C25" s="31">
        <v>13</v>
      </c>
      <c r="D25" s="31">
        <v>10</v>
      </c>
      <c r="E25" s="31">
        <v>7</v>
      </c>
    </row>
    <row r="26" spans="1:5">
      <c r="A26" s="31">
        <v>546</v>
      </c>
      <c r="B26" s="31">
        <v>4409</v>
      </c>
      <c r="C26" s="31">
        <v>15</v>
      </c>
      <c r="D26" s="31">
        <v>9</v>
      </c>
      <c r="E26" s="31">
        <v>8</v>
      </c>
    </row>
    <row r="27" spans="1:5">
      <c r="A27" s="31">
        <v>547</v>
      </c>
      <c r="B27" s="31">
        <v>4402</v>
      </c>
      <c r="C27" s="31">
        <v>10</v>
      </c>
      <c r="D27" s="31">
        <v>9</v>
      </c>
      <c r="E27" s="31">
        <v>10</v>
      </c>
    </row>
    <row r="28" spans="1:5">
      <c r="A28" s="31">
        <v>548</v>
      </c>
      <c r="B28" s="31">
        <v>4405</v>
      </c>
      <c r="C28" s="31">
        <v>15</v>
      </c>
      <c r="D28" s="31">
        <v>7</v>
      </c>
      <c r="E28" s="31">
        <v>10</v>
      </c>
    </row>
    <row r="29" spans="1:5">
      <c r="A29" s="31">
        <v>549</v>
      </c>
      <c r="B29" s="31">
        <v>4407</v>
      </c>
      <c r="C29" s="31">
        <v>12</v>
      </c>
      <c r="D29" s="31">
        <v>5</v>
      </c>
      <c r="E29" s="31">
        <v>9</v>
      </c>
    </row>
    <row r="30" spans="1:5">
      <c r="A30" s="31">
        <v>550</v>
      </c>
      <c r="B30" s="31">
        <v>4409</v>
      </c>
      <c r="C30" s="31">
        <v>14</v>
      </c>
      <c r="D30" s="31">
        <v>10</v>
      </c>
      <c r="E30" s="31">
        <v>10</v>
      </c>
    </row>
    <row r="31" spans="1:5">
      <c r="A31" s="31">
        <v>551</v>
      </c>
      <c r="B31" s="31">
        <v>4410</v>
      </c>
      <c r="C31" s="31">
        <v>15</v>
      </c>
      <c r="D31" s="31">
        <v>7</v>
      </c>
      <c r="E31" s="31">
        <v>10</v>
      </c>
    </row>
    <row r="32" spans="1:5">
      <c r="A32" s="31">
        <v>552</v>
      </c>
      <c r="B32" s="31">
        <v>4401</v>
      </c>
      <c r="C32" s="31">
        <v>13</v>
      </c>
      <c r="D32" s="31">
        <v>9</v>
      </c>
      <c r="E32" s="31">
        <v>9</v>
      </c>
    </row>
    <row r="33" spans="1:5">
      <c r="A33" s="31">
        <v>553</v>
      </c>
      <c r="B33" s="31">
        <v>4409</v>
      </c>
      <c r="C33" s="31">
        <v>11</v>
      </c>
      <c r="D33" s="31">
        <v>6</v>
      </c>
      <c r="E33" s="31">
        <v>9</v>
      </c>
    </row>
    <row r="34" spans="1:5">
      <c r="A34" s="31">
        <v>554</v>
      </c>
      <c r="B34" s="31">
        <v>4406</v>
      </c>
      <c r="C34" s="31">
        <v>12</v>
      </c>
      <c r="D34" s="31">
        <v>8</v>
      </c>
      <c r="E34" s="31">
        <v>9</v>
      </c>
    </row>
    <row r="35" spans="1:5">
      <c r="A35" s="31">
        <v>555</v>
      </c>
      <c r="B35" s="31">
        <v>4407</v>
      </c>
      <c r="C35" s="31">
        <v>12</v>
      </c>
      <c r="D35" s="31">
        <v>10</v>
      </c>
      <c r="E35" s="31">
        <v>10</v>
      </c>
    </row>
    <row r="36" spans="1:5">
      <c r="A36" s="31">
        <v>556</v>
      </c>
      <c r="B36" s="31">
        <v>4401</v>
      </c>
      <c r="C36" s="31">
        <v>11</v>
      </c>
      <c r="D36" s="31">
        <v>7</v>
      </c>
      <c r="E36" s="31">
        <v>7</v>
      </c>
    </row>
    <row r="37" spans="1:5">
      <c r="A37" s="31">
        <v>557</v>
      </c>
      <c r="B37" s="31">
        <v>4405</v>
      </c>
      <c r="C37" s="31">
        <v>7</v>
      </c>
      <c r="D37" s="31">
        <v>9</v>
      </c>
      <c r="E37" s="31">
        <v>9</v>
      </c>
    </row>
    <row r="38" spans="1:5">
      <c r="A38" s="31">
        <v>558</v>
      </c>
      <c r="B38" s="31">
        <v>4404</v>
      </c>
      <c r="C38" s="31">
        <v>14</v>
      </c>
      <c r="D38" s="31">
        <v>4</v>
      </c>
      <c r="E38" s="31">
        <v>7</v>
      </c>
    </row>
    <row r="39" spans="1:5">
      <c r="A39" s="31">
        <v>559</v>
      </c>
      <c r="B39" s="31">
        <v>4408</v>
      </c>
      <c r="C39" s="31">
        <v>13</v>
      </c>
      <c r="D39" s="31">
        <v>8</v>
      </c>
      <c r="E39" s="31">
        <v>10</v>
      </c>
    </row>
    <row r="40" spans="1:5">
      <c r="A40" s="31">
        <v>560</v>
      </c>
      <c r="B40" s="31">
        <v>4410</v>
      </c>
      <c r="C40" s="31">
        <v>12</v>
      </c>
      <c r="D40" s="31">
        <v>9</v>
      </c>
      <c r="E40" s="31">
        <v>10</v>
      </c>
    </row>
    <row r="41" spans="1:5">
      <c r="A41" s="31">
        <v>561</v>
      </c>
      <c r="B41" s="31">
        <v>4411</v>
      </c>
      <c r="C41" s="31">
        <v>15</v>
      </c>
      <c r="D41" s="31">
        <v>10</v>
      </c>
      <c r="E41" s="31">
        <v>9</v>
      </c>
    </row>
    <row r="42" spans="1:5">
      <c r="A42" s="31">
        <v>562</v>
      </c>
      <c r="B42" s="31">
        <v>4404</v>
      </c>
      <c r="C42" s="31">
        <v>11</v>
      </c>
      <c r="D42" s="31">
        <v>10</v>
      </c>
      <c r="E42" s="31">
        <v>7</v>
      </c>
    </row>
    <row r="43" spans="1:5">
      <c r="A43" s="31">
        <v>563</v>
      </c>
      <c r="B43" s="31">
        <v>4408</v>
      </c>
      <c r="C43" s="31">
        <v>15</v>
      </c>
      <c r="D43" s="31">
        <v>9</v>
      </c>
      <c r="E43" s="31">
        <v>9</v>
      </c>
    </row>
    <row r="44" spans="1:5">
      <c r="A44" s="31">
        <v>564</v>
      </c>
      <c r="B44" s="31">
        <v>4402</v>
      </c>
      <c r="C44" s="31">
        <v>15</v>
      </c>
      <c r="D44" s="31">
        <v>4</v>
      </c>
      <c r="E44" s="31">
        <v>9</v>
      </c>
    </row>
    <row r="45" spans="1:5">
      <c r="A45" s="31">
        <v>565</v>
      </c>
      <c r="B45" s="31">
        <v>4406</v>
      </c>
      <c r="C45" s="31">
        <v>11</v>
      </c>
      <c r="D45" s="31">
        <v>7</v>
      </c>
      <c r="E45" s="31">
        <v>9</v>
      </c>
    </row>
    <row r="46" spans="1:5">
      <c r="A46" s="31">
        <v>566</v>
      </c>
      <c r="B46" s="31">
        <v>4405</v>
      </c>
      <c r="C46" s="31">
        <v>13</v>
      </c>
      <c r="D46" s="31">
        <v>9</v>
      </c>
      <c r="E46" s="31">
        <v>10</v>
      </c>
    </row>
    <row r="47" spans="1:5">
      <c r="A47" s="31">
        <v>567</v>
      </c>
      <c r="B47" s="31">
        <v>4410</v>
      </c>
      <c r="C47" s="31">
        <v>15</v>
      </c>
      <c r="D47" s="31">
        <v>6</v>
      </c>
      <c r="E47" s="31">
        <v>8</v>
      </c>
    </row>
    <row r="48" spans="1:5">
      <c r="A48" s="31">
        <v>568</v>
      </c>
      <c r="B48" s="31">
        <v>4401</v>
      </c>
      <c r="C48" s="31">
        <v>12</v>
      </c>
      <c r="D48" s="31">
        <v>8</v>
      </c>
      <c r="E48" s="31">
        <v>10</v>
      </c>
    </row>
    <row r="49" spans="1:5">
      <c r="A49" s="31">
        <v>569</v>
      </c>
      <c r="B49" s="31">
        <v>4409</v>
      </c>
      <c r="C49" s="31">
        <v>15</v>
      </c>
      <c r="D49" s="31">
        <v>9</v>
      </c>
      <c r="E49" s="31">
        <v>9</v>
      </c>
    </row>
    <row r="50" spans="1:5">
      <c r="A50" s="31">
        <v>570</v>
      </c>
      <c r="B50" s="31">
        <v>4407</v>
      </c>
      <c r="C50" s="31">
        <v>10</v>
      </c>
      <c r="D50" s="31">
        <v>10</v>
      </c>
      <c r="E50" s="31">
        <v>10</v>
      </c>
    </row>
    <row r="51" spans="1:5">
      <c r="A51" s="31">
        <v>571</v>
      </c>
      <c r="B51" s="31">
        <v>4404</v>
      </c>
      <c r="C51" s="31">
        <v>11</v>
      </c>
      <c r="D51" s="31">
        <v>9</v>
      </c>
      <c r="E51" s="31">
        <v>7</v>
      </c>
    </row>
    <row r="52" spans="1:5">
      <c r="A52" s="31">
        <v>572</v>
      </c>
      <c r="B52" s="31">
        <v>4411</v>
      </c>
      <c r="C52" s="31">
        <v>14</v>
      </c>
      <c r="D52" s="31">
        <v>10</v>
      </c>
      <c r="E52" s="31">
        <v>6</v>
      </c>
    </row>
    <row r="53" spans="1:5">
      <c r="A53" s="31">
        <v>573</v>
      </c>
      <c r="B53" s="31">
        <v>4401</v>
      </c>
      <c r="C53" s="31">
        <v>13</v>
      </c>
      <c r="D53" s="31">
        <v>10</v>
      </c>
      <c r="E53" s="31">
        <v>9</v>
      </c>
    </row>
    <row r="54" spans="1:5">
      <c r="A54" s="31">
        <v>574</v>
      </c>
      <c r="B54" s="31">
        <v>4403</v>
      </c>
      <c r="C54" s="31">
        <v>15</v>
      </c>
      <c r="D54" s="31">
        <v>10</v>
      </c>
      <c r="E54" s="31">
        <v>8</v>
      </c>
    </row>
    <row r="55" spans="1:5">
      <c r="A55" s="31">
        <v>575</v>
      </c>
      <c r="B55" s="31">
        <v>4406</v>
      </c>
      <c r="C55" s="31">
        <v>14</v>
      </c>
      <c r="D55" s="31">
        <v>9</v>
      </c>
      <c r="E55" s="31">
        <v>9</v>
      </c>
    </row>
    <row r="56" spans="1:5">
      <c r="A56" s="31">
        <v>576</v>
      </c>
      <c r="B56" s="31">
        <v>4410</v>
      </c>
      <c r="C56" s="31">
        <v>11</v>
      </c>
      <c r="D56" s="31">
        <v>7</v>
      </c>
      <c r="E56" s="31">
        <v>8</v>
      </c>
    </row>
    <row r="57" spans="1:5">
      <c r="A57" s="31">
        <v>577</v>
      </c>
      <c r="B57" s="31">
        <v>4409</v>
      </c>
      <c r="C57" s="31">
        <v>9</v>
      </c>
      <c r="D57" s="31">
        <v>6</v>
      </c>
      <c r="E57" s="31">
        <v>10</v>
      </c>
    </row>
    <row r="58" spans="1:5">
      <c r="A58" s="31">
        <v>578</v>
      </c>
      <c r="B58" s="31">
        <v>4410</v>
      </c>
      <c r="C58" s="31">
        <v>15</v>
      </c>
      <c r="D58" s="31">
        <v>9</v>
      </c>
      <c r="E58" s="31">
        <v>9</v>
      </c>
    </row>
    <row r="59" spans="1:5">
      <c r="A59" s="31">
        <v>579</v>
      </c>
      <c r="B59" s="31">
        <v>4405</v>
      </c>
      <c r="C59" s="31">
        <v>13</v>
      </c>
      <c r="D59" s="31">
        <v>10</v>
      </c>
      <c r="E59" s="31">
        <v>10</v>
      </c>
    </row>
    <row r="60" spans="1:5">
      <c r="A60" s="31">
        <v>580</v>
      </c>
      <c r="B60" s="31">
        <v>4411</v>
      </c>
      <c r="C60" s="31">
        <v>14</v>
      </c>
      <c r="D60" s="31">
        <v>10</v>
      </c>
      <c r="E60" s="31">
        <v>9</v>
      </c>
    </row>
  </sheetData>
  <mergeCells count="3">
    <mergeCell ref="A3:A4"/>
    <mergeCell ref="B3:B4"/>
    <mergeCell ref="C3:E3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0"/>
  <sheetViews>
    <sheetView zoomScale="130" zoomScaleNormal="130" workbookViewId="0"/>
  </sheetViews>
  <sheetFormatPr baseColWidth="10" defaultColWidth="11.3984375" defaultRowHeight="13.5"/>
  <cols>
    <col min="1" max="1" width="10.86328125" style="69" customWidth="1"/>
    <col min="2" max="2" width="15.3984375" style="68" customWidth="1"/>
    <col min="3" max="3" width="15.3984375" style="69" customWidth="1"/>
    <col min="4" max="4" width="15.3984375" style="70" customWidth="1"/>
    <col min="5" max="5" width="15.3984375" style="71" customWidth="1"/>
    <col min="6" max="9" width="15.3984375" style="70" customWidth="1"/>
    <col min="10" max="13" width="15.3984375" style="69" customWidth="1"/>
    <col min="14" max="16384" width="11.3984375" style="69"/>
  </cols>
  <sheetData>
    <row r="1" spans="1:13" ht="13.9">
      <c r="A1" s="67" t="s">
        <v>316</v>
      </c>
    </row>
    <row r="3" spans="1:13" s="72" customFormat="1" ht="27.75">
      <c r="A3" s="77" t="s">
        <v>317</v>
      </c>
      <c r="B3" s="78" t="s">
        <v>318</v>
      </c>
      <c r="C3" s="77" t="s">
        <v>319</v>
      </c>
      <c r="D3" s="78" t="s">
        <v>320</v>
      </c>
      <c r="E3" s="79" t="s">
        <v>321</v>
      </c>
      <c r="F3" s="80" t="s">
        <v>322</v>
      </c>
      <c r="G3" s="80" t="s">
        <v>323</v>
      </c>
      <c r="H3" s="78" t="s">
        <v>324</v>
      </c>
      <c r="I3" s="78" t="s">
        <v>325</v>
      </c>
      <c r="J3" s="78" t="s">
        <v>326</v>
      </c>
      <c r="K3" s="77" t="s">
        <v>327</v>
      </c>
      <c r="L3" s="77" t="s">
        <v>328</v>
      </c>
      <c r="M3" s="77" t="s">
        <v>329</v>
      </c>
    </row>
    <row r="4" spans="1:13">
      <c r="A4" s="73">
        <v>893</v>
      </c>
      <c r="B4" s="73">
        <v>98</v>
      </c>
      <c r="C4" s="74">
        <v>4499</v>
      </c>
      <c r="D4" s="75">
        <v>36534.5</v>
      </c>
      <c r="E4" s="76">
        <v>0</v>
      </c>
      <c r="F4" s="75">
        <v>0</v>
      </c>
      <c r="G4" s="75">
        <v>36534.5</v>
      </c>
      <c r="H4" s="75">
        <v>0</v>
      </c>
      <c r="I4" s="75">
        <v>6941.5550000000003</v>
      </c>
      <c r="J4" s="75">
        <v>43476.055</v>
      </c>
      <c r="K4" s="76">
        <v>0</v>
      </c>
      <c r="L4" s="74">
        <v>30</v>
      </c>
      <c r="M4" s="74">
        <v>30</v>
      </c>
    </row>
    <row r="5" spans="1:13">
      <c r="A5" s="73">
        <v>890</v>
      </c>
      <c r="B5" s="73">
        <v>6684</v>
      </c>
      <c r="C5" s="74">
        <v>4403</v>
      </c>
      <c r="D5" s="75">
        <v>34080</v>
      </c>
      <c r="E5" s="76">
        <v>0.1</v>
      </c>
      <c r="F5" s="75">
        <v>3408</v>
      </c>
      <c r="G5" s="75">
        <v>30672</v>
      </c>
      <c r="H5" s="75">
        <v>800</v>
      </c>
      <c r="I5" s="75">
        <v>5979.68</v>
      </c>
      <c r="J5" s="75">
        <v>37451.68</v>
      </c>
      <c r="K5" s="76">
        <v>0.02</v>
      </c>
      <c r="L5" s="74">
        <v>30</v>
      </c>
      <c r="M5" s="74">
        <v>8</v>
      </c>
    </row>
    <row r="6" spans="1:13">
      <c r="A6" s="73">
        <v>892</v>
      </c>
      <c r="B6" s="73" t="s">
        <v>330</v>
      </c>
      <c r="C6" s="74">
        <v>4407</v>
      </c>
      <c r="D6" s="75">
        <v>1850</v>
      </c>
      <c r="E6" s="76">
        <v>0.125</v>
      </c>
      <c r="F6" s="75">
        <v>231.25</v>
      </c>
      <c r="G6" s="75">
        <v>1618.75</v>
      </c>
      <c r="H6" s="75">
        <v>70</v>
      </c>
      <c r="I6" s="75">
        <v>320.86250000000001</v>
      </c>
      <c r="J6" s="75">
        <v>2009.6125</v>
      </c>
      <c r="K6" s="76">
        <v>0.02</v>
      </c>
      <c r="L6" s="74">
        <v>30</v>
      </c>
      <c r="M6" s="74">
        <v>8</v>
      </c>
    </row>
    <row r="7" spans="1:13">
      <c r="A7" s="73">
        <v>891</v>
      </c>
      <c r="B7" s="73" t="s">
        <v>331</v>
      </c>
      <c r="C7" s="74">
        <v>4408</v>
      </c>
      <c r="D7" s="75">
        <v>22967</v>
      </c>
      <c r="E7" s="76">
        <v>0.15</v>
      </c>
      <c r="F7" s="75">
        <v>3045.45</v>
      </c>
      <c r="G7" s="75">
        <v>19921.55</v>
      </c>
      <c r="H7" s="75">
        <v>67.55</v>
      </c>
      <c r="I7" s="75">
        <v>3797.9289999999996</v>
      </c>
      <c r="J7" s="75">
        <v>23787.03</v>
      </c>
      <c r="K7" s="76">
        <v>0.03</v>
      </c>
      <c r="L7" s="74">
        <v>30</v>
      </c>
      <c r="M7" s="74">
        <v>8</v>
      </c>
    </row>
    <row r="8" spans="1:13">
      <c r="A8" s="73">
        <v>889</v>
      </c>
      <c r="B8" s="73" t="s">
        <v>332</v>
      </c>
      <c r="C8" s="74">
        <v>4402</v>
      </c>
      <c r="D8" s="75">
        <v>10880</v>
      </c>
      <c r="E8" s="76">
        <v>0.15</v>
      </c>
      <c r="F8" s="75">
        <v>1632</v>
      </c>
      <c r="G8" s="75">
        <v>9248</v>
      </c>
      <c r="H8" s="75">
        <v>140</v>
      </c>
      <c r="I8" s="75">
        <v>1783.72</v>
      </c>
      <c r="J8" s="75">
        <v>11172.71</v>
      </c>
      <c r="K8" s="76">
        <v>0.03</v>
      </c>
      <c r="L8" s="74">
        <v>40</v>
      </c>
      <c r="M8" s="74">
        <v>14</v>
      </c>
    </row>
    <row r="9" spans="1:13">
      <c r="A9" s="73">
        <v>887</v>
      </c>
      <c r="B9" s="73">
        <v>50722</v>
      </c>
      <c r="C9" s="74">
        <v>4410</v>
      </c>
      <c r="D9" s="75">
        <v>1250</v>
      </c>
      <c r="E9" s="76">
        <v>0.2</v>
      </c>
      <c r="F9" s="75">
        <v>250</v>
      </c>
      <c r="G9" s="75">
        <v>1000</v>
      </c>
      <c r="H9" s="75">
        <v>25</v>
      </c>
      <c r="I9" s="75">
        <v>194.75</v>
      </c>
      <c r="J9" s="75">
        <v>1219.75</v>
      </c>
      <c r="K9" s="76">
        <v>0.02</v>
      </c>
      <c r="L9" s="74">
        <v>30</v>
      </c>
      <c r="M9" s="74">
        <v>10</v>
      </c>
    </row>
    <row r="10" spans="1:13">
      <c r="A10" s="73">
        <v>888</v>
      </c>
      <c r="B10" s="73">
        <v>50733</v>
      </c>
      <c r="C10" s="74">
        <v>4410</v>
      </c>
      <c r="D10" s="75">
        <v>335250</v>
      </c>
      <c r="E10" s="76">
        <v>0.2</v>
      </c>
      <c r="F10" s="75">
        <v>67050</v>
      </c>
      <c r="G10" s="75">
        <v>268200</v>
      </c>
      <c r="H10" s="75">
        <v>894</v>
      </c>
      <c r="I10" s="75">
        <v>51127.86</v>
      </c>
      <c r="J10" s="75">
        <v>320221.86</v>
      </c>
      <c r="K10" s="76">
        <v>0.02</v>
      </c>
      <c r="L10" s="74">
        <v>30</v>
      </c>
      <c r="M10" s="74">
        <v>10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9"/>
  <sheetViews>
    <sheetView workbookViewId="0">
      <selection sqref="A1:D1"/>
    </sheetView>
  </sheetViews>
  <sheetFormatPr baseColWidth="10" defaultColWidth="11.3984375" defaultRowHeight="13.5"/>
  <cols>
    <col min="1" max="1" width="46.1328125" style="81" bestFit="1" customWidth="1"/>
    <col min="2" max="2" width="24.1328125" style="81" bestFit="1" customWidth="1"/>
    <col min="3" max="3" width="27.3984375" style="81" customWidth="1"/>
    <col min="4" max="4" width="15.3984375" style="81" customWidth="1"/>
    <col min="5" max="16384" width="11.3984375" style="81"/>
  </cols>
  <sheetData>
    <row r="1" spans="1:4" ht="20.100000000000001" customHeight="1">
      <c r="A1" s="102" t="s">
        <v>333</v>
      </c>
      <c r="B1" s="103"/>
      <c r="C1" s="103"/>
      <c r="D1" s="104"/>
    </row>
    <row r="2" spans="1:4" ht="13.9">
      <c r="A2" s="82"/>
    </row>
    <row r="3" spans="1:4" ht="13.9">
      <c r="A3" s="82"/>
      <c r="B3" s="83" t="s">
        <v>334</v>
      </c>
      <c r="C3" s="83" t="s">
        <v>335</v>
      </c>
      <c r="D3" s="83" t="s">
        <v>336</v>
      </c>
    </row>
    <row r="4" spans="1:4" ht="17.100000000000001" customHeight="1">
      <c r="A4" s="84" t="s">
        <v>337</v>
      </c>
      <c r="B4" s="85"/>
      <c r="C4" s="105"/>
      <c r="D4" s="105"/>
    </row>
    <row r="5" spans="1:4" ht="17.100000000000001" customHeight="1">
      <c r="A5" s="84" t="s">
        <v>338</v>
      </c>
      <c r="B5" s="86"/>
      <c r="C5" s="106"/>
      <c r="D5" s="106"/>
    </row>
    <row r="6" spans="1:4" ht="17.100000000000001" customHeight="1">
      <c r="A6" s="84" t="s">
        <v>339</v>
      </c>
      <c r="B6" s="86"/>
      <c r="C6" s="106"/>
      <c r="D6" s="106"/>
    </row>
    <row r="7" spans="1:4" ht="17.100000000000001" customHeight="1">
      <c r="A7" s="84" t="s">
        <v>340</v>
      </c>
      <c r="B7" s="86"/>
      <c r="C7" s="106"/>
      <c r="D7" s="106"/>
    </row>
    <row r="8" spans="1:4" ht="17.100000000000001" customHeight="1">
      <c r="A8" s="84" t="s">
        <v>321</v>
      </c>
      <c r="B8" s="86"/>
      <c r="C8" s="107"/>
      <c r="D8" s="107"/>
    </row>
    <row r="9" spans="1:4" ht="17.100000000000001" customHeight="1">
      <c r="A9" s="84" t="s">
        <v>322</v>
      </c>
      <c r="B9" s="86"/>
      <c r="C9" s="87"/>
      <c r="D9" s="88" t="str">
        <f>IF(C9&lt;&gt;B9,"Prüfung","")</f>
        <v/>
      </c>
    </row>
    <row r="10" spans="1:4" ht="17.100000000000001" customHeight="1">
      <c r="A10" s="84" t="s">
        <v>323</v>
      </c>
      <c r="B10" s="86"/>
      <c r="C10" s="87"/>
      <c r="D10" s="88" t="str">
        <f>IF(C10&lt;&gt;B10,"Prüfung","")</f>
        <v/>
      </c>
    </row>
    <row r="11" spans="1:4" ht="17.100000000000001" customHeight="1">
      <c r="A11" s="84" t="s">
        <v>301</v>
      </c>
      <c r="B11" s="86"/>
      <c r="C11" s="89"/>
      <c r="D11" s="90"/>
    </row>
    <row r="12" spans="1:4" ht="17.100000000000001" customHeight="1">
      <c r="A12" s="84" t="s">
        <v>341</v>
      </c>
      <c r="B12" s="91"/>
      <c r="C12" s="91"/>
      <c r="D12" s="88" t="str">
        <f>IF(C12&lt;&gt;B12,"Prüfung","")</f>
        <v/>
      </c>
    </row>
    <row r="13" spans="1:4" ht="17.100000000000001" customHeight="1">
      <c r="A13" s="84" t="s">
        <v>342</v>
      </c>
      <c r="B13" s="86"/>
      <c r="C13" s="86"/>
      <c r="D13" s="88" t="str">
        <f>IF(C13&lt;&gt;B13,"Prüfung","")</f>
        <v/>
      </c>
    </row>
    <row r="14" spans="1:4">
      <c r="B14" s="92"/>
    </row>
    <row r="15" spans="1:4" ht="17.100000000000001" customHeight="1">
      <c r="A15" s="84" t="s">
        <v>343</v>
      </c>
      <c r="B15" s="86"/>
    </row>
    <row r="16" spans="1:4" ht="17.100000000000001" customHeight="1">
      <c r="A16" s="84" t="s">
        <v>344</v>
      </c>
      <c r="B16" s="86"/>
    </row>
    <row r="17" spans="1:2" ht="17.100000000000001" customHeight="1">
      <c r="A17" s="84" t="s">
        <v>345</v>
      </c>
      <c r="B17" s="86"/>
    </row>
    <row r="18" spans="1:2" ht="17.100000000000001" customHeight="1">
      <c r="A18" s="84" t="s">
        <v>346</v>
      </c>
      <c r="B18" s="55"/>
    </row>
    <row r="19" spans="1:2" ht="17.100000000000001" customHeight="1">
      <c r="A19" s="93" t="s">
        <v>347</v>
      </c>
      <c r="B19" s="94"/>
    </row>
  </sheetData>
  <mergeCells count="3">
    <mergeCell ref="A1:D1"/>
    <mergeCell ref="C4:C8"/>
    <mergeCell ref="D4:D8"/>
  </mergeCells>
  <pageMargins left="0.7" right="0.7" top="0.78740157499999996" bottom="0.78740157499999996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D28"/>
  <sheetViews>
    <sheetView zoomScale="135" zoomScaleNormal="135" workbookViewId="0"/>
  </sheetViews>
  <sheetFormatPr baseColWidth="10" defaultColWidth="9.1328125" defaultRowHeight="13.5"/>
  <cols>
    <col min="1" max="1" width="5.73046875" style="57" customWidth="1"/>
    <col min="2" max="2" width="33.73046875" style="57" customWidth="1"/>
    <col min="3" max="3" width="11.73046875" style="57" customWidth="1"/>
    <col min="4" max="4" width="17.73046875" style="57" customWidth="1"/>
    <col min="5" max="16384" width="9.1328125" style="57"/>
  </cols>
  <sheetData>
    <row r="3" spans="1:4" ht="13.9">
      <c r="A3" s="58" t="s">
        <v>286</v>
      </c>
      <c r="B3" s="59"/>
      <c r="C3" s="110"/>
      <c r="D3" s="110"/>
    </row>
    <row r="4" spans="1:4" ht="13.9">
      <c r="A4" s="108" t="s">
        <v>287</v>
      </c>
      <c r="B4" s="108"/>
      <c r="C4" s="110"/>
      <c r="D4" s="110"/>
    </row>
    <row r="5" spans="1:4" ht="13.9">
      <c r="A5" s="108" t="s">
        <v>288</v>
      </c>
      <c r="B5" s="108"/>
      <c r="C5" s="110"/>
      <c r="D5" s="110"/>
    </row>
    <row r="6" spans="1:4" ht="13.9">
      <c r="A6" s="60"/>
      <c r="B6" s="60"/>
    </row>
    <row r="7" spans="1:4" ht="13.9">
      <c r="A7" s="108" t="s">
        <v>289</v>
      </c>
      <c r="B7" s="108"/>
      <c r="C7" s="110"/>
      <c r="D7" s="110"/>
    </row>
    <row r="8" spans="1:4" ht="13.9">
      <c r="A8" s="108" t="s">
        <v>290</v>
      </c>
      <c r="B8" s="108"/>
      <c r="C8" s="109"/>
      <c r="D8" s="109"/>
    </row>
    <row r="9" spans="1:4" ht="13.9">
      <c r="A9" s="60"/>
      <c r="B9" s="60"/>
    </row>
    <row r="10" spans="1:4" ht="13.9">
      <c r="C10" s="61" t="s">
        <v>291</v>
      </c>
      <c r="D10" s="61" t="s">
        <v>292</v>
      </c>
    </row>
    <row r="11" spans="1:4" ht="13.9">
      <c r="A11" s="62"/>
      <c r="B11" s="62" t="s">
        <v>293</v>
      </c>
    </row>
    <row r="12" spans="1:4" ht="13.9">
      <c r="A12" s="63" t="s">
        <v>294</v>
      </c>
      <c r="B12" s="64" t="s">
        <v>295</v>
      </c>
      <c r="C12" s="65"/>
      <c r="D12" s="65"/>
    </row>
    <row r="13" spans="1:4" ht="13.9">
      <c r="A13" s="66" t="s">
        <v>296</v>
      </c>
      <c r="B13" s="62" t="s">
        <v>297</v>
      </c>
    </row>
    <row r="14" spans="1:4" ht="13.9">
      <c r="A14" s="63" t="s">
        <v>294</v>
      </c>
      <c r="B14" s="64" t="s">
        <v>298</v>
      </c>
      <c r="C14" s="65"/>
      <c r="D14" s="65"/>
    </row>
    <row r="15" spans="1:4" ht="13.9">
      <c r="A15" s="66" t="s">
        <v>296</v>
      </c>
      <c r="B15" s="62" t="s">
        <v>299</v>
      </c>
    </row>
    <row r="16" spans="1:4" ht="13.9">
      <c r="A16" s="63" t="s">
        <v>300</v>
      </c>
      <c r="B16" s="64" t="s">
        <v>301</v>
      </c>
      <c r="C16" s="65"/>
      <c r="D16" s="65"/>
    </row>
    <row r="17" spans="1:4" ht="13.9">
      <c r="A17" s="66" t="s">
        <v>296</v>
      </c>
      <c r="B17" s="62" t="s">
        <v>302</v>
      </c>
    </row>
    <row r="18" spans="1:4" ht="13.9">
      <c r="A18" s="63" t="s">
        <v>300</v>
      </c>
      <c r="B18" s="64" t="s">
        <v>303</v>
      </c>
      <c r="C18" s="65"/>
      <c r="D18" s="65"/>
    </row>
    <row r="19" spans="1:4" ht="13.9">
      <c r="A19" s="66" t="s">
        <v>296</v>
      </c>
      <c r="B19" s="62" t="s">
        <v>304</v>
      </c>
    </row>
    <row r="20" spans="1:4" ht="13.9">
      <c r="A20" s="63" t="s">
        <v>300</v>
      </c>
      <c r="B20" s="64" t="s">
        <v>305</v>
      </c>
      <c r="C20" s="65"/>
      <c r="D20" s="65"/>
    </row>
    <row r="21" spans="1:4" ht="13.9">
      <c r="A21" s="66" t="s">
        <v>296</v>
      </c>
      <c r="B21" s="62" t="s">
        <v>306</v>
      </c>
    </row>
    <row r="22" spans="1:4" ht="13.9">
      <c r="A22" s="66" t="s">
        <v>300</v>
      </c>
      <c r="B22" s="62" t="s">
        <v>307</v>
      </c>
    </row>
    <row r="23" spans="1:4" ht="13.9">
      <c r="A23" s="63" t="s">
        <v>300</v>
      </c>
      <c r="B23" s="64" t="s">
        <v>308</v>
      </c>
      <c r="C23" s="65"/>
      <c r="D23" s="65"/>
    </row>
    <row r="24" spans="1:4" ht="13.9">
      <c r="A24" s="66" t="s">
        <v>296</v>
      </c>
      <c r="B24" s="62" t="s">
        <v>309</v>
      </c>
    </row>
    <row r="25" spans="1:4" ht="13.9">
      <c r="A25" s="63" t="s">
        <v>300</v>
      </c>
      <c r="B25" s="64" t="s">
        <v>310</v>
      </c>
      <c r="C25" s="65"/>
      <c r="D25" s="65"/>
    </row>
    <row r="26" spans="1:4" ht="13.9">
      <c r="A26" s="66" t="s">
        <v>296</v>
      </c>
      <c r="B26" s="62" t="s">
        <v>311</v>
      </c>
    </row>
    <row r="28" spans="1:4" ht="13.9">
      <c r="A28" s="66" t="s">
        <v>296</v>
      </c>
      <c r="B28" s="62" t="s">
        <v>312</v>
      </c>
    </row>
  </sheetData>
  <mergeCells count="9">
    <mergeCell ref="A8:B8"/>
    <mergeCell ref="C8:D8"/>
    <mergeCell ref="C3:D3"/>
    <mergeCell ref="A4:B4"/>
    <mergeCell ref="C4:D4"/>
    <mergeCell ref="A5:B5"/>
    <mergeCell ref="C5:D5"/>
    <mergeCell ref="A7:B7"/>
    <mergeCell ref="C7:D7"/>
  </mergeCells>
  <pageMargins left="0.7" right="0.7" top="0.78740157499999996" bottom="0.78740157499999996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"/>
  <sheetViews>
    <sheetView zoomScale="150" zoomScaleNormal="150" workbookViewId="0">
      <selection sqref="A1:B1"/>
    </sheetView>
  </sheetViews>
  <sheetFormatPr baseColWidth="10" defaultColWidth="9.1328125" defaultRowHeight="13.5"/>
  <cols>
    <col min="1" max="2" width="14.59765625" style="29" customWidth="1"/>
    <col min="3" max="16384" width="9.1328125" style="29"/>
  </cols>
  <sheetData>
    <row r="1" spans="1:2" ht="13.9">
      <c r="A1" s="111" t="s">
        <v>313</v>
      </c>
      <c r="B1" s="111"/>
    </row>
    <row r="3" spans="1:2" ht="27">
      <c r="A3" s="56" t="s">
        <v>314</v>
      </c>
      <c r="B3" s="56" t="s">
        <v>315</v>
      </c>
    </row>
    <row r="4" spans="1:2">
      <c r="A4" s="51">
        <v>50</v>
      </c>
      <c r="B4" s="51">
        <v>5</v>
      </c>
    </row>
    <row r="5" spans="1:2">
      <c r="A5" s="51">
        <v>100</v>
      </c>
      <c r="B5" s="51">
        <v>8</v>
      </c>
    </row>
    <row r="6" spans="1:2">
      <c r="A6" s="51">
        <v>250</v>
      </c>
      <c r="B6" s="51">
        <v>12</v>
      </c>
    </row>
    <row r="7" spans="1:2">
      <c r="A7" s="51">
        <v>500</v>
      </c>
      <c r="B7" s="51">
        <v>15</v>
      </c>
    </row>
    <row r="8" spans="1:2">
      <c r="A8" s="51">
        <v>750</v>
      </c>
      <c r="B8" s="51">
        <v>17</v>
      </c>
    </row>
    <row r="9" spans="1:2">
      <c r="A9" s="51">
        <v>1000</v>
      </c>
      <c r="B9" s="51">
        <v>20</v>
      </c>
    </row>
  </sheetData>
  <mergeCells count="1">
    <mergeCell ref="A1:B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12</vt:i4>
      </vt:variant>
      <vt:variant>
        <vt:lpstr>Benannte Bereiche</vt:lpstr>
      </vt:variant>
      <vt:variant>
        <vt:i4>1</vt:i4>
      </vt:variant>
    </vt:vector>
  </HeadingPairs>
  <TitlesOfParts>
    <vt:vector size="13" baseType="lpstr">
      <vt:lpstr>Artikel</vt:lpstr>
      <vt:lpstr>Kunden</vt:lpstr>
      <vt:lpstr>Lieferanten</vt:lpstr>
      <vt:lpstr>Warengruppen</vt:lpstr>
      <vt:lpstr>optimale Bestellmenge</vt:lpstr>
      <vt:lpstr>opt. BM Ausgangsdaten</vt:lpstr>
      <vt:lpstr>qualitativer Angebotsvergleich</vt:lpstr>
      <vt:lpstr>Bewertung April 20..</vt:lpstr>
      <vt:lpstr>Eingangsrechnungen</vt:lpstr>
      <vt:lpstr>Rechnerische Richtigkeit</vt:lpstr>
      <vt:lpstr>Schema</vt:lpstr>
      <vt:lpstr>Hilfstabelle</vt:lpstr>
      <vt:lpstr>Artikel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Elvira Pü</dc:creator>
  <cp:lastModifiedBy>Markus Peters</cp:lastModifiedBy>
  <dcterms:created xsi:type="dcterms:W3CDTF">2013-10-03T14:38:55Z</dcterms:created>
  <dcterms:modified xsi:type="dcterms:W3CDTF">2024-08-12T09:53:29Z</dcterms:modified>
</cp:coreProperties>
</file>