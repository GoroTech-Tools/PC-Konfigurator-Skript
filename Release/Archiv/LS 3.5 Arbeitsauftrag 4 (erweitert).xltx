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DieseArbeitsmappe"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1\LF 3 - Auftragsbearbeitung\LS 3.5\"/>
    </mc:Choice>
  </mc:AlternateContent>
  <xr:revisionPtr revIDLastSave="0" documentId="13_ncr:1_{CD034655-4BB7-4F80-8398-7CF9C2A0A1D6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Rechnung (kommentiert)" sheetId="6" state="hidden" r:id="rId1"/>
    <sheet name="Rechnung" sheetId="1" r:id="rId2"/>
    <sheet name="Lieferschein" sheetId="7" state="hidden" r:id="rId3"/>
    <sheet name="Artikel" sheetId="3" r:id="rId4"/>
    <sheet name="Kunden" sheetId="4" r:id="rId5"/>
    <sheet name="Hilfsdaten" sheetId="5" r:id="rId6"/>
  </sheets>
  <externalReferences>
    <externalReference r:id="rId7"/>
  </externalReferences>
  <definedNames>
    <definedName name="Artikel" localSheetId="4">[1]Artikel!$A$4:$E$43</definedName>
    <definedName name="Artikel">Artikel!$A$2:$E$41</definedName>
    <definedName name="banken">[1]Bankleitzahlen!$A$2:$B$31</definedName>
    <definedName name="_xlnm.Print_Area" localSheetId="4">Kunden!$A$1:$N$15</definedName>
    <definedName name="kunden" localSheetId="4">Kunden!$A$2:$N$15</definedName>
    <definedName name="kunden">[1]Kunden!$A$4:$M$31</definedName>
    <definedName name="lieferer">[1]Lieferanten!$A$4:$AA$31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" i="6" l="1"/>
  <c r="D16" i="7"/>
  <c r="D16" i="1"/>
  <c r="G13" i="1"/>
  <c r="G13" i="7"/>
  <c r="A25" i="7" l="1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C17" i="7"/>
  <c r="B9" i="7"/>
  <c r="A9" i="7"/>
  <c r="A8" i="7"/>
  <c r="A7" i="7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25" i="6"/>
  <c r="E39" i="6"/>
  <c r="B39" i="6"/>
  <c r="A39" i="6"/>
  <c r="E38" i="6"/>
  <c r="B38" i="6"/>
  <c r="A38" i="6"/>
  <c r="E37" i="6"/>
  <c r="B37" i="6"/>
  <c r="A37" i="6"/>
  <c r="E36" i="6"/>
  <c r="G36" i="6" s="1"/>
  <c r="H36" i="6" s="1"/>
  <c r="B36" i="6"/>
  <c r="A36" i="6"/>
  <c r="E35" i="6"/>
  <c r="B35" i="6"/>
  <c r="A35" i="6"/>
  <c r="E34" i="6"/>
  <c r="B34" i="6"/>
  <c r="A34" i="6"/>
  <c r="E33" i="6"/>
  <c r="B33" i="6"/>
  <c r="A33" i="6"/>
  <c r="E32" i="6"/>
  <c r="B32" i="6"/>
  <c r="A32" i="6"/>
  <c r="E31" i="6"/>
  <c r="B31" i="6"/>
  <c r="A31" i="6"/>
  <c r="E30" i="6"/>
  <c r="B30" i="6"/>
  <c r="A30" i="6"/>
  <c r="E29" i="6"/>
  <c r="B29" i="6"/>
  <c r="A29" i="6"/>
  <c r="E28" i="6"/>
  <c r="B28" i="6"/>
  <c r="A28" i="6"/>
  <c r="E27" i="6"/>
  <c r="B27" i="6"/>
  <c r="A27" i="6"/>
  <c r="E26" i="6"/>
  <c r="B26" i="6"/>
  <c r="A26" i="6"/>
  <c r="E25" i="6"/>
  <c r="B25" i="6"/>
  <c r="A25" i="6"/>
  <c r="D17" i="6"/>
  <c r="B9" i="6"/>
  <c r="A9" i="6"/>
  <c r="A8" i="6"/>
  <c r="A7" i="6"/>
  <c r="G37" i="6" l="1"/>
  <c r="H37" i="6" s="1"/>
  <c r="G32" i="6"/>
  <c r="H32" i="6" s="1"/>
  <c r="G28" i="6"/>
  <c r="H28" i="6" s="1"/>
  <c r="G38" i="6"/>
  <c r="H38" i="6" s="1"/>
  <c r="G29" i="6"/>
  <c r="H29" i="6" s="1"/>
  <c r="G25" i="6"/>
  <c r="H25" i="6" s="1"/>
  <c r="G33" i="6"/>
  <c r="H33" i="6" s="1"/>
  <c r="G39" i="6"/>
  <c r="H39" i="6" s="1"/>
  <c r="G27" i="6"/>
  <c r="H27" i="6" s="1"/>
  <c r="G31" i="6"/>
  <c r="H31" i="6" s="1"/>
  <c r="G35" i="6"/>
  <c r="H35" i="6" s="1"/>
  <c r="G26" i="6"/>
  <c r="H26" i="6" s="1"/>
  <c r="G30" i="6"/>
  <c r="H30" i="6" s="1"/>
  <c r="G34" i="6"/>
  <c r="H34" i="6" s="1"/>
  <c r="B9" i="1"/>
  <c r="A9" i="1"/>
  <c r="A8" i="1"/>
  <c r="A7" i="1"/>
  <c r="H40" i="6" l="1"/>
  <c r="H41" i="6" l="1"/>
  <c r="H42" i="6" s="1"/>
</calcChain>
</file>

<file path=xl/sharedStrings.xml><?xml version="1.0" encoding="utf-8"?>
<sst xmlns="http://schemas.openxmlformats.org/spreadsheetml/2006/main" count="227" uniqueCount="167">
  <si>
    <t>Duisdorfer BüroKonzept KG • Rochusstraße 30 • 53123 Bonn</t>
  </si>
  <si>
    <t>Kundennummer</t>
  </si>
  <si>
    <t>Sehr geehrte Damen und Herren,</t>
  </si>
  <si>
    <t>Pos.</t>
  </si>
  <si>
    <t>Artikel-
Nr.</t>
  </si>
  <si>
    <t>Artikel-
Bezeichnung</t>
  </si>
  <si>
    <t>Menge</t>
  </si>
  <si>
    <t>Einzel-
preis €</t>
  </si>
  <si>
    <t>Rabatt 
%</t>
  </si>
  <si>
    <t>Rabatt-
betrag €</t>
  </si>
  <si>
    <t>Gesamt-
preis €</t>
  </si>
  <si>
    <t>Nettobetrag €</t>
  </si>
  <si>
    <t>wir erlauben uns, Ihnen nachfolgende Artikel in Rechnung zu stellen.</t>
  </si>
  <si>
    <t>Rechnungsbetrag €</t>
  </si>
  <si>
    <t>Artikel-Nr.</t>
  </si>
  <si>
    <t>Artikelbezeichnung</t>
  </si>
  <si>
    <t>Warengruppe</t>
  </si>
  <si>
    <t>Einzelpreis</t>
  </si>
  <si>
    <t>Schreibtisch Ökostar</t>
  </si>
  <si>
    <t>Schreibtisch Ahorn</t>
  </si>
  <si>
    <t>Schreibtisch weiß C-Füße</t>
  </si>
  <si>
    <t>Konferenztischelement lichtgrau</t>
  </si>
  <si>
    <t>Mehrzwecktisch oval lichtgrau</t>
  </si>
  <si>
    <t>Bürostuhl Comfort</t>
  </si>
  <si>
    <t>Bandscheiben-Drehstuhl extra</t>
  </si>
  <si>
    <t>Chefsessel Bonn Maxx</t>
  </si>
  <si>
    <t>Bürosessel Tenno (zuvor Bürosessel Bodu L)</t>
  </si>
  <si>
    <t>Hocker Milano</t>
  </si>
  <si>
    <t>Aktenvernichter Safeway</t>
  </si>
  <si>
    <t>Scann-Chef 100</t>
  </si>
  <si>
    <t>Multifax 0912</t>
  </si>
  <si>
    <t>Tischkopierer Sumsang</t>
  </si>
  <si>
    <t>Ventilator Orkano</t>
  </si>
  <si>
    <t>Naturkontor Schreibtisch 140 * 80</t>
  </si>
  <si>
    <t>Naturkontor Schreibtisch 160 * 80</t>
  </si>
  <si>
    <t>Naturkontor Schreibtisch 180 * 90</t>
  </si>
  <si>
    <t>Kunden-Nr.</t>
  </si>
  <si>
    <t>Firma</t>
  </si>
  <si>
    <t>Firmenzusatz</t>
  </si>
  <si>
    <t>Straße Nummer</t>
  </si>
  <si>
    <t>PLZ</t>
  </si>
  <si>
    <t>Ort</t>
  </si>
  <si>
    <t>Telefon</t>
  </si>
  <si>
    <t>BLZ</t>
  </si>
  <si>
    <t>Bank</t>
  </si>
  <si>
    <t>IBAN</t>
  </si>
  <si>
    <t>Ansprechpartner</t>
  </si>
  <si>
    <t>Geschlecht 
Ansprechpartner</t>
  </si>
  <si>
    <t>Rabattsatz %</t>
  </si>
  <si>
    <t>Kunde seit</t>
  </si>
  <si>
    <t>Neuhoff KG</t>
  </si>
  <si>
    <t>RaumDesign</t>
  </si>
  <si>
    <t>Brunnenstraße 3</t>
  </si>
  <si>
    <t>Hannover</t>
  </si>
  <si>
    <t>0511 886055-0</t>
  </si>
  <si>
    <t>Sparda Hannover</t>
  </si>
  <si>
    <t>DE95 2509 0500 5588 4674 58</t>
  </si>
  <si>
    <t>Otto Langner</t>
  </si>
  <si>
    <t>m</t>
  </si>
  <si>
    <t>Intermöbel GmbH</t>
  </si>
  <si>
    <t>Großhandel für Büromöbel</t>
  </si>
  <si>
    <t>Kaiserstraße 10</t>
  </si>
  <si>
    <t>Siegen</t>
  </si>
  <si>
    <t>0271 522455-0</t>
  </si>
  <si>
    <t>Commerzbank Siegen</t>
  </si>
  <si>
    <t>DE09 4604 0033 7987 8544 31</t>
  </si>
  <si>
    <t>Zeta Franke</t>
  </si>
  <si>
    <t>w</t>
  </si>
  <si>
    <t>Stadt Bonn</t>
  </si>
  <si>
    <t>Gebäudemanagement</t>
  </si>
  <si>
    <t>Berliner Platz 2</t>
  </si>
  <si>
    <t>Bonn</t>
  </si>
  <si>
    <t>0228 953378-0</t>
  </si>
  <si>
    <t>Westdeutsche Landesbank Köln</t>
  </si>
  <si>
    <t>DE10 3005 0000 7584 6214 70</t>
  </si>
  <si>
    <t>Laura Bender</t>
  </si>
  <si>
    <t>Frohn KG</t>
  </si>
  <si>
    <t>Büroausstattung</t>
  </si>
  <si>
    <t>Lerchenweg 44</t>
  </si>
  <si>
    <t>Heidelberg</t>
  </si>
  <si>
    <t>06221 474456-0</t>
  </si>
  <si>
    <t>Sparkasse Heidelberg</t>
  </si>
  <si>
    <t>DE51 6725 0020 5934 8754 24</t>
  </si>
  <si>
    <t>Udo Frohn</t>
  </si>
  <si>
    <t>Brinkmann OHG</t>
  </si>
  <si>
    <t>Alles fürs Büro</t>
  </si>
  <si>
    <t>Im Ruhrfeld 35 a</t>
  </si>
  <si>
    <t>Norderstedt</t>
  </si>
  <si>
    <t>040 214455-0</t>
  </si>
  <si>
    <t>Hamburger Sparkasse</t>
  </si>
  <si>
    <t>DE71 2005 0550 5957 5413 59</t>
  </si>
  <si>
    <t>Hans Bräuner</t>
  </si>
  <si>
    <t>Gilles &amp; Partner</t>
  </si>
  <si>
    <t>Möbelgroßhandlung</t>
  </si>
  <si>
    <t>Königstraße 28</t>
  </si>
  <si>
    <t>Naumburg</t>
  </si>
  <si>
    <t>03445 977567-0</t>
  </si>
  <si>
    <t>Volks- und Raiffeinsenbank Saale-Unstrut eG</t>
  </si>
  <si>
    <t>DE10 8006 3648 6947 3278 51</t>
  </si>
  <si>
    <t>Sabine Gilles</t>
  </si>
  <si>
    <t>Stammhaus KG</t>
  </si>
  <si>
    <t>Bürokonzepte</t>
  </si>
  <si>
    <t>Berliner Damm 9</t>
  </si>
  <si>
    <t>Koblenz</t>
  </si>
  <si>
    <t>0261 2554778-0</t>
  </si>
  <si>
    <t>Postbank Frankfurt Main</t>
  </si>
  <si>
    <t>DE33 5001 0060 8574 9636 14</t>
  </si>
  <si>
    <t>Matthias Höpfner</t>
  </si>
  <si>
    <t>Rhenag GmbH</t>
  </si>
  <si>
    <t>Bürogroßhandel</t>
  </si>
  <si>
    <t>Annostraße 56</t>
  </si>
  <si>
    <t>Mannheim</t>
  </si>
  <si>
    <t>0621 745567-0</t>
  </si>
  <si>
    <t>Kreissparkasse Köln</t>
  </si>
  <si>
    <t>DE33 3705 0299 2574 9652 14</t>
  </si>
  <si>
    <t>Lisa Henseler</t>
  </si>
  <si>
    <t>Blattschneider &amp; Partner</t>
  </si>
  <si>
    <t>Rechtsanwaltskanzlei</t>
  </si>
  <si>
    <t>Mozartplatz 89a</t>
  </si>
  <si>
    <t>Frankfurt M.</t>
  </si>
  <si>
    <t>069 558944-0</t>
  </si>
  <si>
    <t>Deutsche Bank Frankfurt</t>
  </si>
  <si>
    <t>DE35 5007 0024 1526 8495 76</t>
  </si>
  <si>
    <t>Bianca Tänzer</t>
  </si>
  <si>
    <t>Ärztezentrum Bonn</t>
  </si>
  <si>
    <t>Ganzheitliche Medizin</t>
  </si>
  <si>
    <t>Hohenzollernplatz 83</t>
  </si>
  <si>
    <t>0228 588755-0</t>
  </si>
  <si>
    <t>Deutsche Apotheker- und Ärztebank eG Düsseldorf</t>
  </si>
  <si>
    <t>DE70 3006 0601 1649 7643 25</t>
  </si>
  <si>
    <t>Gerd Trapagini</t>
  </si>
  <si>
    <t>Peter Wagner e. K.</t>
  </si>
  <si>
    <t>Gartenbaubetrieb</t>
  </si>
  <si>
    <t>Große Straße 12</t>
  </si>
  <si>
    <t>Bornheim</t>
  </si>
  <si>
    <t>02223 47885</t>
  </si>
  <si>
    <t>Volksbank Köln Bonn eG</t>
  </si>
  <si>
    <t>DE50 3806 0186 3696 2585 14</t>
  </si>
  <si>
    <t>Peter Wagner</t>
  </si>
  <si>
    <t>Schulzentrum Nord</t>
  </si>
  <si>
    <t>Effertzgasse 13</t>
  </si>
  <si>
    <t>Siegburg</t>
  </si>
  <si>
    <t>02241 144856-0</t>
  </si>
  <si>
    <t>DE39 3005 0000 1937 4682 55</t>
  </si>
  <si>
    <t>Hanna Danzer</t>
  </si>
  <si>
    <t>Sonstige Kunden</t>
  </si>
  <si>
    <t>Unser Zeichen:</t>
  </si>
  <si>
    <t>Ihre Nachricht vom:</t>
  </si>
  <si>
    <t>Ihr Zeichen</t>
  </si>
  <si>
    <t>Unsere Nachricht vom:</t>
  </si>
  <si>
    <t>Name:</t>
  </si>
  <si>
    <t>Telefon:</t>
  </si>
  <si>
    <t>Fax:</t>
  </si>
  <si>
    <t>E-Mail:</t>
  </si>
  <si>
    <t>Datum:</t>
  </si>
  <si>
    <t>Die Rechnung ist zahlbar innerhalb von 30 Tagen ohne Abzug. Der sonst übliche Rabatt entfällt aufgrund der für diesen Auftrag vereinbarten kurzfristigen Lieferung der Ware.</t>
  </si>
  <si>
    <t>Die Ware bleibt bis zur vollständigen Bezahlung Eigentum der Duisdorfer BüroKonzept KG.</t>
  </si>
  <si>
    <t>Diese Rechnung wurde maschinell erstellt und ist ohne Unterschrift gültig.</t>
  </si>
  <si>
    <t>Rabattstaffelung</t>
  </si>
  <si>
    <t>Textbausteine</t>
  </si>
  <si>
    <t>Die Rechnung ist zahlbar innerhalb von 30 Tagen ohne Abzug. Berücksichtigt wurde der Rabatt gemäß Rahmenvertrag.</t>
  </si>
  <si>
    <t>wir bedanken uns für die gute Zusammenarbeit und liefern Ihnen vereinbarungsgemäß folgende Waren:</t>
  </si>
  <si>
    <t>Ware ordnungsgemäß erhalten:</t>
  </si>
  <si>
    <t>Datum, Unterschrift</t>
  </si>
  <si>
    <t>Rechnungsnummer</t>
  </si>
  <si>
    <t>Lieferscheinnummer</t>
  </si>
  <si>
    <t>Peter Mustermann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</si>
</sst>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&quot; %&quot;"/>
    <numFmt numFmtId="165" formatCode="#,##0.00\ &quot;€&quot;"/>
    <numFmt numFmtId="166" formatCode="00000"/>
    <numFmt numFmtId="167" formatCode="0.0"/>
    <numFmt numFmtId="168" formatCode="#,##0.00\ &quot;€&quot;;\-0;"/>
    <numFmt numFmtId="169" formatCode="0.0%"/>
    <numFmt numFmtId="170" formatCode="0.0;\-0.0;"/>
    <numFmt numFmtId="171" formatCode="&quot;USt&quot;\ 0\ %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1F497D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/>
  </cellStyleXfs>
  <cellXfs count="67">
    <xf numFmtId="0" fontId="0" fillId="0" borderId="0" xfId="0"/>
    <xf numFmtId="0" fontId="3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1" applyNumberFormat="1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0" fontId="0" fillId="0" borderId="0" xfId="0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168" fontId="0" fillId="0" borderId="0" xfId="0" applyNumberFormat="1" applyBorder="1"/>
    <xf numFmtId="170" fontId="0" fillId="0" borderId="0" xfId="0" applyNumberFormat="1" applyBorder="1"/>
    <xf numFmtId="168" fontId="8" fillId="3" borderId="0" xfId="0" applyNumberFormat="1" applyFont="1" applyFill="1" applyBorder="1"/>
    <xf numFmtId="0" fontId="0" fillId="0" borderId="0" xfId="0" applyBorder="1" applyAlignment="1">
      <alignment vertical="top" wrapText="1"/>
    </xf>
    <xf numFmtId="0" fontId="9" fillId="0" borderId="0" xfId="0" applyFont="1"/>
    <xf numFmtId="0" fontId="0" fillId="4" borderId="0" xfId="0" applyFill="1" applyBorder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/>
    <xf numFmtId="168" fontId="8" fillId="0" borderId="0" xfId="0" applyNumberFormat="1" applyFont="1" applyFill="1" applyBorder="1"/>
    <xf numFmtId="0" fontId="0" fillId="0" borderId="0" xfId="0" applyFill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0" fillId="0" borderId="2" xfId="1" applyNumberFormat="1" applyFont="1" applyBorder="1"/>
    <xf numFmtId="0" fontId="4" fillId="0" borderId="2" xfId="0" applyFont="1" applyBorder="1" applyAlignment="1">
      <alignment vertical="center"/>
    </xf>
    <xf numFmtId="0" fontId="0" fillId="0" borderId="0" xfId="0" applyFont="1"/>
    <xf numFmtId="0" fontId="0" fillId="0" borderId="2" xfId="0" applyFont="1" applyBorder="1"/>
    <xf numFmtId="0" fontId="10" fillId="0" borderId="2" xfId="0" applyFont="1" applyBorder="1" applyAlignment="1">
      <alignment vertical="center"/>
    </xf>
    <xf numFmtId="165" fontId="0" fillId="0" borderId="0" xfId="0" applyNumberFormat="1" applyFont="1"/>
    <xf numFmtId="0" fontId="4" fillId="0" borderId="0" xfId="2" applyFont="1" applyAlignment="1">
      <alignment vertical="center"/>
    </xf>
    <xf numFmtId="0" fontId="4" fillId="0" borderId="2" xfId="2" applyFont="1" applyBorder="1" applyAlignment="1">
      <alignment vertical="center"/>
    </xf>
    <xf numFmtId="0" fontId="4" fillId="0" borderId="2" xfId="2" applyFont="1" applyBorder="1" applyAlignment="1">
      <alignment horizontal="center" vertical="center"/>
    </xf>
    <xf numFmtId="1" fontId="4" fillId="0" borderId="2" xfId="2" applyNumberFormat="1" applyFont="1" applyFill="1" applyBorder="1" applyAlignment="1">
      <alignment vertical="center"/>
    </xf>
    <xf numFmtId="166" fontId="4" fillId="0" borderId="2" xfId="2" applyNumberFormat="1" applyFont="1" applyFill="1" applyBorder="1" applyAlignment="1">
      <alignment horizontal="center" vertical="center"/>
    </xf>
    <xf numFmtId="49" fontId="4" fillId="0" borderId="2" xfId="2" applyNumberFormat="1" applyFont="1" applyFill="1" applyBorder="1" applyAlignment="1">
      <alignment vertical="center"/>
    </xf>
    <xf numFmtId="0" fontId="11" fillId="0" borderId="2" xfId="2" applyFont="1" applyFill="1" applyBorder="1" applyAlignment="1">
      <alignment horizontal="left" vertical="center" wrapText="1"/>
    </xf>
    <xf numFmtId="0" fontId="4" fillId="0" borderId="2" xfId="2" applyFont="1" applyBorder="1" applyAlignment="1">
      <alignment horizontal="left" vertical="center"/>
    </xf>
    <xf numFmtId="167" fontId="4" fillId="0" borderId="2" xfId="2" applyNumberFormat="1" applyFont="1" applyBorder="1" applyAlignment="1">
      <alignment vertical="center"/>
    </xf>
    <xf numFmtId="14" fontId="4" fillId="0" borderId="2" xfId="2" applyNumberFormat="1" applyFont="1" applyBorder="1" applyAlignment="1">
      <alignment horizontal="center" vertical="center"/>
    </xf>
    <xf numFmtId="1" fontId="4" fillId="0" borderId="3" xfId="2" applyNumberFormat="1" applyFont="1" applyFill="1" applyBorder="1" applyAlignment="1">
      <alignment vertical="center"/>
    </xf>
    <xf numFmtId="1" fontId="4" fillId="0" borderId="0" xfId="2" applyNumberFormat="1" applyFont="1" applyFill="1" applyBorder="1" applyAlignment="1">
      <alignment vertical="center"/>
    </xf>
    <xf numFmtId="0" fontId="12" fillId="2" borderId="1" xfId="2" applyFont="1" applyFill="1" applyBorder="1" applyAlignment="1">
      <alignment horizontal="left" vertical="center"/>
    </xf>
    <xf numFmtId="0" fontId="12" fillId="2" borderId="1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center" vertical="center" wrapText="1"/>
    </xf>
    <xf numFmtId="169" fontId="0" fillId="0" borderId="0" xfId="0" applyNumberFormat="1" applyBorder="1"/>
    <xf numFmtId="0" fontId="0" fillId="0" borderId="4" xfId="0" applyBorder="1"/>
    <xf numFmtId="14" fontId="0" fillId="0" borderId="0" xfId="0" applyNumberFormat="1"/>
    <xf numFmtId="0" fontId="0" fillId="0" borderId="0" xfId="0"/>
    <xf numFmtId="0" fontId="0" fillId="4" borderId="0" xfId="0" applyFill="1"/>
    <xf numFmtId="0" fontId="3" fillId="0" borderId="4" xfId="0" applyFont="1" applyBorder="1"/>
    <xf numFmtId="0" fontId="8" fillId="3" borderId="0" xfId="0" applyFont="1" applyFill="1" applyBorder="1" applyAlignment="1">
      <alignment horizontal="right"/>
    </xf>
    <xf numFmtId="171" fontId="8" fillId="3" borderId="0" xfId="0" applyNumberFormat="1" applyFont="1" applyFill="1" applyBorder="1" applyAlignment="1"/>
    <xf numFmtId="0" fontId="0" fillId="4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0" fillId="0" borderId="4" xfId="0" applyBorder="1" applyAlignment="1">
      <alignment vertical="top" wrapText="1"/>
    </xf>
    <xf numFmtId="0" fontId="8" fillId="0" borderId="0" xfId="0" applyFont="1" applyFill="1" applyBorder="1" applyAlignment="1">
      <alignment horizontal="right"/>
    </xf>
    <xf numFmtId="171" fontId="8" fillId="0" borderId="0" xfId="0" applyNumberFormat="1" applyFont="1" applyFill="1" applyBorder="1" applyAlignment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/>
    </xf>
  </cellXfs>
  <cellStyles count="3">
    <cellStyle name="Standard" xfId="0" builtinId="0"/>
    <cellStyle name="Standard 2" xfId="2" xr:uid="{00000000-0005-0000-0000-000001000000}"/>
    <cellStyle name="Währung" xfId="1" builtinId="4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#,##0.00\ &quot;€&quot;;\-0;"/>
    </dxf>
    <dxf>
      <numFmt numFmtId="168" formatCode="#,##0.00\ &quot;€&quot;;\-0;"/>
    </dxf>
    <dxf>
      <numFmt numFmtId="170" formatCode="0.0;\-0.0;"/>
    </dxf>
    <dxf>
      <numFmt numFmtId="168" formatCode="#,##0.00\ &quot;€&quot;;\-0;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#,##0.00\ &quot;€&quot;;\-0;"/>
    </dxf>
    <dxf>
      <numFmt numFmtId="168" formatCode="#,##0.00\ &quot;€&quot;;\-0;"/>
    </dxf>
    <dxf>
      <numFmt numFmtId="170" formatCode="0.0;\-0.0;"/>
    </dxf>
    <dxf>
      <numFmt numFmtId="168" formatCode="#,##0.00\ &quot;€&quot;;\-0;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4A4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3</xdr:col>
          <xdr:colOff>552450</xdr:colOff>
          <xdr:row>41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95250</xdr:colOff>
      <xdr:row>4</xdr:row>
      <xdr:rowOff>38100</xdr:rowOff>
    </xdr:from>
    <xdr:to>
      <xdr:col>14</xdr:col>
      <xdr:colOff>149250</xdr:colOff>
      <xdr:row>11</xdr:row>
      <xdr:rowOff>38100</xdr:rowOff>
    </xdr:to>
    <xdr:sp macro="" textlink="">
      <xdr:nvSpPr>
        <xdr:cNvPr id="2" name="Sprechblase: rechteckig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43900" y="800100"/>
          <a:ext cx="2340000" cy="1333500"/>
        </a:xfrm>
        <a:prstGeom prst="wedgeRectCallout">
          <a:avLst>
            <a:gd name="adj1" fmla="val -372214"/>
            <a:gd name="adj2" fmla="val -32500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Auswahl</a:t>
          </a:r>
          <a:r>
            <a:rPr lang="de-DE" sz="1100" baseline="0"/>
            <a:t> eines Kunden füllt das Adressfeld, die Kundennummer in Zeile 17 und die festgelegten Rabattsätze. Letztere müssen durch eigene Werte ersetzt werden, wenn von den Rahmenbedingungen abgewichen werden muss.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12</xdr:row>
      <xdr:rowOff>9525</xdr:rowOff>
    </xdr:from>
    <xdr:to>
      <xdr:col>14</xdr:col>
      <xdr:colOff>149250</xdr:colOff>
      <xdr:row>21</xdr:row>
      <xdr:rowOff>152400</xdr:rowOff>
    </xdr:to>
    <xdr:sp macro="" textlink="">
      <xdr:nvSpPr>
        <xdr:cNvPr id="3" name="Sprechblase: rechteckig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343900" y="2190750"/>
          <a:ext cx="2340000" cy="1333500"/>
        </a:xfrm>
        <a:prstGeom prst="wedgeRectCallout">
          <a:avLst>
            <a:gd name="adj1" fmla="val -230564"/>
            <a:gd name="adj2" fmla="val -8929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Rechnungsnummer und Name werden automatisch gefüllt. Die Rechnungsnummer wird</a:t>
          </a:r>
          <a:r>
            <a:rPr lang="de-DE" sz="1100" baseline="0"/>
            <a:t> in einer separaten Datei (Rechnungen.ini) gespeichert und hochgezählt.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22</xdr:row>
      <xdr:rowOff>19050</xdr:rowOff>
    </xdr:from>
    <xdr:to>
      <xdr:col>14</xdr:col>
      <xdr:colOff>149250</xdr:colOff>
      <xdr:row>28</xdr:row>
      <xdr:rowOff>123825</xdr:rowOff>
    </xdr:to>
    <xdr:sp macro="" textlink="">
      <xdr:nvSpPr>
        <xdr:cNvPr id="4" name="Sprechblase: rechteckig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43900" y="3581400"/>
          <a:ext cx="2340000" cy="1333500"/>
        </a:xfrm>
        <a:prstGeom prst="wedgeRectCallout">
          <a:avLst>
            <a:gd name="adj1" fmla="val -295929"/>
            <a:gd name="adj2" fmla="val -1786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Über die Auswahl der jeweiligen Artikel werden alle anderen relevanten Daten in der Zeile automatisch ausgefüllt und berechnet. Ausnahme: die Menge des jeweiligen Artikels.</a:t>
          </a:r>
        </a:p>
      </xdr:txBody>
    </xdr:sp>
    <xdr:clientData/>
  </xdr:twoCellAnchor>
  <xdr:twoCellAnchor>
    <xdr:from>
      <xdr:col>11</xdr:col>
      <xdr:colOff>95250</xdr:colOff>
      <xdr:row>36</xdr:row>
      <xdr:rowOff>47625</xdr:rowOff>
    </xdr:from>
    <xdr:to>
      <xdr:col>14</xdr:col>
      <xdr:colOff>149250</xdr:colOff>
      <xdr:row>43</xdr:row>
      <xdr:rowOff>152400</xdr:rowOff>
    </xdr:to>
    <xdr:sp macro="" textlink="">
      <xdr:nvSpPr>
        <xdr:cNvPr id="5" name="Sprechblase: rechtecki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43900" y="6362700"/>
          <a:ext cx="2340000" cy="1333500"/>
        </a:xfrm>
        <a:prstGeom prst="wedgeRectCallout">
          <a:avLst>
            <a:gd name="adj1" fmla="val -268810"/>
            <a:gd name="adj2" fmla="val 13214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Nachdem die Artikel in der Rechnung aufgenommen worden sind, können über diese Schaltfläche 'überflüssige' Leerzeilen ausgeblendet werden.</a:t>
          </a:r>
        </a:p>
      </xdr:txBody>
    </xdr:sp>
    <xdr:clientData/>
  </xdr:twoCellAnchor>
  <xdr:twoCellAnchor>
    <xdr:from>
      <xdr:col>11</xdr:col>
      <xdr:colOff>95250</xdr:colOff>
      <xdr:row>44</xdr:row>
      <xdr:rowOff>19050</xdr:rowOff>
    </xdr:from>
    <xdr:to>
      <xdr:col>14</xdr:col>
      <xdr:colOff>149250</xdr:colOff>
      <xdr:row>52</xdr:row>
      <xdr:rowOff>38100</xdr:rowOff>
    </xdr:to>
    <xdr:sp macro="" textlink="">
      <xdr:nvSpPr>
        <xdr:cNvPr id="6" name="Sprechblase: rechteckig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343900" y="7753350"/>
          <a:ext cx="2340000" cy="1333500"/>
        </a:xfrm>
        <a:prstGeom prst="wedgeRectCallout">
          <a:avLst>
            <a:gd name="adj1" fmla="val -150481"/>
            <a:gd name="adj2" fmla="val -48928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Ergänzende Hinweistexte können quasi als Textbausteine in den Hilfsdaten hinterlegt und hier ausgewählt werden.</a:t>
          </a:r>
        </a:p>
      </xdr:txBody>
    </xdr:sp>
    <xdr:clientData/>
  </xdr:twoCellAnchor>
  <xdr:twoCellAnchor>
    <xdr:from>
      <xdr:col>11</xdr:col>
      <xdr:colOff>95250</xdr:colOff>
      <xdr:row>1</xdr:row>
      <xdr:rowOff>47625</xdr:rowOff>
    </xdr:from>
    <xdr:to>
      <xdr:col>14</xdr:col>
      <xdr:colOff>149250</xdr:colOff>
      <xdr:row>3</xdr:row>
      <xdr:rowOff>171450</xdr:rowOff>
    </xdr:to>
    <xdr:sp macro="" textlink="">
      <xdr:nvSpPr>
        <xdr:cNvPr id="8" name="Sprechblase: rechteckig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343900" y="238125"/>
          <a:ext cx="2340000" cy="504825"/>
        </a:xfrm>
        <a:prstGeom prst="wedgeRectCallout">
          <a:avLst>
            <a:gd name="adj1" fmla="val -180603"/>
            <a:gd name="adj2" fmla="val 32877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Zu bearbeitende Bereiche sind in diesem Beispiel grün</a:t>
          </a:r>
          <a:r>
            <a:rPr lang="de-DE" sz="1100" baseline="0"/>
            <a:t> hinterlegt.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28</xdr:row>
      <xdr:rowOff>180975</xdr:rowOff>
    </xdr:from>
    <xdr:to>
      <xdr:col>14</xdr:col>
      <xdr:colOff>149250</xdr:colOff>
      <xdr:row>35</xdr:row>
      <xdr:rowOff>180975</xdr:rowOff>
    </xdr:to>
    <xdr:sp macro="" textlink="">
      <xdr:nvSpPr>
        <xdr:cNvPr id="9" name="Sprechblase: rechteckig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343900" y="4972050"/>
          <a:ext cx="2340000" cy="1333500"/>
        </a:xfrm>
        <a:prstGeom prst="wedgeRectCallout">
          <a:avLst>
            <a:gd name="adj1" fmla="val -222065"/>
            <a:gd name="adj2" fmla="val -93215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Die Rabatte werden aktuell</a:t>
          </a:r>
          <a:r>
            <a:rPr lang="de-DE" sz="1100" baseline="0"/>
            <a:t> aus den Stammdaten der Kundenliste bezogen. Möglicherweise ist hier eine Auswahlliste in Frage kommender Rabattsätze sinnvoller?!</a:t>
          </a:r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kus\Dropbox\B&#252;romanagement\BPW_1_2.%20Auflage\Duisdorfer%20B&#252;rokonzept%20Warenwirtschaf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sgangsrechnung blanco"/>
      <sheetName val="Eingangsrechnung blanco"/>
      <sheetName val="Kunden"/>
      <sheetName val="Lieferanten"/>
      <sheetName val="Artikel"/>
      <sheetName val="Bankleitzahlen"/>
      <sheetName val="Warengruppen"/>
      <sheetName val="Eingangsrechnung Wittmann"/>
      <sheetName val="Ausgangsrechnung Stadt Bonn"/>
      <sheetName val="Eingangsrechnung Wittmann (2)"/>
      <sheetName val="Ausgangsrechnung Stadt Bonn (2"/>
      <sheetName val="Eingangsrechnung Metallteil (3)"/>
      <sheetName val="AR Intermöbel"/>
      <sheetName val="Eingangsrechnung Willi Lauf"/>
      <sheetName val="Eingangsrechnung Metallteil (4"/>
    </sheetNames>
    <sheetDataSet>
      <sheetData sheetId="0"/>
      <sheetData sheetId="1"/>
      <sheetData sheetId="2">
        <row r="4">
          <cell r="A4">
            <v>2401</v>
          </cell>
          <cell r="B4" t="str">
            <v>Neuhoff KG</v>
          </cell>
          <cell r="C4" t="str">
            <v>RaumDesign</v>
          </cell>
          <cell r="D4" t="str">
            <v>Brunnenstraße 3</v>
          </cell>
          <cell r="E4">
            <v>38700</v>
          </cell>
          <cell r="F4" t="str">
            <v>Hannover</v>
          </cell>
          <cell r="G4" t="str">
            <v>0511 886055-0</v>
          </cell>
          <cell r="H4">
            <v>25090500</v>
          </cell>
          <cell r="I4" t="str">
            <v>Sparda Hannover</v>
          </cell>
          <cell r="K4" t="str">
            <v>Otto Langner</v>
          </cell>
          <cell r="L4">
            <v>5</v>
          </cell>
          <cell r="M4">
            <v>38438</v>
          </cell>
        </row>
        <row r="5">
          <cell r="A5">
            <v>2402</v>
          </cell>
          <cell r="B5" t="str">
            <v>Intermöbel GmbH</v>
          </cell>
          <cell r="C5" t="str">
            <v>Großhandel für Büromöbel</v>
          </cell>
          <cell r="D5" t="str">
            <v>Kaiserstraße 10</v>
          </cell>
          <cell r="E5">
            <v>57074</v>
          </cell>
          <cell r="F5" t="str">
            <v>Siegen</v>
          </cell>
          <cell r="G5" t="str">
            <v>0271 522455-0</v>
          </cell>
          <cell r="H5">
            <v>46040033</v>
          </cell>
          <cell r="I5" t="str">
            <v>Commerzbank Siegen</v>
          </cell>
          <cell r="K5" t="str">
            <v>Zeta Franke</v>
          </cell>
          <cell r="L5">
            <v>7.5</v>
          </cell>
          <cell r="M5">
            <v>38722</v>
          </cell>
        </row>
        <row r="6">
          <cell r="A6">
            <v>2403</v>
          </cell>
          <cell r="B6" t="str">
            <v>Stadt Bonn</v>
          </cell>
          <cell r="C6" t="str">
            <v>Gebäudemanagement</v>
          </cell>
          <cell r="D6" t="str">
            <v>Berliner Platz 2</v>
          </cell>
          <cell r="E6">
            <v>53103</v>
          </cell>
          <cell r="F6" t="str">
            <v>Bonn</v>
          </cell>
          <cell r="G6" t="str">
            <v>0228 953378-0</v>
          </cell>
          <cell r="H6">
            <v>30050000</v>
          </cell>
          <cell r="I6" t="str">
            <v>Westdeutsche Landesbank Köln</v>
          </cell>
          <cell r="K6" t="str">
            <v>Laura Bender</v>
          </cell>
          <cell r="L6">
            <v>0</v>
          </cell>
          <cell r="M6">
            <v>38842</v>
          </cell>
        </row>
        <row r="7">
          <cell r="A7">
            <v>2404</v>
          </cell>
          <cell r="B7" t="str">
            <v>Frohn KG</v>
          </cell>
          <cell r="C7" t="str">
            <v>Büroausstattung</v>
          </cell>
          <cell r="D7" t="str">
            <v>Lerchenweg 44</v>
          </cell>
          <cell r="E7">
            <v>69117</v>
          </cell>
          <cell r="F7" t="str">
            <v>Heidelberg</v>
          </cell>
          <cell r="G7" t="str">
            <v>06221 474456-0</v>
          </cell>
          <cell r="H7">
            <v>67250020</v>
          </cell>
          <cell r="I7" t="str">
            <v>Sparkasse Heidelberg</v>
          </cell>
          <cell r="K7" t="str">
            <v>Udo Frohn</v>
          </cell>
          <cell r="L7">
            <v>5</v>
          </cell>
          <cell r="M7">
            <v>39346</v>
          </cell>
        </row>
        <row r="8">
          <cell r="A8">
            <v>2405</v>
          </cell>
          <cell r="B8" t="str">
            <v>Birkmann OHG</v>
          </cell>
          <cell r="C8" t="str">
            <v>Alles fürs Büro</v>
          </cell>
          <cell r="D8" t="str">
            <v>Im Ruhrfeld 35 a</v>
          </cell>
          <cell r="E8">
            <v>22866</v>
          </cell>
          <cell r="F8" t="str">
            <v>Norderstedt</v>
          </cell>
          <cell r="G8" t="str">
            <v>040 214455-0</v>
          </cell>
          <cell r="H8">
            <v>20050550</v>
          </cell>
          <cell r="I8" t="str">
            <v>Hamburger Sparkasse</v>
          </cell>
          <cell r="K8" t="str">
            <v>Hans Bräuner</v>
          </cell>
          <cell r="L8">
            <v>10</v>
          </cell>
          <cell r="M8">
            <v>39535</v>
          </cell>
        </row>
        <row r="9">
          <cell r="A9">
            <v>2406</v>
          </cell>
          <cell r="B9" t="str">
            <v>Gilles &amp; Partner</v>
          </cell>
          <cell r="C9" t="str">
            <v>Möbelgroßhandlung</v>
          </cell>
          <cell r="D9" t="str">
            <v>Königstraße 28</v>
          </cell>
          <cell r="E9">
            <v>6618</v>
          </cell>
          <cell r="F9" t="str">
            <v>Naumburg</v>
          </cell>
          <cell r="G9" t="str">
            <v>03445 977567-0</v>
          </cell>
          <cell r="H9">
            <v>80063648</v>
          </cell>
          <cell r="I9" t="str">
            <v>Volks- und Raiffeinsenbank Saale-Unstrut eG</v>
          </cell>
          <cell r="K9" t="str">
            <v>Sabine Gilles</v>
          </cell>
          <cell r="L9">
            <v>5</v>
          </cell>
          <cell r="M9">
            <v>39597</v>
          </cell>
        </row>
        <row r="10">
          <cell r="A10">
            <v>2407</v>
          </cell>
          <cell r="B10" t="str">
            <v>Stammhaus KG</v>
          </cell>
          <cell r="C10" t="str">
            <v>Bürokonzepte</v>
          </cell>
          <cell r="D10" t="str">
            <v>Berliner Damm 9</v>
          </cell>
          <cell r="E10">
            <v>56077</v>
          </cell>
          <cell r="F10" t="str">
            <v>Koblenz</v>
          </cell>
          <cell r="G10" t="str">
            <v>0261 2554778-0</v>
          </cell>
          <cell r="H10">
            <v>50010060</v>
          </cell>
          <cell r="I10" t="str">
            <v>Postbank Frankfurt Main</v>
          </cell>
          <cell r="K10" t="str">
            <v>Matthias Höpfner</v>
          </cell>
          <cell r="L10">
            <v>7.5</v>
          </cell>
          <cell r="M10">
            <v>39667</v>
          </cell>
        </row>
        <row r="11">
          <cell r="A11">
            <v>2408</v>
          </cell>
          <cell r="B11" t="str">
            <v>Rhenag GmbH</v>
          </cell>
          <cell r="C11" t="str">
            <v>Bürogroßhandel</v>
          </cell>
          <cell r="D11" t="str">
            <v>Annostraße 56</v>
          </cell>
          <cell r="E11">
            <v>68239</v>
          </cell>
          <cell r="F11" t="str">
            <v>Mannheim</v>
          </cell>
          <cell r="G11" t="str">
            <v>0621 745567-0</v>
          </cell>
          <cell r="H11">
            <v>37050299</v>
          </cell>
          <cell r="I11" t="str">
            <v>Kreissparkasse Köln</v>
          </cell>
          <cell r="K11" t="str">
            <v>Lisa Henseler</v>
          </cell>
          <cell r="L11">
            <v>10</v>
          </cell>
          <cell r="M11">
            <v>39967</v>
          </cell>
        </row>
        <row r="12">
          <cell r="A12">
            <v>2409</v>
          </cell>
          <cell r="B12" t="str">
            <v>Blattschneider &amp; Partner</v>
          </cell>
          <cell r="C12" t="str">
            <v>Rechtsanwaltskanzlei</v>
          </cell>
          <cell r="D12" t="str">
            <v>Mozartplatz 89a</v>
          </cell>
          <cell r="E12">
            <v>60322</v>
          </cell>
          <cell r="F12" t="str">
            <v>Frankfurt M.</v>
          </cell>
          <cell r="G12" t="str">
            <v>069 558944-0</v>
          </cell>
          <cell r="H12">
            <v>50070024</v>
          </cell>
          <cell r="I12" t="str">
            <v>Deutsche Bank Frankfurt</v>
          </cell>
          <cell r="K12" t="str">
            <v>Bianca Tänzer</v>
          </cell>
          <cell r="L12">
            <v>0</v>
          </cell>
          <cell r="M12">
            <v>40064</v>
          </cell>
        </row>
        <row r="13">
          <cell r="A13">
            <v>2410</v>
          </cell>
          <cell r="B13" t="str">
            <v>Ärztezentrum Bonn</v>
          </cell>
          <cell r="C13" t="str">
            <v>Ganzheitliche Medizin</v>
          </cell>
          <cell r="D13" t="str">
            <v>Hohenzollernplatz 83</v>
          </cell>
          <cell r="E13">
            <v>53188</v>
          </cell>
          <cell r="F13" t="str">
            <v>Bonn</v>
          </cell>
          <cell r="G13" t="str">
            <v>0228 588755-0</v>
          </cell>
          <cell r="H13">
            <v>30060601</v>
          </cell>
          <cell r="I13" t="str">
            <v>Deutsche Apotheker- und Ärztebank eG Düsseldorf</v>
          </cell>
          <cell r="K13" t="str">
            <v>Gerd Trapagini</v>
          </cell>
          <cell r="L13">
            <v>0</v>
          </cell>
          <cell r="M13">
            <v>40191</v>
          </cell>
        </row>
        <row r="14">
          <cell r="A14">
            <v>2411</v>
          </cell>
          <cell r="B14" t="str">
            <v>Peter Wagner e. K.</v>
          </cell>
          <cell r="C14" t="str">
            <v>Gartenbaubetrieb</v>
          </cell>
          <cell r="D14" t="str">
            <v>Große Straße 12</v>
          </cell>
          <cell r="E14">
            <v>53332</v>
          </cell>
          <cell r="F14" t="str">
            <v>Bornheim</v>
          </cell>
          <cell r="G14" t="str">
            <v>02223 47885</v>
          </cell>
          <cell r="H14">
            <v>38060186</v>
          </cell>
          <cell r="I14" t="str">
            <v>Volksbank Bonn/Rhein-Sieg eG</v>
          </cell>
          <cell r="K14" t="str">
            <v>Peter Wagner</v>
          </cell>
          <cell r="L14">
            <v>5</v>
          </cell>
          <cell r="M14">
            <v>40730</v>
          </cell>
        </row>
        <row r="15">
          <cell r="A15">
            <v>2412</v>
          </cell>
          <cell r="B15" t="str">
            <v>Schulzentrum Nord</v>
          </cell>
          <cell r="D15" t="str">
            <v>Effertzgasse 13</v>
          </cell>
          <cell r="E15">
            <v>53721</v>
          </cell>
          <cell r="F15" t="str">
            <v>Siegburg</v>
          </cell>
          <cell r="G15" t="str">
            <v>02241 144856-0</v>
          </cell>
          <cell r="H15">
            <v>30050000</v>
          </cell>
          <cell r="I15" t="str">
            <v>Westdeutsche Landesbank Köln</v>
          </cell>
          <cell r="K15" t="str">
            <v>Hanna Danzer</v>
          </cell>
          <cell r="L15">
            <v>0</v>
          </cell>
          <cell r="M15">
            <v>41171</v>
          </cell>
        </row>
        <row r="31">
          <cell r="A31">
            <v>24099</v>
          </cell>
          <cell r="B31" t="str">
            <v>Sonstige Kunden</v>
          </cell>
        </row>
      </sheetData>
      <sheetData sheetId="3">
        <row r="4">
          <cell r="A4">
            <v>4401</v>
          </cell>
          <cell r="B4" t="str">
            <v>Frank Zettler oHG</v>
          </cell>
          <cell r="C4" t="str">
            <v>Metallbau</v>
          </cell>
          <cell r="D4" t="str">
            <v>Steinacker 38</v>
          </cell>
          <cell r="E4">
            <v>53177</v>
          </cell>
          <cell r="F4" t="str">
            <v>Bonn</v>
          </cell>
          <cell r="G4" t="str">
            <v>0228 58766-0</v>
          </cell>
          <cell r="H4" t="str">
            <v xml:space="preserve">0228 58766-123 </v>
          </cell>
          <cell r="I4" t="str">
            <v>www.zettler-metallbau.de</v>
          </cell>
          <cell r="J4" t="str">
            <v>info@zettler-metallbau.de</v>
          </cell>
          <cell r="K4">
            <v>38060186</v>
          </cell>
          <cell r="L4" t="str">
            <v>Volksbank Bonn/Rhein-Sieg</v>
          </cell>
          <cell r="M4">
            <v>2487321574</v>
          </cell>
          <cell r="N4" t="str">
            <v>Beate Keuser</v>
          </cell>
          <cell r="O4" t="str">
            <v>BK</v>
          </cell>
          <cell r="P4" t="str">
            <v xml:space="preserve"> 58766-122</v>
          </cell>
          <cell r="Q4" t="str">
            <v>Geschäftsführer:</v>
          </cell>
          <cell r="R4" t="str">
            <v>Dipl. Kfm. Frank Zettler</v>
          </cell>
          <cell r="S4" t="str">
            <v>Bonn: HRA 6487</v>
          </cell>
          <cell r="T4" t="str">
            <v>Ust-Id: DE911487597</v>
          </cell>
          <cell r="U4" t="str">
            <v>9125/5741/105</v>
          </cell>
          <cell r="W4">
            <v>30</v>
          </cell>
          <cell r="X4">
            <v>10</v>
          </cell>
          <cell r="Y4">
            <v>2</v>
          </cell>
          <cell r="Z4">
            <v>4875</v>
          </cell>
          <cell r="AA4" t="str">
            <v>90380601862487321574</v>
          </cell>
        </row>
        <row r="5">
          <cell r="A5">
            <v>4402</v>
          </cell>
          <cell r="B5" t="str">
            <v>Saam KG</v>
          </cell>
          <cell r="C5" t="str">
            <v>Bürotechnik</v>
          </cell>
          <cell r="D5" t="str">
            <v>Am Sonnenhang 9</v>
          </cell>
          <cell r="E5">
            <v>36039</v>
          </cell>
          <cell r="F5" t="str">
            <v>Fulda</v>
          </cell>
          <cell r="G5" t="str">
            <v>0661 88672-0</v>
          </cell>
          <cell r="H5" t="str">
            <v>0661 88672-444</v>
          </cell>
          <cell r="I5" t="str">
            <v>www.saam-kg.de</v>
          </cell>
          <cell r="J5" t="str">
            <v>info@saam-kg.de</v>
          </cell>
          <cell r="K5">
            <v>53040012</v>
          </cell>
          <cell r="L5" t="str">
            <v>Commerzbank Fulda</v>
          </cell>
          <cell r="M5">
            <v>3988465894</v>
          </cell>
          <cell r="N5" t="str">
            <v>Frank Scheuren</v>
          </cell>
          <cell r="O5" t="str">
            <v>fs</v>
          </cell>
          <cell r="P5" t="str">
            <v>0661 88672-777</v>
          </cell>
          <cell r="Q5" t="str">
            <v>Geschäftsführer:</v>
          </cell>
          <cell r="R5" t="str">
            <v>Sabine Saam</v>
          </cell>
          <cell r="S5" t="str">
            <v>Fulda: HRA 4777</v>
          </cell>
          <cell r="T5" t="str">
            <v>Ust-Id: DE927422577</v>
          </cell>
          <cell r="U5" t="str">
            <v>9238/4487/188</v>
          </cell>
          <cell r="W5">
            <v>40</v>
          </cell>
          <cell r="X5">
            <v>14</v>
          </cell>
          <cell r="Y5">
            <v>3</v>
          </cell>
          <cell r="Z5">
            <v>244877</v>
          </cell>
          <cell r="AA5" t="str">
            <v>51530400123988465894</v>
          </cell>
        </row>
        <row r="6">
          <cell r="A6">
            <v>4403</v>
          </cell>
          <cell r="B6" t="str">
            <v>Opitz AG</v>
          </cell>
          <cell r="C6" t="str">
            <v>Holz- und Spanplatten</v>
          </cell>
          <cell r="D6" t="str">
            <v>Scheerengasse 177</v>
          </cell>
          <cell r="E6">
            <v>53721</v>
          </cell>
          <cell r="F6" t="str">
            <v>Siegburg</v>
          </cell>
          <cell r="G6" t="str">
            <v>02241 6955-0</v>
          </cell>
          <cell r="H6" t="str">
            <v>02241 6955-555</v>
          </cell>
          <cell r="I6" t="str">
            <v>www.holz-opitz.de</v>
          </cell>
          <cell r="J6" t="str">
            <v>info@holz-opitz.de</v>
          </cell>
          <cell r="K6">
            <v>37010050</v>
          </cell>
          <cell r="L6" t="str">
            <v>Postbank Köln</v>
          </cell>
          <cell r="M6">
            <v>5886247876</v>
          </cell>
          <cell r="N6" t="str">
            <v>Bettina Gause</v>
          </cell>
          <cell r="O6" t="str">
            <v>bg</v>
          </cell>
          <cell r="P6" t="str">
            <v xml:space="preserve">02241 6955-954 </v>
          </cell>
          <cell r="Q6" t="str">
            <v>Vorstand:</v>
          </cell>
          <cell r="R6" t="str">
            <v>Herbert Opitz, Sabrina Schütz</v>
          </cell>
          <cell r="S6" t="str">
            <v>Siegburg:HRB 1245</v>
          </cell>
          <cell r="T6" t="str">
            <v>Ust-Id: DE917775846</v>
          </cell>
          <cell r="U6" t="str">
            <v>9103/4477/124</v>
          </cell>
          <cell r="V6" t="str">
            <v>Dr. Johannes Bremer</v>
          </cell>
          <cell r="W6">
            <v>30</v>
          </cell>
          <cell r="X6">
            <v>8</v>
          </cell>
          <cell r="Y6">
            <v>2</v>
          </cell>
          <cell r="Z6" t="str">
            <v>38715/5</v>
          </cell>
          <cell r="AA6" t="str">
            <v>67370100505886247876</v>
          </cell>
        </row>
        <row r="7">
          <cell r="A7">
            <v>4404</v>
          </cell>
          <cell r="B7" t="str">
            <v>Balthasar GmbH</v>
          </cell>
          <cell r="C7" t="str">
            <v>Spedition</v>
          </cell>
          <cell r="D7" t="str">
            <v>Kierbach 27</v>
          </cell>
          <cell r="E7">
            <v>52324</v>
          </cell>
          <cell r="F7" t="str">
            <v>Düren</v>
          </cell>
          <cell r="G7" t="str">
            <v>02421 888999-0</v>
          </cell>
          <cell r="H7" t="str">
            <v>02421 888999-11</v>
          </cell>
          <cell r="I7" t="str">
            <v>www.balthasar-spedition.de</v>
          </cell>
          <cell r="J7" t="str">
            <v>info@balthasar-spedition.de</v>
          </cell>
          <cell r="K7">
            <v>39550110</v>
          </cell>
          <cell r="L7" t="str">
            <v>Sparkasse Düren</v>
          </cell>
          <cell r="M7">
            <v>2114759864</v>
          </cell>
          <cell r="N7" t="str">
            <v>Peter Holzmann</v>
          </cell>
          <cell r="O7" t="str">
            <v>PH</v>
          </cell>
          <cell r="P7" t="str">
            <v>02421 888999-554</v>
          </cell>
          <cell r="Q7" t="str">
            <v>Geschäftsführerin:</v>
          </cell>
          <cell r="R7" t="str">
            <v>Martina Olsen</v>
          </cell>
          <cell r="S7" t="str">
            <v>Düren: HRB 8889</v>
          </cell>
          <cell r="T7" t="str">
            <v>Ust-Id: DE527771132</v>
          </cell>
          <cell r="U7" t="str">
            <v>5208/3221/147</v>
          </cell>
          <cell r="W7">
            <v>20</v>
          </cell>
          <cell r="Z7" t="str">
            <v>487762-8</v>
          </cell>
          <cell r="AA7" t="str">
            <v>38395501102114759864</v>
          </cell>
        </row>
        <row r="8">
          <cell r="A8">
            <v>4405</v>
          </cell>
          <cell r="B8" t="str">
            <v>Metallteile</v>
          </cell>
          <cell r="C8" t="str">
            <v>Rösgen e. K.</v>
          </cell>
          <cell r="D8" t="str">
            <v>Beethovenstraße 30</v>
          </cell>
          <cell r="E8">
            <v>38700</v>
          </cell>
          <cell r="F8" t="str">
            <v>Hannover</v>
          </cell>
          <cell r="G8" t="str">
            <v>0511 23796-0</v>
          </cell>
          <cell r="H8" t="str">
            <v>0511 23796-55</v>
          </cell>
          <cell r="I8" t="str">
            <v>www.schrauben-roesgen.de</v>
          </cell>
          <cell r="J8" t="str">
            <v>info@schrauben-roesgen.de</v>
          </cell>
          <cell r="K8">
            <v>25190001</v>
          </cell>
          <cell r="L8" t="str">
            <v>Hannoversche Volksbank</v>
          </cell>
          <cell r="M8">
            <v>1185756657</v>
          </cell>
          <cell r="N8" t="str">
            <v>Bertram Franke</v>
          </cell>
          <cell r="O8" t="str">
            <v>bf</v>
          </cell>
          <cell r="P8" t="str">
            <v>0511 23796-487</v>
          </cell>
          <cell r="Q8" t="str">
            <v>Geschäftsführer:</v>
          </cell>
          <cell r="R8" t="str">
            <v>Ludger Rösgen</v>
          </cell>
          <cell r="S8" t="str">
            <v>Hannover:HRA 1748</v>
          </cell>
          <cell r="T8" t="str">
            <v>Ust-Id: DE231154468</v>
          </cell>
          <cell r="U8" t="str">
            <v>2321/4487/877</v>
          </cell>
          <cell r="W8">
            <v>30</v>
          </cell>
          <cell r="X8">
            <v>10</v>
          </cell>
          <cell r="Y8">
            <v>3</v>
          </cell>
          <cell r="Z8">
            <v>157753</v>
          </cell>
          <cell r="AA8" t="str">
            <v>29251900011185756657</v>
          </cell>
        </row>
        <row r="9">
          <cell r="A9">
            <v>4406</v>
          </cell>
          <cell r="B9" t="str">
            <v>Keupen</v>
          </cell>
          <cell r="C9" t="str">
            <v>Farben AG</v>
          </cell>
          <cell r="D9" t="str">
            <v>Industriepark 100</v>
          </cell>
          <cell r="E9">
            <v>81249</v>
          </cell>
          <cell r="F9" t="str">
            <v>München</v>
          </cell>
          <cell r="G9" t="str">
            <v>089 16854-0</v>
          </cell>
          <cell r="H9" t="str">
            <v>089 16854-99</v>
          </cell>
          <cell r="I9" t="str">
            <v>www.farben-keupen-ag.de</v>
          </cell>
          <cell r="J9" t="str">
            <v>info@farben-keupen-ag.de</v>
          </cell>
          <cell r="K9">
            <v>70010080</v>
          </cell>
          <cell r="L9" t="str">
            <v>Postbank München</v>
          </cell>
          <cell r="M9">
            <v>9675515774</v>
          </cell>
          <cell r="N9" t="str">
            <v>Emil Emmerich</v>
          </cell>
          <cell r="O9" t="str">
            <v>EEm</v>
          </cell>
          <cell r="P9" t="str">
            <v>089 16854-25</v>
          </cell>
          <cell r="Q9" t="str">
            <v>Vorstand:</v>
          </cell>
          <cell r="R9" t="str">
            <v xml:space="preserve">Ignaz Gruber, Torsten Peters, Paula Weinheim </v>
          </cell>
          <cell r="S9" t="str">
            <v>BMünchen: HRB 7415</v>
          </cell>
          <cell r="T9" t="str">
            <v>Ust-Id: DE116677221</v>
          </cell>
          <cell r="U9" t="str">
            <v>1123/9876/125</v>
          </cell>
          <cell r="V9" t="str">
            <v>Prof. Dr. Heribert Werner</v>
          </cell>
          <cell r="W9">
            <v>30</v>
          </cell>
          <cell r="X9">
            <v>10</v>
          </cell>
          <cell r="Y9">
            <v>2</v>
          </cell>
          <cell r="Z9">
            <v>187321</v>
          </cell>
          <cell r="AA9" t="str">
            <v>36700100809675515774</v>
          </cell>
        </row>
        <row r="10">
          <cell r="A10">
            <v>4407</v>
          </cell>
          <cell r="B10" t="str">
            <v>Papier Spoth GmbH</v>
          </cell>
          <cell r="C10" t="str">
            <v>Großhandel für Papier- und Bürobedarf</v>
          </cell>
          <cell r="D10" t="str">
            <v>Auf der Höhe 90</v>
          </cell>
          <cell r="E10">
            <v>22076</v>
          </cell>
          <cell r="F10" t="str">
            <v>Hamburg</v>
          </cell>
          <cell r="G10" t="str">
            <v>040 963486-0</v>
          </cell>
          <cell r="H10" t="str">
            <v>040 963486-44</v>
          </cell>
          <cell r="I10" t="str">
            <v>www.papier-spoth.de</v>
          </cell>
          <cell r="J10" t="str">
            <v>info@papier-spoth.de</v>
          </cell>
          <cell r="K10">
            <v>20050550</v>
          </cell>
          <cell r="L10" t="str">
            <v>Hamburger Sparkasse</v>
          </cell>
          <cell r="M10">
            <v>5445466870</v>
          </cell>
          <cell r="N10" t="str">
            <v>Bernd Schmitz</v>
          </cell>
          <cell r="O10" t="str">
            <v>bsch</v>
          </cell>
          <cell r="P10" t="str">
            <v>040 963486-47</v>
          </cell>
          <cell r="Q10" t="str">
            <v>Geschäftsführerin:</v>
          </cell>
          <cell r="R10" t="str">
            <v>Ute Schäfer</v>
          </cell>
          <cell r="S10" t="str">
            <v>Hamburg Mitte:HRB 7448</v>
          </cell>
          <cell r="T10" t="str">
            <v>Ust-Id: DE215544973</v>
          </cell>
          <cell r="U10" t="str">
            <v>2131/4777/325</v>
          </cell>
          <cell r="W10">
            <v>30</v>
          </cell>
          <cell r="X10">
            <v>8</v>
          </cell>
          <cell r="Y10">
            <v>2</v>
          </cell>
          <cell r="Z10">
            <v>1877</v>
          </cell>
          <cell r="AA10" t="str">
            <v>68200505505445466870</v>
          </cell>
        </row>
        <row r="11">
          <cell r="A11">
            <v>4408</v>
          </cell>
          <cell r="B11" t="str">
            <v>pc tech AG</v>
          </cell>
          <cell r="C11" t="str">
            <v>Fachhandel für Elektronik</v>
          </cell>
          <cell r="D11" t="str">
            <v>Hamburger Str. 111</v>
          </cell>
          <cell r="E11">
            <v>45317</v>
          </cell>
          <cell r="F11" t="str">
            <v>Essen</v>
          </cell>
          <cell r="G11" t="str">
            <v>0201 487665-0</v>
          </cell>
          <cell r="H11" t="str">
            <v>0201 487665-12</v>
          </cell>
          <cell r="I11" t="str">
            <v>www,pctechag.de</v>
          </cell>
          <cell r="J11" t="str">
            <v>info@pctechag.de</v>
          </cell>
          <cell r="K11">
            <v>37020500</v>
          </cell>
          <cell r="L11" t="str">
            <v>Bank für Sozialwirtschaft</v>
          </cell>
          <cell r="M11">
            <v>4448765715</v>
          </cell>
          <cell r="N11" t="str">
            <v>Othmar Zirse</v>
          </cell>
          <cell r="O11" t="str">
            <v>OZ</v>
          </cell>
          <cell r="P11" t="str">
            <v>0201 487665-83</v>
          </cell>
          <cell r="Q11" t="str">
            <v>Vorstand:</v>
          </cell>
          <cell r="R11" t="str">
            <v>Helmut Stöcker, Sandra Mamedi</v>
          </cell>
          <cell r="S11" t="str">
            <v>Essen: HRA 17848</v>
          </cell>
          <cell r="T11" t="str">
            <v>Ust-Id: DE827744456</v>
          </cell>
          <cell r="U11" t="str">
            <v>2271/4875/999</v>
          </cell>
          <cell r="W11">
            <v>30</v>
          </cell>
          <cell r="X11">
            <v>8</v>
          </cell>
          <cell r="Y11">
            <v>3</v>
          </cell>
          <cell r="Z11">
            <v>38742</v>
          </cell>
          <cell r="AA11" t="str">
            <v>77370205004448765715</v>
          </cell>
        </row>
        <row r="12">
          <cell r="A12">
            <v>4409</v>
          </cell>
          <cell r="B12" t="str">
            <v>Willi Lauf OHG</v>
          </cell>
          <cell r="C12" t="str">
            <v>Bürobedarf</v>
          </cell>
          <cell r="D12" t="str">
            <v>Manderscheider Platz 1</v>
          </cell>
          <cell r="E12">
            <v>34414</v>
          </cell>
          <cell r="F12" t="str">
            <v>Warburg</v>
          </cell>
          <cell r="G12" t="str">
            <v>05641 48006-0</v>
          </cell>
          <cell r="H12" t="str">
            <v>05641 48006-88</v>
          </cell>
          <cell r="I12" t="str">
            <v>www.willi-lauf.de</v>
          </cell>
          <cell r="J12" t="str">
            <v>kontakt@willi-lauf.de</v>
          </cell>
          <cell r="K12">
            <v>47264367</v>
          </cell>
          <cell r="L12" t="str">
            <v>Vereinigte Volksbank Brakel</v>
          </cell>
          <cell r="M12">
            <v>1500222108</v>
          </cell>
          <cell r="N12" t="str">
            <v>Herr Lauf</v>
          </cell>
          <cell r="O12" t="str">
            <v>lf</v>
          </cell>
          <cell r="Q12" t="str">
            <v>Geschäftsführer:</v>
          </cell>
          <cell r="R12" t="str">
            <v>Dipl. Betriebswirt Willi Lauf</v>
          </cell>
          <cell r="S12" t="str">
            <v>Warburg: HRA 4711</v>
          </cell>
          <cell r="T12" t="str">
            <v>Ust-Id: DE998877665</v>
          </cell>
          <cell r="U12" t="str">
            <v>5412/2541/666</v>
          </cell>
          <cell r="W12">
            <v>30</v>
          </cell>
          <cell r="X12">
            <v>10</v>
          </cell>
          <cell r="Y12">
            <v>2</v>
          </cell>
          <cell r="Z12">
            <v>987654</v>
          </cell>
          <cell r="AA12" t="str">
            <v>33472643671500222108</v>
          </cell>
        </row>
        <row r="13">
          <cell r="A13">
            <v>4410</v>
          </cell>
          <cell r="B13" t="str">
            <v>Wittman AG</v>
          </cell>
          <cell r="C13" t="str">
            <v>Bürotechnik</v>
          </cell>
          <cell r="D13" t="str">
            <v>Untere Dorfstr. 130</v>
          </cell>
          <cell r="E13">
            <v>57074</v>
          </cell>
          <cell r="F13" t="str">
            <v>Siegen</v>
          </cell>
          <cell r="G13" t="str">
            <v>0271 80053-0</v>
          </cell>
          <cell r="H13" t="str">
            <v>0271 80053-10</v>
          </cell>
          <cell r="I13" t="str">
            <v>www.wittmann-ag.de</v>
          </cell>
          <cell r="J13" t="str">
            <v>kontakt@wittmann-ag.de</v>
          </cell>
          <cell r="K13">
            <v>37010050</v>
          </cell>
          <cell r="L13" t="str">
            <v>Postbank Köln</v>
          </cell>
          <cell r="M13">
            <v>5135154781</v>
          </cell>
          <cell r="N13" t="str">
            <v>Bianca Kuhn</v>
          </cell>
          <cell r="O13" t="str">
            <v>BK</v>
          </cell>
          <cell r="Q13" t="str">
            <v>Vorstand:</v>
          </cell>
          <cell r="R13" t="str">
            <v>Dr. Simone Karls</v>
          </cell>
          <cell r="S13" t="str">
            <v>Siegen: HRB 7478</v>
          </cell>
          <cell r="T13" t="str">
            <v>Ust-Id: DE623742427</v>
          </cell>
          <cell r="U13" t="str">
            <v>2255/4645/954</v>
          </cell>
          <cell r="W13">
            <v>30</v>
          </cell>
          <cell r="X13">
            <v>10</v>
          </cell>
          <cell r="Y13">
            <v>2</v>
          </cell>
          <cell r="Z13">
            <v>2495420</v>
          </cell>
          <cell r="AA13" t="str">
            <v>82370100505135154781</v>
          </cell>
        </row>
        <row r="14">
          <cell r="A14">
            <v>4411</v>
          </cell>
          <cell r="B14" t="str">
            <v>Rüdiger Kiel GmbH</v>
          </cell>
          <cell r="C14" t="str">
            <v>Schaumstoffe und Polstereibedarf</v>
          </cell>
          <cell r="D14" t="str">
            <v>Brunnenstr. 23</v>
          </cell>
          <cell r="E14">
            <v>53340</v>
          </cell>
          <cell r="F14" t="str">
            <v xml:space="preserve">Meckenheim  </v>
          </cell>
          <cell r="G14" t="str">
            <v>02225 646440-0</v>
          </cell>
          <cell r="H14" t="str">
            <v>02225 646440-11</v>
          </cell>
          <cell r="I14" t="str">
            <v>www.polster-kiel.de</v>
          </cell>
          <cell r="J14" t="str">
            <v>info@polster-kiel.de</v>
          </cell>
          <cell r="K14">
            <v>38060186</v>
          </cell>
          <cell r="L14" t="str">
            <v>Volksbank Bonn/Rhein-Sieg</v>
          </cell>
          <cell r="M14">
            <v>2677789890</v>
          </cell>
          <cell r="N14" t="str">
            <v>Hanna Abels</v>
          </cell>
          <cell r="O14" t="str">
            <v>Ab</v>
          </cell>
          <cell r="Q14" t="str">
            <v>Geschäftsführer</v>
          </cell>
          <cell r="R14" t="str">
            <v>Rüdiger Kiel</v>
          </cell>
          <cell r="S14" t="str">
            <v>Rheinbach: HRB 3546</v>
          </cell>
          <cell r="T14" t="str">
            <v>Ust-Id: DE748362859</v>
          </cell>
          <cell r="U14" t="str">
            <v>3562/7676/303</v>
          </cell>
          <cell r="W14">
            <v>30</v>
          </cell>
          <cell r="X14">
            <v>10</v>
          </cell>
          <cell r="Y14">
            <v>3</v>
          </cell>
          <cell r="Z14">
            <v>6457</v>
          </cell>
          <cell r="AA14" t="str">
            <v>96380601862677789890</v>
          </cell>
        </row>
        <row r="15">
          <cell r="L15" t="e">
            <v>#N/A</v>
          </cell>
          <cell r="AA15"/>
        </row>
        <row r="16">
          <cell r="L16" t="e">
            <v>#N/A</v>
          </cell>
          <cell r="AA16"/>
        </row>
        <row r="17">
          <cell r="L17" t="e">
            <v>#N/A</v>
          </cell>
          <cell r="AA17"/>
        </row>
        <row r="18">
          <cell r="L18" t="e">
            <v>#N/A</v>
          </cell>
          <cell r="AA18"/>
        </row>
        <row r="19">
          <cell r="L19" t="e">
            <v>#N/A</v>
          </cell>
          <cell r="AA19"/>
        </row>
        <row r="20">
          <cell r="L20" t="e">
            <v>#N/A</v>
          </cell>
          <cell r="AA20"/>
        </row>
        <row r="21">
          <cell r="L21" t="e">
            <v>#N/A</v>
          </cell>
          <cell r="AA21"/>
        </row>
        <row r="22">
          <cell r="L22" t="e">
            <v>#N/A</v>
          </cell>
          <cell r="AA22"/>
        </row>
        <row r="23">
          <cell r="L23" t="e">
            <v>#N/A</v>
          </cell>
          <cell r="AA23"/>
        </row>
        <row r="24">
          <cell r="L24" t="e">
            <v>#N/A</v>
          </cell>
          <cell r="AA24"/>
        </row>
        <row r="25">
          <cell r="L25" t="e">
            <v>#N/A</v>
          </cell>
          <cell r="AA25"/>
        </row>
        <row r="26">
          <cell r="L26" t="e">
            <v>#N/A</v>
          </cell>
          <cell r="AA26"/>
        </row>
        <row r="27">
          <cell r="L27" t="e">
            <v>#N/A</v>
          </cell>
          <cell r="AA27"/>
        </row>
        <row r="28">
          <cell r="L28" t="e">
            <v>#N/A</v>
          </cell>
          <cell r="AA28"/>
        </row>
        <row r="29">
          <cell r="AA29"/>
        </row>
        <row r="30">
          <cell r="AA30"/>
        </row>
        <row r="31">
          <cell r="A31">
            <v>4499</v>
          </cell>
          <cell r="B31" t="str">
            <v>Sonstige Lieferanten</v>
          </cell>
          <cell r="AA31"/>
        </row>
      </sheetData>
      <sheetData sheetId="4">
        <row r="3">
          <cell r="A3" t="str">
            <v>Artikel-Nr.</v>
          </cell>
        </row>
        <row r="4">
          <cell r="A4">
            <v>101111</v>
          </cell>
          <cell r="B4" t="str">
            <v>Schreibtisch Ökostar</v>
          </cell>
          <cell r="C4">
            <v>10</v>
          </cell>
          <cell r="D4">
            <v>489</v>
          </cell>
        </row>
        <row r="5">
          <cell r="A5">
            <v>101112</v>
          </cell>
          <cell r="B5" t="str">
            <v>Schreibtisch Ahorn</v>
          </cell>
          <cell r="C5">
            <v>10</v>
          </cell>
          <cell r="D5">
            <v>519</v>
          </cell>
        </row>
        <row r="6">
          <cell r="A6">
            <v>101113</v>
          </cell>
          <cell r="B6" t="str">
            <v>Schreibtisch weiß C-Füße</v>
          </cell>
          <cell r="C6">
            <v>10</v>
          </cell>
          <cell r="D6">
            <v>219</v>
          </cell>
        </row>
        <row r="7">
          <cell r="A7">
            <v>101114</v>
          </cell>
          <cell r="B7" t="str">
            <v>Konferenztischelement lichtgrau</v>
          </cell>
          <cell r="C7">
            <v>10</v>
          </cell>
          <cell r="D7">
            <v>98</v>
          </cell>
        </row>
        <row r="8">
          <cell r="A8">
            <v>101115</v>
          </cell>
          <cell r="B8" t="str">
            <v>Mehrzwecktisch oval lichtgrau</v>
          </cell>
          <cell r="C8">
            <v>10</v>
          </cell>
          <cell r="D8">
            <v>579</v>
          </cell>
        </row>
        <row r="9">
          <cell r="D9">
            <v>0</v>
          </cell>
        </row>
        <row r="10">
          <cell r="A10">
            <v>202111</v>
          </cell>
          <cell r="B10" t="str">
            <v>Bürostuhl Comfort</v>
          </cell>
          <cell r="C10">
            <v>20</v>
          </cell>
          <cell r="D10">
            <v>228</v>
          </cell>
        </row>
        <row r="11">
          <cell r="A11">
            <v>202112</v>
          </cell>
          <cell r="B11" t="str">
            <v>Bandscheiben-Drehstuhl extra</v>
          </cell>
          <cell r="C11">
            <v>20</v>
          </cell>
          <cell r="D11">
            <v>299</v>
          </cell>
        </row>
        <row r="12">
          <cell r="A12">
            <v>202113</v>
          </cell>
          <cell r="B12" t="str">
            <v>Chefsessel Bonn Maxx</v>
          </cell>
          <cell r="C12">
            <v>20</v>
          </cell>
          <cell r="D12">
            <v>399</v>
          </cell>
        </row>
        <row r="13">
          <cell r="A13">
            <v>202114</v>
          </cell>
          <cell r="B13" t="str">
            <v>Bürosessel Tenno</v>
          </cell>
          <cell r="C13">
            <v>20</v>
          </cell>
          <cell r="D13">
            <v>349</v>
          </cell>
        </row>
        <row r="14">
          <cell r="A14">
            <v>202115</v>
          </cell>
          <cell r="B14" t="str">
            <v>Hocker Milano</v>
          </cell>
          <cell r="C14">
            <v>20</v>
          </cell>
          <cell r="D14">
            <v>59</v>
          </cell>
        </row>
        <row r="15">
          <cell r="B15">
            <v>0</v>
          </cell>
          <cell r="D15">
            <v>0</v>
          </cell>
        </row>
        <row r="16">
          <cell r="A16">
            <v>300212</v>
          </cell>
          <cell r="B16" t="str">
            <v>Aktenvernichter Safeway</v>
          </cell>
          <cell r="C16">
            <v>30</v>
          </cell>
          <cell r="D16">
            <v>79</v>
          </cell>
        </row>
        <row r="17">
          <cell r="A17">
            <v>300213</v>
          </cell>
          <cell r="B17" t="str">
            <v>Scann-Chef 100</v>
          </cell>
          <cell r="C17">
            <v>30</v>
          </cell>
          <cell r="D17">
            <v>150</v>
          </cell>
        </row>
        <row r="18">
          <cell r="A18">
            <v>301111</v>
          </cell>
          <cell r="B18" t="str">
            <v>Multifax 0912</v>
          </cell>
          <cell r="C18">
            <v>30</v>
          </cell>
          <cell r="D18">
            <v>59</v>
          </cell>
        </row>
        <row r="19">
          <cell r="A19">
            <v>302222</v>
          </cell>
          <cell r="B19" t="str">
            <v>Tischkopierer Sumsang</v>
          </cell>
          <cell r="C19">
            <v>30</v>
          </cell>
          <cell r="D19">
            <v>275</v>
          </cell>
        </row>
        <row r="20">
          <cell r="D20">
            <v>0</v>
          </cell>
        </row>
        <row r="21">
          <cell r="A21">
            <v>401589</v>
          </cell>
          <cell r="B21" t="str">
            <v>Ventilator Orkano</v>
          </cell>
          <cell r="C21">
            <v>40</v>
          </cell>
          <cell r="D21">
            <v>36</v>
          </cell>
        </row>
        <row r="22">
          <cell r="D22">
            <v>0</v>
          </cell>
        </row>
        <row r="23">
          <cell r="A23">
            <v>885961</v>
          </cell>
          <cell r="B23" t="str">
            <v>Naturkontor Schreibtisch 140 * 80</v>
          </cell>
          <cell r="C23">
            <v>88</v>
          </cell>
          <cell r="D23">
            <v>399</v>
          </cell>
          <cell r="E23">
            <v>0</v>
          </cell>
        </row>
        <row r="24">
          <cell r="A24">
            <v>885963</v>
          </cell>
          <cell r="B24" t="str">
            <v>Naturkontor Schreibtisch 160 * 80</v>
          </cell>
          <cell r="C24">
            <v>88</v>
          </cell>
          <cell r="D24">
            <v>449</v>
          </cell>
          <cell r="E24">
            <v>0</v>
          </cell>
        </row>
        <row r="25">
          <cell r="A25">
            <v>885965</v>
          </cell>
          <cell r="B25" t="str">
            <v>Naturkontor Schreibtisch 180 * 90</v>
          </cell>
          <cell r="C25">
            <v>88</v>
          </cell>
          <cell r="D25">
            <v>599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</sheetData>
      <sheetData sheetId="5">
        <row r="2">
          <cell r="A2">
            <v>38060186</v>
          </cell>
          <cell r="B2" t="str">
            <v>Volksbank Bonn/Rhein-Sieg</v>
          </cell>
        </row>
        <row r="3">
          <cell r="A3">
            <v>37010050</v>
          </cell>
          <cell r="B3" t="str">
            <v>Postbank Köln</v>
          </cell>
        </row>
        <row r="4">
          <cell r="A4">
            <v>37050299</v>
          </cell>
          <cell r="B4" t="str">
            <v>Kreissparkasse Köln</v>
          </cell>
        </row>
        <row r="5">
          <cell r="A5">
            <v>30020946</v>
          </cell>
          <cell r="B5" t="str">
            <v>Citibank Frankfurt/Main</v>
          </cell>
        </row>
        <row r="6">
          <cell r="A6">
            <v>53040012</v>
          </cell>
          <cell r="B6" t="str">
            <v>Commerzbank Fulda</v>
          </cell>
        </row>
        <row r="7">
          <cell r="A7">
            <v>39550110</v>
          </cell>
          <cell r="B7" t="str">
            <v>Sparkasse Düren</v>
          </cell>
        </row>
        <row r="8">
          <cell r="A8">
            <v>25190001</v>
          </cell>
          <cell r="B8" t="str">
            <v>Hannoversche Volksbank</v>
          </cell>
        </row>
        <row r="9">
          <cell r="A9">
            <v>20050550</v>
          </cell>
          <cell r="B9" t="str">
            <v>Hamburger Sparkasse</v>
          </cell>
        </row>
        <row r="10">
          <cell r="A10">
            <v>37020500</v>
          </cell>
          <cell r="B10" t="str">
            <v>Bank für Sozialwirtschaft</v>
          </cell>
        </row>
        <row r="11">
          <cell r="A11">
            <v>70010080</v>
          </cell>
          <cell r="B11" t="str">
            <v>Postbank München</v>
          </cell>
        </row>
        <row r="12">
          <cell r="A12">
            <v>47264367</v>
          </cell>
          <cell r="B12" t="str">
            <v>Vereinigte Volksbank Brakel</v>
          </cell>
        </row>
        <row r="13">
          <cell r="A13">
            <v>0</v>
          </cell>
          <cell r="B13">
            <v>0</v>
          </cell>
        </row>
        <row r="14">
          <cell r="A14">
            <v>0</v>
          </cell>
          <cell r="B14">
            <v>0</v>
          </cell>
        </row>
        <row r="15">
          <cell r="A15">
            <v>0</v>
          </cell>
          <cell r="B15">
            <v>0</v>
          </cell>
        </row>
        <row r="16">
          <cell r="A16">
            <v>0</v>
          </cell>
          <cell r="B16">
            <v>0</v>
          </cell>
        </row>
        <row r="17">
          <cell r="A17">
            <v>0</v>
          </cell>
          <cell r="B17">
            <v>0</v>
          </cell>
        </row>
        <row r="18">
          <cell r="A18">
            <v>0</v>
          </cell>
          <cell r="B18">
            <v>0</v>
          </cell>
        </row>
        <row r="19">
          <cell r="A19">
            <v>0</v>
          </cell>
          <cell r="B19">
            <v>0</v>
          </cell>
        </row>
        <row r="20">
          <cell r="A20">
            <v>0</v>
          </cell>
          <cell r="B20">
            <v>0</v>
          </cell>
        </row>
        <row r="21">
          <cell r="A21">
            <v>0</v>
          </cell>
          <cell r="B21">
            <v>0</v>
          </cell>
        </row>
        <row r="22">
          <cell r="A22">
            <v>0</v>
          </cell>
          <cell r="B22">
            <v>0</v>
          </cell>
        </row>
        <row r="23">
          <cell r="A23">
            <v>0</v>
          </cell>
          <cell r="B23">
            <v>0</v>
          </cell>
        </row>
        <row r="24">
          <cell r="A24">
            <v>0</v>
          </cell>
          <cell r="B24">
            <v>0</v>
          </cell>
        </row>
        <row r="25">
          <cell r="A25">
            <v>0</v>
          </cell>
          <cell r="B25">
            <v>0</v>
          </cell>
        </row>
        <row r="26">
          <cell r="A26">
            <v>0</v>
          </cell>
          <cell r="B26">
            <v>0</v>
          </cell>
        </row>
        <row r="27">
          <cell r="A27">
            <v>0</v>
          </cell>
          <cell r="B27">
            <v>0</v>
          </cell>
        </row>
        <row r="28">
          <cell r="A28">
            <v>0</v>
          </cell>
          <cell r="B28">
            <v>0</v>
          </cell>
        </row>
        <row r="29">
          <cell r="A29">
            <v>0</v>
          </cell>
          <cell r="B29">
            <v>0</v>
          </cell>
        </row>
        <row r="30">
          <cell r="A30">
            <v>0</v>
          </cell>
          <cell r="B30">
            <v>0</v>
          </cell>
        </row>
        <row r="31">
          <cell r="A31">
            <v>0</v>
          </cell>
          <cell r="B31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le13" displayName="Tabelle13" ref="A24:H39" totalsRowShown="0" headerRowDxfId="13">
  <tableColumns count="8">
    <tableColumn id="1" xr3:uid="{00000000-0010-0000-0200-000001000000}" name="Pos."/>
    <tableColumn id="2" xr3:uid="{00000000-0010-0000-0200-000002000000}" name="Artikel-_x000a_Nr.">
      <calculatedColumnFormula>IFERROR(VLOOKUP(C25,Artikel!$A$2:$D$23,2,0),"")</calculatedColumnFormula>
    </tableColumn>
    <tableColumn id="3" xr3:uid="{00000000-0010-0000-0200-000003000000}" name="Artikel-_x000a_Bezeichnung" dataDxfId="12"/>
    <tableColumn id="4" xr3:uid="{00000000-0010-0000-0200-000004000000}" name="Menge" dataDxfId="11"/>
    <tableColumn id="5" xr3:uid="{00000000-0010-0000-0200-000005000000}" name="Einzel-_x000a_preis €" dataDxfId="10">
      <calculatedColumnFormula>IFERROR(VLOOKUP('Rechnung (kommentiert)'!C25,Artikel!$A$2:$D$29,4,0),0)</calculatedColumnFormula>
    </tableColumn>
    <tableColumn id="6" xr3:uid="{00000000-0010-0000-0200-000006000000}" name="Rabatt _x000a_%" dataDxfId="9">
      <calculatedColumnFormula>IFERROR(IF(C25&lt;&gt;"",VLOOKUP($A$6,Kunden!$A$1:$N$13,13,0),""),"")</calculatedColumnFormula>
    </tableColumn>
    <tableColumn id="7" xr3:uid="{00000000-0010-0000-0200-000007000000}" name="Rabatt-_x000a_betrag €" dataDxfId="8">
      <calculatedColumnFormula>IFERROR(F25*E25/100,"")</calculatedColumnFormula>
    </tableColumn>
    <tableColumn id="8" xr3:uid="{00000000-0010-0000-0200-000008000000}" name="Gesamt-_x000a_preis €" dataDxfId="7">
      <calculatedColumnFormula>IFERROR((E25-G25)*D25,"")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24:H39" totalsRowShown="0" headerRowDxfId="6">
  <tableColumns count="8">
    <tableColumn id="1" xr3:uid="{00000000-0010-0000-0000-000001000000}" name="Pos."/>
    <tableColumn id="2" xr3:uid="{00000000-0010-0000-0000-000002000000}" name="Artikel-_x000a_Nr."/>
    <tableColumn id="3" xr3:uid="{00000000-0010-0000-0000-000003000000}" name="Artikel-_x000a_Bezeichnung" dataDxfId="5"/>
    <tableColumn id="4" xr3:uid="{00000000-0010-0000-0000-000004000000}" name="Menge"/>
    <tableColumn id="5" xr3:uid="{00000000-0010-0000-0000-000005000000}" name="Einzel-_x000a_preis €" dataDxfId="4"/>
    <tableColumn id="6" xr3:uid="{00000000-0010-0000-0000-000006000000}" name="Rabatt _x000a_%" dataDxfId="3"/>
    <tableColumn id="7" xr3:uid="{00000000-0010-0000-0000-000007000000}" name="Rabatt-_x000a_betrag €" dataDxfId="2"/>
    <tableColumn id="8" xr3:uid="{00000000-0010-0000-0000-000008000000}" name="Gesamt-_x000a_preis €" dataDxfId="1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e14" displayName="Tabelle14" ref="A24:D39" totalsRowShown="0" headerRowDxfId="0">
  <tableColumns count="4">
    <tableColumn id="1" xr3:uid="{00000000-0010-0000-0100-000001000000}" name="Pos."/>
    <tableColumn id="2" xr3:uid="{00000000-0010-0000-0100-000002000000}" name="Artikel-_x000a_Nr.">
      <calculatedColumnFormula>IFERROR(VLOOKUP(C25,Artikel!$A$2:$D$23,2,0),"")</calculatedColumnFormula>
    </tableColumn>
    <tableColumn id="3" xr3:uid="{00000000-0010-0000-0100-000003000000}" name="Artikel-_x000a_Bezeichnung"/>
    <tableColumn id="4" xr3:uid="{00000000-0010-0000-0100-000004000000}" name="Meng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H49"/>
  <sheetViews>
    <sheetView zoomScaleNormal="100" workbookViewId="0">
      <selection activeCell="J49" sqref="J49"/>
    </sheetView>
  </sheetViews>
  <sheetFormatPr baseColWidth="10" defaultColWidth="11.42578125" defaultRowHeight="15" x14ac:dyDescent="0.25"/>
  <cols>
    <col min="1" max="1" width="6.42578125" style="12" customWidth="1"/>
    <col min="2" max="2" width="8.140625" style="12" customWidth="1"/>
    <col min="3" max="3" width="28" style="12" customWidth="1"/>
    <col min="4" max="4" width="7.85546875" style="12" customWidth="1"/>
    <col min="5" max="5" width="11.42578125" style="12" customWidth="1"/>
    <col min="6" max="6" width="7.5703125" style="12" customWidth="1"/>
    <col min="7" max="8" width="10" style="12" customWidth="1"/>
    <col min="9" max="16384" width="11.42578125" style="12"/>
  </cols>
  <sheetData>
    <row r="1" spans="1:8" x14ac:dyDescent="0.25">
      <c r="A1" s="21">
        <v>10</v>
      </c>
    </row>
    <row r="3" spans="1:8" x14ac:dyDescent="0.25">
      <c r="E3" s="1" t="s">
        <v>148</v>
      </c>
      <c r="G3" s="56"/>
      <c r="H3" s="56"/>
    </row>
    <row r="4" spans="1:8" x14ac:dyDescent="0.25">
      <c r="E4" s="1" t="s">
        <v>147</v>
      </c>
      <c r="G4" s="56"/>
      <c r="H4" s="56"/>
    </row>
    <row r="5" spans="1:8" x14ac:dyDescent="0.25">
      <c r="A5" s="57" t="s">
        <v>0</v>
      </c>
      <c r="B5" s="57"/>
      <c r="C5" s="57"/>
      <c r="E5" s="1" t="s">
        <v>146</v>
      </c>
      <c r="G5" s="56"/>
      <c r="H5" s="56"/>
    </row>
    <row r="6" spans="1:8" x14ac:dyDescent="0.25">
      <c r="A6" s="23" t="s">
        <v>50</v>
      </c>
      <c r="E6" s="1" t="s">
        <v>149</v>
      </c>
      <c r="G6" s="56"/>
      <c r="H6" s="56"/>
    </row>
    <row r="7" spans="1:8" x14ac:dyDescent="0.25">
      <c r="A7" s="12" t="str">
        <f>IFERROR(VLOOKUP(A6,Kunden!$A$1:$N$15,2,0),"")</f>
        <v>RaumDesign</v>
      </c>
      <c r="G7" s="55"/>
      <c r="H7" s="55"/>
    </row>
    <row r="8" spans="1:8" x14ac:dyDescent="0.25">
      <c r="A8" s="12" t="str">
        <f>IFERROR(VLOOKUP(A6,Kunden!$A$1:$N$15,4,0),"")</f>
        <v>Brunnenstraße 3</v>
      </c>
      <c r="E8" s="1" t="s">
        <v>150</v>
      </c>
      <c r="G8" s="55" t="s">
        <v>166</v>
      </c>
      <c r="H8" s="55"/>
    </row>
    <row r="9" spans="1:8" x14ac:dyDescent="0.25">
      <c r="A9" s="11">
        <f>IFERROR(VLOOKUP(A6,Kunden!$A$1:$N$15,5,0),"")</f>
        <v>38700</v>
      </c>
      <c r="B9" s="12" t="str">
        <f>IFERROR(VLOOKUP(A6,Kunden!$A$1:$N$15,6,0),"")</f>
        <v>Hannover</v>
      </c>
      <c r="E9" s="1" t="s">
        <v>151</v>
      </c>
      <c r="G9" s="56"/>
      <c r="H9" s="56"/>
    </row>
    <row r="10" spans="1:8" x14ac:dyDescent="0.25">
      <c r="E10" s="1" t="s">
        <v>152</v>
      </c>
      <c r="G10" s="56"/>
      <c r="H10" s="56"/>
    </row>
    <row r="11" spans="1:8" x14ac:dyDescent="0.25">
      <c r="E11" s="1" t="s">
        <v>153</v>
      </c>
      <c r="G11" s="56"/>
      <c r="H11" s="56"/>
    </row>
    <row r="12" spans="1:8" ht="6.95" customHeight="1" x14ac:dyDescent="0.25">
      <c r="G12" s="55"/>
      <c r="H12" s="55"/>
    </row>
    <row r="13" spans="1:8" x14ac:dyDescent="0.25">
      <c r="C13" s="10"/>
      <c r="E13" s="1" t="s">
        <v>154</v>
      </c>
      <c r="G13" s="54">
        <v>45889</v>
      </c>
      <c r="H13" s="55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164</v>
      </c>
      <c r="D16" s="2" t="str">
        <f ca="1">YEAR(TODAY())&amp;"000"&amp;A1</f>
        <v>202600010</v>
      </c>
    </row>
    <row r="17" spans="1:8" x14ac:dyDescent="0.25">
      <c r="A17" s="2" t="s">
        <v>1</v>
      </c>
      <c r="D17" s="8">
        <f>IFERROR(VLOOKUP(A6,Kunden!$A$1:$N$13,3,0),"")</f>
        <v>2401</v>
      </c>
    </row>
    <row r="18" spans="1:8" ht="6.95" customHeight="1" x14ac:dyDescent="0.25"/>
    <row r="19" spans="1:8" ht="6.95" customHeight="1" x14ac:dyDescent="0.25"/>
    <row r="20" spans="1:8" x14ac:dyDescent="0.25">
      <c r="A20" s="12" t="s">
        <v>2</v>
      </c>
    </row>
    <row r="21" spans="1:8" ht="6.95" customHeight="1" x14ac:dyDescent="0.25"/>
    <row r="22" spans="1:8" x14ac:dyDescent="0.25">
      <c r="A22" s="12" t="s">
        <v>12</v>
      </c>
    </row>
    <row r="23" spans="1:8" ht="6.95" customHeight="1" x14ac:dyDescent="0.25"/>
    <row r="24" spans="1:8" ht="30" x14ac:dyDescent="0.25">
      <c r="A24" s="13" t="s">
        <v>3</v>
      </c>
      <c r="B24" s="14" t="s">
        <v>4</v>
      </c>
      <c r="C24" s="14" t="s">
        <v>5</v>
      </c>
      <c r="D24" s="15" t="s">
        <v>6</v>
      </c>
      <c r="E24" s="14" t="s">
        <v>7</v>
      </c>
      <c r="F24" s="14" t="s">
        <v>8</v>
      </c>
      <c r="G24" s="14" t="s">
        <v>9</v>
      </c>
      <c r="H24" s="14" t="s">
        <v>10</v>
      </c>
    </row>
    <row r="25" spans="1:8" x14ac:dyDescent="0.25">
      <c r="A25" s="16">
        <f t="shared" ref="A25:A37" si="0">IF(C25&lt;&gt;"",ROW(A1),"")</f>
        <v>1</v>
      </c>
      <c r="B25" s="16">
        <f>IFERROR(VLOOKUP(C25,Artikel!$A$2:$D$23,2,0),"")</f>
        <v>202111</v>
      </c>
      <c r="C25" s="22" t="s">
        <v>23</v>
      </c>
      <c r="D25" s="22">
        <v>5</v>
      </c>
      <c r="E25" s="17">
        <f>IFERROR(VLOOKUP('Rechnung (kommentiert)'!C25,Artikel!$A$2:$D$29,4,0),0)</f>
        <v>228</v>
      </c>
      <c r="F25" s="18">
        <f>IFERROR(IF(C25&lt;&gt;"",VLOOKUP($A$6,Kunden!$A$1:$N$13,13,0),""),"")</f>
        <v>5</v>
      </c>
      <c r="G25" s="17">
        <f>IFERROR(F25*E25/100,"")</f>
        <v>11.4</v>
      </c>
      <c r="H25" s="17">
        <f>IFERROR((E25-G25)*D25,"")</f>
        <v>1083</v>
      </c>
    </row>
    <row r="26" spans="1:8" x14ac:dyDescent="0.25">
      <c r="A26" s="16">
        <f t="shared" si="0"/>
        <v>2</v>
      </c>
      <c r="B26" s="16">
        <f>IFERROR(VLOOKUP(C26,Artikel!$A$2:$D$23,2,0),"")</f>
        <v>101111</v>
      </c>
      <c r="C26" s="22" t="s">
        <v>18</v>
      </c>
      <c r="D26" s="22">
        <v>3</v>
      </c>
      <c r="E26" s="17">
        <f>IFERROR(VLOOKUP('Rechnung (kommentiert)'!C26,Artikel!$A$2:$D$29,4,0),0)</f>
        <v>489</v>
      </c>
      <c r="F26" s="18">
        <f>IFERROR(IF(C26&lt;&gt;"",VLOOKUP($A$6,Kunden!$A$1:$N$13,13,0),""),"")</f>
        <v>5</v>
      </c>
      <c r="G26" s="17">
        <f t="shared" ref="G26:G39" si="1">IFERROR(F26*E26/100,"")</f>
        <v>24.45</v>
      </c>
      <c r="H26" s="17">
        <f t="shared" ref="H26:H39" si="2">IFERROR((E26-G26)*D26,"")</f>
        <v>1393.65</v>
      </c>
    </row>
    <row r="27" spans="1:8" x14ac:dyDescent="0.25">
      <c r="A27" s="16" t="str">
        <f t="shared" si="0"/>
        <v/>
      </c>
      <c r="B27" s="16" t="str">
        <f>IFERROR(VLOOKUP(C27,Artikel!$A$2:$D$23,2,0),"")</f>
        <v/>
      </c>
      <c r="C27" s="22"/>
      <c r="D27" s="22"/>
      <c r="E27" s="17">
        <f>IFERROR(VLOOKUP('Rechnung (kommentiert)'!C27,Artikel!$A$2:$D$29,4,0),0)</f>
        <v>0</v>
      </c>
      <c r="F27" s="18" t="str">
        <f>IFERROR(IF(C27&lt;&gt;"",VLOOKUP($A$6,Kunden!$A$1:$N$13,13,0),""),"")</f>
        <v/>
      </c>
      <c r="G27" s="17" t="str">
        <f t="shared" si="1"/>
        <v/>
      </c>
      <c r="H27" s="17" t="str">
        <f t="shared" si="2"/>
        <v/>
      </c>
    </row>
    <row r="28" spans="1:8" x14ac:dyDescent="0.25">
      <c r="A28" s="16" t="str">
        <f t="shared" si="0"/>
        <v/>
      </c>
      <c r="B28" s="16" t="str">
        <f>IFERROR(VLOOKUP(C28,Artikel!$A$2:$D$23,2,0),"")</f>
        <v/>
      </c>
      <c r="C28" s="22"/>
      <c r="D28" s="22"/>
      <c r="E28" s="17">
        <f>IFERROR(VLOOKUP('Rechnung (kommentiert)'!C28,Artikel!$A$2:$D$29,4,0),0)</f>
        <v>0</v>
      </c>
      <c r="F28" s="18" t="str">
        <f>IFERROR(IF(C28&lt;&gt;"",VLOOKUP($A$6,Kunden!$A$1:$N$13,13,0),""),"")</f>
        <v/>
      </c>
      <c r="G28" s="17" t="str">
        <f t="shared" si="1"/>
        <v/>
      </c>
      <c r="H28" s="17" t="str">
        <f t="shared" si="2"/>
        <v/>
      </c>
    </row>
    <row r="29" spans="1:8" x14ac:dyDescent="0.25">
      <c r="A29" s="16" t="str">
        <f t="shared" si="0"/>
        <v/>
      </c>
      <c r="B29" s="16" t="str">
        <f>IFERROR(VLOOKUP(C29,Artikel!$A$2:$D$23,2,0),"")</f>
        <v/>
      </c>
      <c r="C29" s="22"/>
      <c r="D29" s="22"/>
      <c r="E29" s="17">
        <f>IFERROR(VLOOKUP('Rechnung (kommentiert)'!C29,Artikel!$A$2:$D$29,4,0),0)</f>
        <v>0</v>
      </c>
      <c r="F29" s="18" t="str">
        <f>IFERROR(IF(C29&lt;&gt;"",VLOOKUP($A$6,Kunden!$A$1:$N$13,13,0),""),"")</f>
        <v/>
      </c>
      <c r="G29" s="17" t="str">
        <f t="shared" si="1"/>
        <v/>
      </c>
      <c r="H29" s="17" t="str">
        <f t="shared" si="2"/>
        <v/>
      </c>
    </row>
    <row r="30" spans="1:8" x14ac:dyDescent="0.25">
      <c r="A30" s="16" t="str">
        <f t="shared" si="0"/>
        <v/>
      </c>
      <c r="B30" s="16" t="str">
        <f>IFERROR(VLOOKUP(C30,Artikel!$A$2:$D$23,2,0),"")</f>
        <v/>
      </c>
      <c r="C30" s="22"/>
      <c r="D30" s="22"/>
      <c r="E30" s="17">
        <f>IFERROR(VLOOKUP('Rechnung (kommentiert)'!C30,Artikel!$A$2:$D$29,4,0),0)</f>
        <v>0</v>
      </c>
      <c r="F30" s="18" t="str">
        <f>IFERROR(IF(C30&lt;&gt;"",VLOOKUP($A$6,Kunden!$A$1:$N$13,13,0),""),"")</f>
        <v/>
      </c>
      <c r="G30" s="17" t="str">
        <f t="shared" si="1"/>
        <v/>
      </c>
      <c r="H30" s="17" t="str">
        <f t="shared" si="2"/>
        <v/>
      </c>
    </row>
    <row r="31" spans="1:8" x14ac:dyDescent="0.25">
      <c r="A31" s="16" t="str">
        <f t="shared" si="0"/>
        <v/>
      </c>
      <c r="B31" s="16" t="str">
        <f>IFERROR(VLOOKUP(C31,Artikel!$A$2:$D$23,2,0),"")</f>
        <v/>
      </c>
      <c r="C31" s="22"/>
      <c r="D31" s="22"/>
      <c r="E31" s="17">
        <f>IFERROR(VLOOKUP('Rechnung (kommentiert)'!C31,Artikel!$A$2:$D$29,4,0),0)</f>
        <v>0</v>
      </c>
      <c r="F31" s="18" t="str">
        <f>IFERROR(IF(C31&lt;&gt;"",VLOOKUP($A$6,Kunden!$A$1:$N$13,13,0),""),"")</f>
        <v/>
      </c>
      <c r="G31" s="17" t="str">
        <f t="shared" si="1"/>
        <v/>
      </c>
      <c r="H31" s="17" t="str">
        <f t="shared" si="2"/>
        <v/>
      </c>
    </row>
    <row r="32" spans="1:8" x14ac:dyDescent="0.25">
      <c r="A32" s="16" t="str">
        <f t="shared" si="0"/>
        <v/>
      </c>
      <c r="B32" s="16" t="str">
        <f>IFERROR(VLOOKUP(C32,Artikel!$A$2:$D$23,2,0),"")</f>
        <v/>
      </c>
      <c r="C32" s="22"/>
      <c r="D32" s="22"/>
      <c r="E32" s="17">
        <f>IFERROR(VLOOKUP('Rechnung (kommentiert)'!C32,Artikel!$A$2:$D$29,4,0),0)</f>
        <v>0</v>
      </c>
      <c r="F32" s="18" t="str">
        <f>IFERROR(IF(C32&lt;&gt;"",VLOOKUP($A$6,Kunden!$A$1:$N$13,13,0),""),"")</f>
        <v/>
      </c>
      <c r="G32" s="17" t="str">
        <f t="shared" si="1"/>
        <v/>
      </c>
      <c r="H32" s="17" t="str">
        <f t="shared" si="2"/>
        <v/>
      </c>
    </row>
    <row r="33" spans="1:8" x14ac:dyDescent="0.25">
      <c r="A33" s="16" t="str">
        <f t="shared" si="0"/>
        <v/>
      </c>
      <c r="B33" s="16" t="str">
        <f>IFERROR(VLOOKUP(C33,Artikel!$A$2:$D$23,2,0),"")</f>
        <v/>
      </c>
      <c r="C33" s="22"/>
      <c r="D33" s="22"/>
      <c r="E33" s="17">
        <f>IFERROR(VLOOKUP('Rechnung (kommentiert)'!C33,Artikel!$A$2:$D$29,4,0),0)</f>
        <v>0</v>
      </c>
      <c r="F33" s="18" t="str">
        <f>IFERROR(IF(C33&lt;&gt;"",VLOOKUP($A$6,Kunden!$A$1:$N$13,13,0),""),"")</f>
        <v/>
      </c>
      <c r="G33" s="17" t="str">
        <f t="shared" si="1"/>
        <v/>
      </c>
      <c r="H33" s="17" t="str">
        <f t="shared" si="2"/>
        <v/>
      </c>
    </row>
    <row r="34" spans="1:8" x14ac:dyDescent="0.25">
      <c r="A34" s="16" t="str">
        <f t="shared" si="0"/>
        <v/>
      </c>
      <c r="B34" s="16" t="str">
        <f>IFERROR(VLOOKUP(C34,Artikel!$A$2:$D$23,2,0),"")</f>
        <v/>
      </c>
      <c r="C34" s="22"/>
      <c r="D34" s="22"/>
      <c r="E34" s="17">
        <f>IFERROR(VLOOKUP('Rechnung (kommentiert)'!C34,Artikel!$A$2:$D$29,4,0),0)</f>
        <v>0</v>
      </c>
      <c r="F34" s="18" t="str">
        <f>IFERROR(IF(C34&lt;&gt;"",VLOOKUP($A$6,Kunden!$A$1:$N$13,13,0),""),"")</f>
        <v/>
      </c>
      <c r="G34" s="17" t="str">
        <f t="shared" si="1"/>
        <v/>
      </c>
      <c r="H34" s="17" t="str">
        <f t="shared" si="2"/>
        <v/>
      </c>
    </row>
    <row r="35" spans="1:8" x14ac:dyDescent="0.25">
      <c r="A35" s="16" t="str">
        <f t="shared" si="0"/>
        <v/>
      </c>
      <c r="B35" s="16" t="str">
        <f>IFERROR(VLOOKUP(C35,Artikel!$A$2:$D$23,2,0),"")</f>
        <v/>
      </c>
      <c r="C35" s="22"/>
      <c r="D35" s="22"/>
      <c r="E35" s="17">
        <f>IFERROR(VLOOKUP('Rechnung (kommentiert)'!C35,Artikel!$A$2:$D$29,4,0),0)</f>
        <v>0</v>
      </c>
      <c r="F35" s="18" t="str">
        <f>IFERROR(IF(C35&lt;&gt;"",VLOOKUP($A$6,Kunden!$A$1:$N$13,13,0),""),"")</f>
        <v/>
      </c>
      <c r="G35" s="17" t="str">
        <f t="shared" si="1"/>
        <v/>
      </c>
      <c r="H35" s="17" t="str">
        <f t="shared" si="2"/>
        <v/>
      </c>
    </row>
    <row r="36" spans="1:8" x14ac:dyDescent="0.25">
      <c r="A36" s="16" t="str">
        <f t="shared" si="0"/>
        <v/>
      </c>
      <c r="B36" s="16" t="str">
        <f>IFERROR(VLOOKUP(C36,Artikel!$A$2:$D$23,2,0),"")</f>
        <v/>
      </c>
      <c r="C36" s="22"/>
      <c r="D36" s="22"/>
      <c r="E36" s="17">
        <f>IFERROR(VLOOKUP('Rechnung (kommentiert)'!C36,Artikel!$A$2:$D$29,4,0),0)</f>
        <v>0</v>
      </c>
      <c r="F36" s="18" t="str">
        <f>IFERROR(IF(C36&lt;&gt;"",VLOOKUP($A$6,Kunden!$A$1:$N$13,13,0),""),"")</f>
        <v/>
      </c>
      <c r="G36" s="17" t="str">
        <f t="shared" si="1"/>
        <v/>
      </c>
      <c r="H36" s="17" t="str">
        <f t="shared" si="2"/>
        <v/>
      </c>
    </row>
    <row r="37" spans="1:8" x14ac:dyDescent="0.25">
      <c r="A37" s="16" t="str">
        <f t="shared" si="0"/>
        <v/>
      </c>
      <c r="B37" s="16" t="str">
        <f>IFERROR(VLOOKUP(C37,Artikel!$A$2:$D$23,2,0),"")</f>
        <v/>
      </c>
      <c r="C37" s="22"/>
      <c r="D37" s="22"/>
      <c r="E37" s="17">
        <f>IFERROR(VLOOKUP('Rechnung (kommentiert)'!C37,Artikel!$A$2:$D$29,4,0),0)</f>
        <v>0</v>
      </c>
      <c r="F37" s="18" t="str">
        <f>IFERROR(IF(C37&lt;&gt;"",VLOOKUP($A$6,Kunden!$A$1:$N$13,13,0),""),"")</f>
        <v/>
      </c>
      <c r="G37" s="17" t="str">
        <f t="shared" si="1"/>
        <v/>
      </c>
      <c r="H37" s="17" t="str">
        <f t="shared" si="2"/>
        <v/>
      </c>
    </row>
    <row r="38" spans="1:8" x14ac:dyDescent="0.25">
      <c r="A38" s="16" t="str">
        <f t="shared" ref="A38:A39" si="3">IF(C38&lt;&gt;"",ROW(A15),"")</f>
        <v/>
      </c>
      <c r="B38" s="16" t="str">
        <f>IFERROR(VLOOKUP(C38,Artikel!$A$2:$D$23,2,0),"")</f>
        <v/>
      </c>
      <c r="C38" s="22"/>
      <c r="D38" s="22"/>
      <c r="E38" s="17">
        <f>IFERROR(VLOOKUP('Rechnung (kommentiert)'!C38,Artikel!$A$2:$D$29,4,0),0)</f>
        <v>0</v>
      </c>
      <c r="F38" s="18" t="str">
        <f>IFERROR(IF(C38&lt;&gt;"",VLOOKUP($A$6,Kunden!$A$1:$N$13,13,0),""),"")</f>
        <v/>
      </c>
      <c r="G38" s="17" t="str">
        <f t="shared" si="1"/>
        <v/>
      </c>
      <c r="H38" s="17" t="str">
        <f t="shared" si="2"/>
        <v/>
      </c>
    </row>
    <row r="39" spans="1:8" x14ac:dyDescent="0.25">
      <c r="A39" s="16" t="str">
        <f t="shared" si="3"/>
        <v/>
      </c>
      <c r="B39" s="16" t="str">
        <f>IFERROR(VLOOKUP(C39,Artikel!$A$2:$D$23,2,0),"")</f>
        <v/>
      </c>
      <c r="C39" s="22"/>
      <c r="D39" s="22"/>
      <c r="E39" s="17">
        <f>IFERROR(VLOOKUP('Rechnung (kommentiert)'!C39,Artikel!$A$2:$D$29,4,0),0)</f>
        <v>0</v>
      </c>
      <c r="F39" s="18" t="str">
        <f>IFERROR(IF(C39&lt;&gt;"",VLOOKUP($A$6,Kunden!$A$1:$N$13,13,0),""),"")</f>
        <v/>
      </c>
      <c r="G39" s="17" t="str">
        <f t="shared" si="1"/>
        <v/>
      </c>
      <c r="H39" s="17" t="str">
        <f t="shared" si="2"/>
        <v/>
      </c>
    </row>
    <row r="40" spans="1:8" x14ac:dyDescent="0.25">
      <c r="F40" s="58" t="s">
        <v>11</v>
      </c>
      <c r="G40" s="58"/>
      <c r="H40" s="19">
        <f>SUM(H25:H39)</f>
        <v>2476.65</v>
      </c>
    </row>
    <row r="41" spans="1:8" x14ac:dyDescent="0.25">
      <c r="B41" s="3"/>
      <c r="F41" s="59">
        <v>0.19</v>
      </c>
      <c r="G41" s="59"/>
      <c r="H41" s="19">
        <f>H40*F41</f>
        <v>470.56350000000003</v>
      </c>
    </row>
    <row r="42" spans="1:8" x14ac:dyDescent="0.25">
      <c r="F42" s="58" t="s">
        <v>13</v>
      </c>
      <c r="G42" s="58"/>
      <c r="H42" s="19">
        <f>SUM(H40:H41)</f>
        <v>2947.2135000000003</v>
      </c>
    </row>
    <row r="43" spans="1:8" ht="6.95" customHeight="1" x14ac:dyDescent="0.25"/>
    <row r="44" spans="1:8" x14ac:dyDescent="0.25">
      <c r="A44" s="60" t="s">
        <v>155</v>
      </c>
      <c r="B44" s="60"/>
      <c r="C44" s="60"/>
      <c r="D44" s="60"/>
      <c r="E44" s="60"/>
      <c r="F44" s="60"/>
      <c r="G44" s="60"/>
      <c r="H44" s="60"/>
    </row>
    <row r="45" spans="1:8" x14ac:dyDescent="0.25">
      <c r="A45" s="60"/>
      <c r="B45" s="60"/>
      <c r="C45" s="60"/>
      <c r="D45" s="60"/>
      <c r="E45" s="60"/>
      <c r="F45" s="60"/>
      <c r="G45" s="60"/>
      <c r="H45" s="60"/>
    </row>
    <row r="46" spans="1:8" ht="6.95" customHeight="1" x14ac:dyDescent="0.25"/>
    <row r="47" spans="1:8" ht="15" customHeight="1" x14ac:dyDescent="0.25">
      <c r="A47" s="61" t="s">
        <v>156</v>
      </c>
      <c r="B47" s="61"/>
      <c r="C47" s="61"/>
      <c r="D47" s="61"/>
      <c r="E47" s="61"/>
      <c r="F47" s="61"/>
      <c r="G47" s="61"/>
      <c r="H47" s="61"/>
    </row>
    <row r="48" spans="1:8" ht="6.95" customHeight="1" x14ac:dyDescent="0.25">
      <c r="A48" s="9"/>
      <c r="B48" s="9"/>
      <c r="C48" s="9"/>
      <c r="D48" s="9"/>
      <c r="E48" s="9"/>
      <c r="F48" s="9"/>
      <c r="G48" s="9"/>
      <c r="H48" s="9"/>
    </row>
    <row r="49" spans="1:1" x14ac:dyDescent="0.25">
      <c r="A49" s="12" t="s">
        <v>157</v>
      </c>
    </row>
  </sheetData>
  <mergeCells count="17">
    <mergeCell ref="F40:G40"/>
    <mergeCell ref="F41:G41"/>
    <mergeCell ref="F42:G42"/>
    <mergeCell ref="A44:H45"/>
    <mergeCell ref="A47:H47"/>
    <mergeCell ref="G13:H13"/>
    <mergeCell ref="G3:H3"/>
    <mergeCell ref="G4:H4"/>
    <mergeCell ref="A5:C5"/>
    <mergeCell ref="G5:H5"/>
    <mergeCell ref="G6:H6"/>
    <mergeCell ref="G7:H7"/>
    <mergeCell ref="G8:H8"/>
    <mergeCell ref="G9:H9"/>
    <mergeCell ref="G10:H10"/>
    <mergeCell ref="G11:H11"/>
    <mergeCell ref="G12:H12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5121" r:id="rId5" name="CommandButton1">
          <controlPr defaultSize="0" print="0" autoFill="0" autoLine="0" r:id="rId6">
            <anchor moveWithCells="1">
              <from>
                <xdr:col>0</xdr:col>
                <xdr:colOff>9525</xdr:colOff>
                <xdr:row>40</xdr:row>
                <xdr:rowOff>9525</xdr:rowOff>
              </from>
              <to>
                <xdr:col>4</xdr:col>
                <xdr:colOff>238125</xdr:colOff>
                <xdr:row>41</xdr:row>
                <xdr:rowOff>47625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Hilfsdaten!$B$10:$B$13</xm:f>
          </x14:formula1>
          <xm:sqref>A44:H45</xm:sqref>
        </x14:dataValidation>
        <x14:dataValidation type="list" allowBlank="1" showInputMessage="1" showErrorMessage="1" xr:uid="{00000000-0002-0000-02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200-000002000000}">
          <x14:formula1>
            <xm:f>Artikel!$A$2:$A$23</xm:f>
          </x14:formula1>
          <xm:sqref>C25:C39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49"/>
  <sheetViews>
    <sheetView tabSelected="1" zoomScaleNormal="100" workbookViewId="0">
      <selection activeCell="L20" sqref="L20"/>
    </sheetView>
  </sheetViews>
  <sheetFormatPr baseColWidth="10" defaultColWidth="11.42578125" defaultRowHeight="15" x14ac:dyDescent="0.25"/>
  <cols>
    <col min="1" max="1" width="6.42578125" customWidth="1"/>
    <col min="2" max="2" width="8.140625" customWidth="1"/>
    <col min="3" max="3" width="28" customWidth="1"/>
    <col min="4" max="4" width="7.85546875" customWidth="1"/>
    <col min="5" max="5" width="11.42578125" customWidth="1"/>
    <col min="6" max="6" width="7.5703125" customWidth="1"/>
    <col min="7" max="8" width="10" customWidth="1"/>
  </cols>
  <sheetData>
    <row r="1" spans="1:8" x14ac:dyDescent="0.25">
      <c r="A1" s="21">
        <v>9</v>
      </c>
    </row>
    <row r="3" spans="1:8" x14ac:dyDescent="0.25">
      <c r="E3" s="1" t="s">
        <v>148</v>
      </c>
      <c r="G3" s="55"/>
      <c r="H3" s="55"/>
    </row>
    <row r="4" spans="1:8" x14ac:dyDescent="0.25">
      <c r="E4" s="1" t="s">
        <v>147</v>
      </c>
      <c r="G4" s="55"/>
      <c r="H4" s="55"/>
    </row>
    <row r="5" spans="1:8" x14ac:dyDescent="0.25">
      <c r="A5" s="57" t="s">
        <v>0</v>
      </c>
      <c r="B5" s="57"/>
      <c r="C5" s="57"/>
      <c r="E5" s="1" t="s">
        <v>146</v>
      </c>
      <c r="G5" s="55"/>
      <c r="H5" s="55"/>
    </row>
    <row r="6" spans="1:8" x14ac:dyDescent="0.25">
      <c r="E6" s="1" t="s">
        <v>149</v>
      </c>
      <c r="G6" s="55"/>
      <c r="H6" s="55"/>
    </row>
    <row r="7" spans="1:8" x14ac:dyDescent="0.25">
      <c r="A7" t="str">
        <f>IFERROR(VLOOKUP(A6,Kunden!$A$1:$N$15,2,0),"")</f>
        <v/>
      </c>
      <c r="G7" s="55"/>
      <c r="H7" s="55"/>
    </row>
    <row r="8" spans="1:8" x14ac:dyDescent="0.25">
      <c r="A8" t="str">
        <f>IFERROR(VLOOKUP(A6,Kunden!$A$1:$N$15,4,0),"")</f>
        <v/>
      </c>
      <c r="E8" s="1" t="s">
        <v>150</v>
      </c>
      <c r="G8" s="55"/>
      <c r="H8" s="55"/>
    </row>
    <row r="9" spans="1:8" x14ac:dyDescent="0.25">
      <c r="A9" s="11" t="str">
        <f>IFERROR(VLOOKUP(A6,Kunden!$A$1:$N$15,5,0),"")</f>
        <v/>
      </c>
      <c r="B9" t="str">
        <f>IFERROR(VLOOKUP(A6,Kunden!$A$1:$N$15,6,0),"")</f>
        <v/>
      </c>
      <c r="E9" s="1" t="s">
        <v>151</v>
      </c>
      <c r="G9" s="55"/>
      <c r="H9" s="55"/>
    </row>
    <row r="10" spans="1:8" x14ac:dyDescent="0.25">
      <c r="E10" s="1" t="s">
        <v>152</v>
      </c>
      <c r="G10" s="55"/>
      <c r="H10" s="55"/>
    </row>
    <row r="11" spans="1:8" x14ac:dyDescent="0.25">
      <c r="E11" s="1" t="s">
        <v>153</v>
      </c>
      <c r="G11" s="55"/>
      <c r="H11" s="55"/>
    </row>
    <row r="12" spans="1:8" ht="6.95" customHeight="1" x14ac:dyDescent="0.25">
      <c r="G12" s="55"/>
      <c r="H12" s="55"/>
    </row>
    <row r="13" spans="1:8" x14ac:dyDescent="0.25">
      <c r="C13" s="10"/>
      <c r="E13" s="1" t="s">
        <v>154</v>
      </c>
      <c r="G13" s="54">
        <f ca="1">TODAY()</f>
        <v>46245</v>
      </c>
      <c r="H13" s="55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164</v>
      </c>
      <c r="D16" s="2" t="str">
        <f ca="1">YEAR(TODAY())&amp;"000"&amp;A1</f>
        <v>20260009</v>
      </c>
    </row>
    <row r="17" spans="1:8" x14ac:dyDescent="0.25">
      <c r="A17" s="2" t="s">
        <v>1</v>
      </c>
      <c r="D17" s="8"/>
    </row>
    <row r="18" spans="1:8" ht="6.95" customHeight="1" x14ac:dyDescent="0.25"/>
    <row r="19" spans="1:8" ht="6.95" customHeight="1" x14ac:dyDescent="0.25"/>
    <row r="20" spans="1:8" x14ac:dyDescent="0.25">
      <c r="A20" t="s">
        <v>2</v>
      </c>
    </row>
    <row r="21" spans="1:8" ht="6.95" customHeight="1" x14ac:dyDescent="0.25"/>
    <row r="22" spans="1:8" x14ac:dyDescent="0.25">
      <c r="A22" t="s">
        <v>12</v>
      </c>
    </row>
    <row r="23" spans="1:8" ht="6.95" customHeight="1" x14ac:dyDescent="0.25"/>
    <row r="24" spans="1:8" ht="30" x14ac:dyDescent="0.25">
      <c r="A24" s="13" t="s">
        <v>3</v>
      </c>
      <c r="B24" s="14" t="s">
        <v>4</v>
      </c>
      <c r="C24" s="14" t="s">
        <v>5</v>
      </c>
      <c r="D24" s="15" t="s">
        <v>6</v>
      </c>
      <c r="E24" s="14" t="s">
        <v>7</v>
      </c>
      <c r="F24" s="14" t="s">
        <v>8</v>
      </c>
      <c r="G24" s="14" t="s">
        <v>9</v>
      </c>
      <c r="H24" s="14" t="s">
        <v>10</v>
      </c>
    </row>
    <row r="25" spans="1:8" x14ac:dyDescent="0.25">
      <c r="A25" s="16"/>
      <c r="B25" s="16"/>
      <c r="C25" s="27"/>
      <c r="D25" s="16"/>
      <c r="E25" s="17"/>
      <c r="F25" s="18"/>
      <c r="G25" s="17"/>
      <c r="H25" s="17"/>
    </row>
    <row r="26" spans="1:8" x14ac:dyDescent="0.25">
      <c r="A26" s="16"/>
      <c r="B26" s="16"/>
      <c r="C26" s="27"/>
      <c r="D26" s="16"/>
      <c r="E26" s="17"/>
      <c r="F26" s="18"/>
      <c r="G26" s="17"/>
      <c r="H26" s="17"/>
    </row>
    <row r="27" spans="1:8" x14ac:dyDescent="0.25">
      <c r="A27" s="16"/>
      <c r="B27" s="16"/>
      <c r="C27" s="27"/>
      <c r="D27" s="16"/>
      <c r="E27" s="17"/>
      <c r="F27" s="18"/>
      <c r="G27" s="17"/>
      <c r="H27" s="17"/>
    </row>
    <row r="28" spans="1:8" x14ac:dyDescent="0.25">
      <c r="A28" s="16"/>
      <c r="B28" s="16"/>
      <c r="C28" s="27"/>
      <c r="D28" s="16"/>
      <c r="E28" s="17"/>
      <c r="F28" s="18"/>
      <c r="G28" s="17"/>
      <c r="H28" s="17"/>
    </row>
    <row r="29" spans="1:8" x14ac:dyDescent="0.25">
      <c r="A29" s="16"/>
      <c r="B29" s="16"/>
      <c r="C29" s="27"/>
      <c r="D29" s="16"/>
      <c r="E29" s="17"/>
      <c r="F29" s="18"/>
      <c r="G29" s="17"/>
      <c r="H29" s="17"/>
    </row>
    <row r="30" spans="1:8" x14ac:dyDescent="0.25">
      <c r="A30" s="16"/>
      <c r="B30" s="16"/>
      <c r="C30" s="27"/>
      <c r="D30" s="16"/>
      <c r="E30" s="17"/>
      <c r="F30" s="18"/>
      <c r="G30" s="17"/>
      <c r="H30" s="17"/>
    </row>
    <row r="31" spans="1:8" x14ac:dyDescent="0.25">
      <c r="A31" s="16"/>
      <c r="B31" s="16"/>
      <c r="C31" s="27"/>
      <c r="D31" s="16"/>
      <c r="E31" s="17"/>
      <c r="F31" s="18"/>
      <c r="G31" s="17"/>
      <c r="H31" s="17"/>
    </row>
    <row r="32" spans="1:8" x14ac:dyDescent="0.25">
      <c r="A32" s="16"/>
      <c r="B32" s="16"/>
      <c r="C32" s="27"/>
      <c r="D32" s="16"/>
      <c r="E32" s="17"/>
      <c r="F32" s="18"/>
      <c r="G32" s="17"/>
      <c r="H32" s="17"/>
    </row>
    <row r="33" spans="1:8" x14ac:dyDescent="0.25">
      <c r="A33" s="16"/>
      <c r="B33" s="16"/>
      <c r="C33" s="27"/>
      <c r="D33" s="16"/>
      <c r="E33" s="17"/>
      <c r="F33" s="18"/>
      <c r="G33" s="17"/>
      <c r="H33" s="17"/>
    </row>
    <row r="34" spans="1:8" x14ac:dyDescent="0.25">
      <c r="A34" s="16"/>
      <c r="B34" s="16"/>
      <c r="C34" s="27"/>
      <c r="D34" s="16"/>
      <c r="E34" s="17"/>
      <c r="F34" s="18"/>
      <c r="G34" s="17"/>
      <c r="H34" s="17"/>
    </row>
    <row r="35" spans="1:8" x14ac:dyDescent="0.25">
      <c r="A35" s="16"/>
      <c r="B35" s="16"/>
      <c r="C35" s="27"/>
      <c r="D35" s="16"/>
      <c r="E35" s="17"/>
      <c r="F35" s="18"/>
      <c r="G35" s="17"/>
      <c r="H35" s="17"/>
    </row>
    <row r="36" spans="1:8" x14ac:dyDescent="0.25">
      <c r="A36" s="16"/>
      <c r="B36" s="16"/>
      <c r="C36" s="27"/>
      <c r="D36" s="16"/>
      <c r="E36" s="17"/>
      <c r="F36" s="18"/>
      <c r="G36" s="17"/>
      <c r="H36" s="17"/>
    </row>
    <row r="37" spans="1:8" x14ac:dyDescent="0.25">
      <c r="A37" s="16"/>
      <c r="B37" s="16"/>
      <c r="C37" s="27"/>
      <c r="D37" s="16"/>
      <c r="E37" s="17"/>
      <c r="F37" s="18"/>
      <c r="G37" s="17"/>
      <c r="H37" s="17"/>
    </row>
    <row r="38" spans="1:8" x14ac:dyDescent="0.25">
      <c r="A38" s="16"/>
      <c r="B38" s="16"/>
      <c r="C38" s="27"/>
      <c r="D38" s="16"/>
      <c r="E38" s="17"/>
      <c r="F38" s="18"/>
      <c r="G38" s="17"/>
      <c r="H38" s="17"/>
    </row>
    <row r="39" spans="1:8" x14ac:dyDescent="0.25">
      <c r="A39" s="16"/>
      <c r="B39" s="16"/>
      <c r="C39" s="27"/>
      <c r="D39" s="16"/>
      <c r="E39" s="17"/>
      <c r="F39" s="18"/>
      <c r="G39" s="17"/>
      <c r="H39" s="17"/>
    </row>
    <row r="40" spans="1:8" x14ac:dyDescent="0.25">
      <c r="F40" s="58" t="s">
        <v>11</v>
      </c>
      <c r="G40" s="58"/>
      <c r="H40" s="19"/>
    </row>
    <row r="41" spans="1:8" x14ac:dyDescent="0.25">
      <c r="B41" s="3"/>
      <c r="F41" s="59">
        <v>0.19</v>
      </c>
      <c r="G41" s="59"/>
      <c r="H41" s="19"/>
    </row>
    <row r="42" spans="1:8" x14ac:dyDescent="0.25">
      <c r="F42" s="58" t="s">
        <v>13</v>
      </c>
      <c r="G42" s="58"/>
      <c r="H42" s="19"/>
    </row>
    <row r="43" spans="1:8" ht="6.95" customHeight="1" x14ac:dyDescent="0.25"/>
    <row r="44" spans="1:8" x14ac:dyDescent="0.25">
      <c r="A44" s="61" t="s">
        <v>160</v>
      </c>
      <c r="B44" s="61"/>
      <c r="C44" s="61"/>
      <c r="D44" s="61"/>
      <c r="E44" s="61"/>
      <c r="F44" s="61"/>
      <c r="G44" s="61"/>
      <c r="H44" s="61"/>
    </row>
    <row r="45" spans="1:8" x14ac:dyDescent="0.25">
      <c r="A45" s="61"/>
      <c r="B45" s="61"/>
      <c r="C45" s="61"/>
      <c r="D45" s="61"/>
      <c r="E45" s="61"/>
      <c r="F45" s="61"/>
      <c r="G45" s="61"/>
      <c r="H45" s="61"/>
    </row>
    <row r="46" spans="1:8" ht="6.95" customHeight="1" x14ac:dyDescent="0.25"/>
    <row r="47" spans="1:8" ht="15" customHeight="1" x14ac:dyDescent="0.25">
      <c r="A47" s="61" t="s">
        <v>156</v>
      </c>
      <c r="B47" s="61"/>
      <c r="C47" s="61"/>
      <c r="D47" s="61"/>
      <c r="E47" s="61"/>
      <c r="F47" s="61"/>
      <c r="G47" s="61"/>
      <c r="H47" s="61"/>
    </row>
    <row r="48" spans="1:8" ht="6.95" customHeight="1" x14ac:dyDescent="0.25">
      <c r="A48" s="7"/>
      <c r="B48" s="7"/>
      <c r="C48" s="7"/>
      <c r="D48" s="7"/>
      <c r="E48" s="7"/>
      <c r="F48" s="7"/>
      <c r="G48" s="7"/>
      <c r="H48" s="7"/>
    </row>
    <row r="49" spans="1:1" x14ac:dyDescent="0.25">
      <c r="A49" t="s">
        <v>157</v>
      </c>
    </row>
  </sheetData>
  <mergeCells count="17">
    <mergeCell ref="F40:G40"/>
    <mergeCell ref="F41:G41"/>
    <mergeCell ref="F42:G42"/>
    <mergeCell ref="A44:H45"/>
    <mergeCell ref="A47:H47"/>
    <mergeCell ref="G3:H3"/>
    <mergeCell ref="G4:H4"/>
    <mergeCell ref="G5:H5"/>
    <mergeCell ref="G6:H6"/>
    <mergeCell ref="G7:H7"/>
    <mergeCell ref="G13:H13"/>
    <mergeCell ref="A5:C5"/>
    <mergeCell ref="G8:H8"/>
    <mergeCell ref="G9:H9"/>
    <mergeCell ref="G10:H10"/>
    <mergeCell ref="G11:H11"/>
    <mergeCell ref="G12:H12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legacyDrawingHF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Artikel!$A$2:$A$23</xm:f>
          </x14:formula1>
          <xm:sqref>C25:C39</xm:sqref>
        </x14:dataValidation>
        <x14:dataValidation type="list" allowBlank="1" showInputMessage="1" showErrorMessage="1" xr:uid="{00000000-0002-0000-00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000-000002000000}">
          <x14:formula1>
            <xm:f>Hilfsdaten!$B$10:$B$13</xm:f>
          </x14:formula1>
          <xm:sqref>A44:H45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A1:H48"/>
  <sheetViews>
    <sheetView zoomScaleNormal="100" workbookViewId="0">
      <selection activeCell="D25" sqref="D25"/>
    </sheetView>
  </sheetViews>
  <sheetFormatPr baseColWidth="10" defaultColWidth="11.42578125" defaultRowHeight="15" x14ac:dyDescent="0.25"/>
  <cols>
    <col min="1" max="1" width="6.42578125" style="25" customWidth="1"/>
    <col min="2" max="2" width="8.140625" style="25" customWidth="1"/>
    <col min="3" max="3" width="28" style="25" customWidth="1"/>
    <col min="4" max="4" width="7.85546875" style="25" customWidth="1"/>
    <col min="5" max="5" width="11.42578125" style="25" customWidth="1"/>
    <col min="6" max="6" width="7.5703125" style="25" customWidth="1"/>
    <col min="7" max="8" width="10" style="25" customWidth="1"/>
    <col min="9" max="16384" width="11.42578125" style="25"/>
  </cols>
  <sheetData>
    <row r="1" spans="1:8" x14ac:dyDescent="0.25">
      <c r="A1" s="21">
        <v>9</v>
      </c>
    </row>
    <row r="3" spans="1:8" x14ac:dyDescent="0.25">
      <c r="E3" s="1" t="s">
        <v>148</v>
      </c>
      <c r="G3" s="55"/>
      <c r="H3" s="55"/>
    </row>
    <row r="4" spans="1:8" x14ac:dyDescent="0.25">
      <c r="E4" s="1" t="s">
        <v>147</v>
      </c>
      <c r="G4" s="55"/>
      <c r="H4" s="55"/>
    </row>
    <row r="5" spans="1:8" x14ac:dyDescent="0.25">
      <c r="A5" s="57" t="s">
        <v>0</v>
      </c>
      <c r="B5" s="57"/>
      <c r="C5" s="57"/>
      <c r="E5" s="1" t="s">
        <v>146</v>
      </c>
      <c r="G5" s="55"/>
      <c r="H5" s="55"/>
    </row>
    <row r="6" spans="1:8" x14ac:dyDescent="0.25">
      <c r="E6" s="1" t="s">
        <v>149</v>
      </c>
      <c r="G6" s="55"/>
      <c r="H6" s="55"/>
    </row>
    <row r="7" spans="1:8" x14ac:dyDescent="0.25">
      <c r="A7" s="25" t="str">
        <f>IFERROR(VLOOKUP(A6,Kunden!$A$1:$N$15,2,0),"")</f>
        <v/>
      </c>
      <c r="G7" s="55"/>
      <c r="H7" s="55"/>
    </row>
    <row r="8" spans="1:8" x14ac:dyDescent="0.25">
      <c r="A8" s="25" t="str">
        <f>IFERROR(VLOOKUP(A6,Kunden!$A$1:$N$15,4,0),"")</f>
        <v/>
      </c>
      <c r="E8" s="1" t="s">
        <v>150</v>
      </c>
      <c r="G8" s="55"/>
      <c r="H8" s="55"/>
    </row>
    <row r="9" spans="1:8" x14ac:dyDescent="0.25">
      <c r="A9" s="11" t="str">
        <f>IFERROR(VLOOKUP(A6,Kunden!$A$1:$N$15,5,0),"")</f>
        <v/>
      </c>
      <c r="B9" s="25" t="str">
        <f>IFERROR(VLOOKUP(A6,Kunden!$A$1:$N$15,6,0),"")</f>
        <v/>
      </c>
      <c r="E9" s="1" t="s">
        <v>151</v>
      </c>
      <c r="G9" s="55"/>
      <c r="H9" s="55"/>
    </row>
    <row r="10" spans="1:8" x14ac:dyDescent="0.25">
      <c r="E10" s="1" t="s">
        <v>152</v>
      </c>
      <c r="G10" s="55"/>
      <c r="H10" s="55"/>
    </row>
    <row r="11" spans="1:8" x14ac:dyDescent="0.25">
      <c r="E11" s="1" t="s">
        <v>153</v>
      </c>
      <c r="G11" s="55"/>
      <c r="H11" s="55"/>
    </row>
    <row r="12" spans="1:8" ht="6.95" customHeight="1" x14ac:dyDescent="0.25">
      <c r="G12" s="55"/>
      <c r="H12" s="55"/>
    </row>
    <row r="13" spans="1:8" x14ac:dyDescent="0.25">
      <c r="C13" s="10"/>
      <c r="E13" s="1" t="s">
        <v>154</v>
      </c>
      <c r="G13" s="54">
        <f ca="1">TODAY()</f>
        <v>46245</v>
      </c>
      <c r="H13" s="55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165</v>
      </c>
      <c r="D16" s="2" t="str">
        <f ca="1">YEAR(TODAY())&amp;"010"&amp;A1</f>
        <v>20260109</v>
      </c>
    </row>
    <row r="17" spans="1:4" x14ac:dyDescent="0.25">
      <c r="A17" s="2" t="s">
        <v>1</v>
      </c>
      <c r="C17" s="8" t="str">
        <f>IFERROR(VLOOKUP(A6,Kunden!$A$1:$N$13,3,0),"")</f>
        <v/>
      </c>
    </row>
    <row r="18" spans="1:4" ht="6.95" customHeight="1" x14ac:dyDescent="0.25"/>
    <row r="19" spans="1:4" ht="6.95" customHeight="1" x14ac:dyDescent="0.25"/>
    <row r="20" spans="1:4" x14ac:dyDescent="0.25">
      <c r="A20" s="25" t="s">
        <v>2</v>
      </c>
    </row>
    <row r="21" spans="1:4" ht="6.95" customHeight="1" x14ac:dyDescent="0.25"/>
    <row r="22" spans="1:4" x14ac:dyDescent="0.25">
      <c r="A22" s="25" t="s">
        <v>161</v>
      </c>
    </row>
    <row r="23" spans="1:4" ht="6.95" customHeight="1" x14ac:dyDescent="0.25"/>
    <row r="24" spans="1:4" ht="30" x14ac:dyDescent="0.25">
      <c r="A24" s="13" t="s">
        <v>3</v>
      </c>
      <c r="B24" s="14" t="s">
        <v>4</v>
      </c>
      <c r="C24" s="14" t="s">
        <v>5</v>
      </c>
      <c r="D24" s="15" t="s">
        <v>6</v>
      </c>
    </row>
    <row r="25" spans="1:4" x14ac:dyDescent="0.25">
      <c r="A25" s="16" t="str">
        <f t="shared" ref="A25:A27" si="0">IF(C25&lt;&gt;"",ROW(A1),"")</f>
        <v/>
      </c>
      <c r="B25" s="16" t="str">
        <f>IFERROR(VLOOKUP(C25,Artikel!$A$2:$D$23,2,0),"")</f>
        <v/>
      </c>
      <c r="C25" s="16"/>
      <c r="D25" s="16"/>
    </row>
    <row r="26" spans="1:4" x14ac:dyDescent="0.25">
      <c r="A26" s="16" t="str">
        <f t="shared" si="0"/>
        <v/>
      </c>
      <c r="B26" s="16" t="str">
        <f>IFERROR(VLOOKUP(C26,Artikel!$A$2:$D$23,2,0),"")</f>
        <v/>
      </c>
      <c r="C26" s="16"/>
      <c r="D26" s="16"/>
    </row>
    <row r="27" spans="1:4" x14ac:dyDescent="0.25">
      <c r="A27" s="16" t="str">
        <f t="shared" si="0"/>
        <v/>
      </c>
      <c r="B27" s="16" t="str">
        <f>IFERROR(VLOOKUP(C27,Artikel!$A$2:$D$23,2,0),"")</f>
        <v/>
      </c>
      <c r="C27" s="16"/>
      <c r="D27" s="16"/>
    </row>
    <row r="28" spans="1:4" x14ac:dyDescent="0.25">
      <c r="A28" s="16" t="str">
        <f t="shared" ref="A28:A37" si="1">IF(C28&lt;&gt;"",ROW(A4),"")</f>
        <v/>
      </c>
      <c r="B28" s="16" t="str">
        <f>IFERROR(VLOOKUP(C28,Artikel!$A$2:$D$23,2,0),"")</f>
        <v/>
      </c>
      <c r="C28" s="16"/>
      <c r="D28" s="16"/>
    </row>
    <row r="29" spans="1:4" x14ac:dyDescent="0.25">
      <c r="A29" s="16" t="str">
        <f t="shared" si="1"/>
        <v/>
      </c>
      <c r="B29" s="16" t="str">
        <f>IFERROR(VLOOKUP(C29,Artikel!$A$2:$D$23,2,0),"")</f>
        <v/>
      </c>
      <c r="C29" s="16"/>
      <c r="D29" s="16"/>
    </row>
    <row r="30" spans="1:4" x14ac:dyDescent="0.25">
      <c r="A30" s="16" t="str">
        <f t="shared" si="1"/>
        <v/>
      </c>
      <c r="B30" s="16" t="str">
        <f>IFERROR(VLOOKUP(C30,Artikel!$A$2:$D$23,2,0),"")</f>
        <v/>
      </c>
      <c r="C30" s="16"/>
      <c r="D30" s="16"/>
    </row>
    <row r="31" spans="1:4" x14ac:dyDescent="0.25">
      <c r="A31" s="16" t="str">
        <f t="shared" si="1"/>
        <v/>
      </c>
      <c r="B31" s="16" t="str">
        <f>IFERROR(VLOOKUP(C31,Artikel!$A$2:$D$23,2,0),"")</f>
        <v/>
      </c>
      <c r="C31" s="16"/>
      <c r="D31" s="16"/>
    </row>
    <row r="32" spans="1:4" x14ac:dyDescent="0.25">
      <c r="A32" s="16" t="str">
        <f t="shared" si="1"/>
        <v/>
      </c>
      <c r="B32" s="16" t="str">
        <f>IFERROR(VLOOKUP(C32,Artikel!$A$2:$D$23,2,0),"")</f>
        <v/>
      </c>
      <c r="C32" s="16"/>
      <c r="D32" s="16"/>
    </row>
    <row r="33" spans="1:8" x14ac:dyDescent="0.25">
      <c r="A33" s="16" t="str">
        <f t="shared" si="1"/>
        <v/>
      </c>
      <c r="B33" s="16" t="str">
        <f>IFERROR(VLOOKUP(C33,Artikel!$A$2:$D$23,2,0),"")</f>
        <v/>
      </c>
      <c r="C33" s="16"/>
      <c r="D33" s="16"/>
    </row>
    <row r="34" spans="1:8" x14ac:dyDescent="0.25">
      <c r="A34" s="16" t="str">
        <f t="shared" si="1"/>
        <v/>
      </c>
      <c r="B34" s="16" t="str">
        <f>IFERROR(VLOOKUP(C34,Artikel!$A$2:$D$23,2,0),"")</f>
        <v/>
      </c>
      <c r="C34" s="16"/>
      <c r="D34" s="16"/>
    </row>
    <row r="35" spans="1:8" x14ac:dyDescent="0.25">
      <c r="A35" s="16" t="str">
        <f t="shared" si="1"/>
        <v/>
      </c>
      <c r="B35" s="16" t="str">
        <f>IFERROR(VLOOKUP(C35,Artikel!$A$2:$D$23,2,0),"")</f>
        <v/>
      </c>
      <c r="C35" s="16"/>
      <c r="D35" s="16"/>
    </row>
    <row r="36" spans="1:8" x14ac:dyDescent="0.25">
      <c r="A36" s="16" t="str">
        <f t="shared" si="1"/>
        <v/>
      </c>
      <c r="B36" s="16" t="str">
        <f>IFERROR(VLOOKUP(C36,Artikel!$A$2:$D$23,2,0),"")</f>
        <v/>
      </c>
      <c r="C36" s="16"/>
      <c r="D36" s="16"/>
    </row>
    <row r="37" spans="1:8" x14ac:dyDescent="0.25">
      <c r="A37" s="16" t="str">
        <f t="shared" si="1"/>
        <v/>
      </c>
      <c r="B37" s="16" t="str">
        <f>IFERROR(VLOOKUP(C37,Artikel!$A$2:$D$23,2,0),"")</f>
        <v/>
      </c>
      <c r="C37" s="16"/>
      <c r="D37" s="16"/>
    </row>
    <row r="38" spans="1:8" x14ac:dyDescent="0.25">
      <c r="A38" s="16" t="str">
        <f>IF(C38&lt;&gt;"",ROW(A15),"")</f>
        <v/>
      </c>
      <c r="B38" s="16" t="str">
        <f>IFERROR(VLOOKUP(C38,Artikel!$A$2:$D$23,2,0),"")</f>
        <v/>
      </c>
      <c r="C38" s="16"/>
      <c r="D38" s="16"/>
    </row>
    <row r="39" spans="1:8" x14ac:dyDescent="0.25">
      <c r="A39" s="16" t="str">
        <f>IF(C39&lt;&gt;"",ROW(A16),"")</f>
        <v/>
      </c>
      <c r="B39" s="16" t="str">
        <f>IFERROR(VLOOKUP(C39,Artikel!$A$2:$D$23,2,0),"")</f>
        <v/>
      </c>
      <c r="C39" s="16"/>
      <c r="D39" s="16"/>
    </row>
    <row r="40" spans="1:8" x14ac:dyDescent="0.25">
      <c r="F40" s="63"/>
      <c r="G40" s="63"/>
      <c r="H40" s="26"/>
    </row>
    <row r="41" spans="1:8" x14ac:dyDescent="0.25">
      <c r="B41" s="3"/>
      <c r="F41" s="64"/>
      <c r="G41" s="64"/>
      <c r="H41" s="26"/>
    </row>
    <row r="42" spans="1:8" x14ac:dyDescent="0.25">
      <c r="F42" s="63"/>
      <c r="G42" s="63"/>
      <c r="H42" s="26"/>
    </row>
    <row r="43" spans="1:8" ht="6.95" customHeight="1" x14ac:dyDescent="0.25"/>
    <row r="44" spans="1:8" x14ac:dyDescent="0.25">
      <c r="A44" s="61" t="s">
        <v>162</v>
      </c>
      <c r="B44" s="61"/>
      <c r="C44" s="61"/>
      <c r="D44" s="61"/>
      <c r="E44" s="61"/>
      <c r="F44" s="61"/>
      <c r="G44" s="61"/>
      <c r="H44" s="61"/>
    </row>
    <row r="45" spans="1:8" x14ac:dyDescent="0.25">
      <c r="A45" s="61"/>
      <c r="B45" s="61"/>
      <c r="C45" s="61"/>
      <c r="D45" s="61"/>
      <c r="E45" s="61"/>
      <c r="F45" s="61"/>
      <c r="G45" s="61"/>
      <c r="H45" s="61"/>
    </row>
    <row r="46" spans="1:8" ht="15" customHeight="1" x14ac:dyDescent="0.25">
      <c r="A46" s="62" t="s">
        <v>163</v>
      </c>
      <c r="B46" s="62"/>
      <c r="C46" s="62"/>
      <c r="D46" s="24"/>
      <c r="E46" s="24"/>
      <c r="F46" s="24"/>
      <c r="G46" s="24"/>
      <c r="H46" s="24"/>
    </row>
    <row r="47" spans="1:8" ht="6.95" customHeight="1" x14ac:dyDescent="0.25">
      <c r="A47" s="24"/>
      <c r="B47" s="24"/>
      <c r="C47" s="24"/>
      <c r="D47" s="24"/>
      <c r="E47" s="24"/>
      <c r="F47" s="24"/>
      <c r="G47" s="24"/>
      <c r="H47" s="24"/>
    </row>
    <row r="48" spans="1:8" x14ac:dyDescent="0.25">
      <c r="A48" s="55"/>
      <c r="B48" s="55"/>
    </row>
  </sheetData>
  <mergeCells count="18">
    <mergeCell ref="A48:B48"/>
    <mergeCell ref="A46:C46"/>
    <mergeCell ref="F40:G40"/>
    <mergeCell ref="F41:G41"/>
    <mergeCell ref="F42:G42"/>
    <mergeCell ref="A44:H45"/>
    <mergeCell ref="G13:H13"/>
    <mergeCell ref="G3:H3"/>
    <mergeCell ref="G4:H4"/>
    <mergeCell ref="A5:C5"/>
    <mergeCell ref="G5:H5"/>
    <mergeCell ref="G6:H6"/>
    <mergeCell ref="G7:H7"/>
    <mergeCell ref="G8:H8"/>
    <mergeCell ref="G9:H9"/>
    <mergeCell ref="G10:H10"/>
    <mergeCell ref="G11:H11"/>
    <mergeCell ref="G12:H12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legacyDrawingHF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Hilfsdaten!$B$10:$B$28</xm:f>
          </x14:formula1>
          <xm:sqref>A44:H45</xm:sqref>
        </x14:dataValidation>
        <x14:dataValidation type="list" allowBlank="1" showInputMessage="1" showErrorMessage="1" xr:uid="{00000000-0002-0000-01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100-000002000000}">
          <x14:formula1>
            <xm:f>Artikel!$A$2:$A$23</xm:f>
          </x14:formula1>
          <xm:sqref>C25:C39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E54"/>
  <sheetViews>
    <sheetView workbookViewId="0">
      <selection activeCell="G12" sqref="G12"/>
    </sheetView>
  </sheetViews>
  <sheetFormatPr baseColWidth="10" defaultRowHeight="15" x14ac:dyDescent="0.25"/>
  <cols>
    <col min="1" max="1" width="40.28515625" style="33" bestFit="1" customWidth="1"/>
    <col min="2" max="3" width="15.7109375" style="33" customWidth="1"/>
    <col min="4" max="4" width="15.7109375" style="36" customWidth="1"/>
    <col min="5" max="16384" width="11.42578125" style="33"/>
  </cols>
  <sheetData>
    <row r="1" spans="1:4" x14ac:dyDescent="0.25">
      <c r="A1" s="28" t="s">
        <v>15</v>
      </c>
      <c r="B1" s="29" t="s">
        <v>14</v>
      </c>
      <c r="C1" s="29" t="s">
        <v>16</v>
      </c>
      <c r="D1" s="30" t="s">
        <v>17</v>
      </c>
    </row>
    <row r="2" spans="1:4" x14ac:dyDescent="0.25">
      <c r="A2" s="34" t="s">
        <v>18</v>
      </c>
      <c r="B2" s="34">
        <v>101111</v>
      </c>
      <c r="C2" s="34">
        <v>10</v>
      </c>
      <c r="D2" s="31">
        <v>489</v>
      </c>
    </row>
    <row r="3" spans="1:4" x14ac:dyDescent="0.25">
      <c r="A3" s="34" t="s">
        <v>19</v>
      </c>
      <c r="B3" s="34">
        <v>101112</v>
      </c>
      <c r="C3" s="34">
        <v>10</v>
      </c>
      <c r="D3" s="31">
        <v>519</v>
      </c>
    </row>
    <row r="4" spans="1:4" x14ac:dyDescent="0.25">
      <c r="A4" s="34" t="s">
        <v>20</v>
      </c>
      <c r="B4" s="34">
        <v>101113</v>
      </c>
      <c r="C4" s="34">
        <v>10</v>
      </c>
      <c r="D4" s="31">
        <v>219</v>
      </c>
    </row>
    <row r="5" spans="1:4" x14ac:dyDescent="0.25">
      <c r="A5" s="34" t="s">
        <v>21</v>
      </c>
      <c r="B5" s="34">
        <v>101114</v>
      </c>
      <c r="C5" s="34">
        <v>10</v>
      </c>
      <c r="D5" s="31">
        <v>98</v>
      </c>
    </row>
    <row r="6" spans="1:4" x14ac:dyDescent="0.25">
      <c r="A6" s="34" t="s">
        <v>22</v>
      </c>
      <c r="B6" s="34">
        <v>101115</v>
      </c>
      <c r="C6" s="34">
        <v>10</v>
      </c>
      <c r="D6" s="31">
        <v>579</v>
      </c>
    </row>
    <row r="7" spans="1:4" x14ac:dyDescent="0.25">
      <c r="A7" s="34"/>
      <c r="B7" s="34"/>
      <c r="C7" s="34"/>
      <c r="D7" s="31"/>
    </row>
    <row r="8" spans="1:4" x14ac:dyDescent="0.25">
      <c r="A8" s="34" t="s">
        <v>23</v>
      </c>
      <c r="B8" s="34">
        <v>202111</v>
      </c>
      <c r="C8" s="34">
        <v>20</v>
      </c>
      <c r="D8" s="31">
        <v>228</v>
      </c>
    </row>
    <row r="9" spans="1:4" x14ac:dyDescent="0.25">
      <c r="A9" s="34" t="s">
        <v>24</v>
      </c>
      <c r="B9" s="34">
        <v>202112</v>
      </c>
      <c r="C9" s="34">
        <v>20</v>
      </c>
      <c r="D9" s="31">
        <v>299</v>
      </c>
    </row>
    <row r="10" spans="1:4" x14ac:dyDescent="0.25">
      <c r="A10" s="34" t="s">
        <v>25</v>
      </c>
      <c r="B10" s="34">
        <v>202113</v>
      </c>
      <c r="C10" s="34">
        <v>20</v>
      </c>
      <c r="D10" s="31">
        <v>399</v>
      </c>
    </row>
    <row r="11" spans="1:4" x14ac:dyDescent="0.25">
      <c r="A11" s="34" t="s">
        <v>26</v>
      </c>
      <c r="B11" s="34">
        <v>202114</v>
      </c>
      <c r="C11" s="34">
        <v>20</v>
      </c>
      <c r="D11" s="31">
        <v>349</v>
      </c>
    </row>
    <row r="12" spans="1:4" x14ac:dyDescent="0.25">
      <c r="A12" s="34" t="s">
        <v>27</v>
      </c>
      <c r="B12" s="34">
        <v>202115</v>
      </c>
      <c r="C12" s="34">
        <v>20</v>
      </c>
      <c r="D12" s="31">
        <v>59</v>
      </c>
    </row>
    <row r="13" spans="1:4" ht="15.75" x14ac:dyDescent="0.25">
      <c r="A13" s="35"/>
      <c r="B13" s="34"/>
      <c r="C13" s="34"/>
      <c r="D13" s="31"/>
    </row>
    <row r="14" spans="1:4" x14ac:dyDescent="0.25">
      <c r="A14" s="32" t="s">
        <v>28</v>
      </c>
      <c r="B14" s="34">
        <v>300212</v>
      </c>
      <c r="C14" s="34">
        <v>30</v>
      </c>
      <c r="D14" s="31">
        <v>79</v>
      </c>
    </row>
    <row r="15" spans="1:4" x14ac:dyDescent="0.25">
      <c r="A15" s="34" t="s">
        <v>29</v>
      </c>
      <c r="B15" s="34">
        <v>300213</v>
      </c>
      <c r="C15" s="34">
        <v>30</v>
      </c>
      <c r="D15" s="31">
        <v>150</v>
      </c>
    </row>
    <row r="16" spans="1:4" x14ac:dyDescent="0.25">
      <c r="A16" s="34" t="s">
        <v>30</v>
      </c>
      <c r="B16" s="34">
        <v>301111</v>
      </c>
      <c r="C16" s="34">
        <v>30</v>
      </c>
      <c r="D16" s="31">
        <v>59</v>
      </c>
    </row>
    <row r="17" spans="1:5" x14ac:dyDescent="0.25">
      <c r="A17" s="34" t="s">
        <v>31</v>
      </c>
      <c r="B17" s="34">
        <v>302222</v>
      </c>
      <c r="C17" s="34">
        <v>30</v>
      </c>
      <c r="D17" s="31">
        <v>275</v>
      </c>
    </row>
    <row r="18" spans="1:5" x14ac:dyDescent="0.25">
      <c r="A18" s="34"/>
      <c r="B18" s="34"/>
      <c r="C18" s="34"/>
      <c r="D18" s="31"/>
    </row>
    <row r="19" spans="1:5" x14ac:dyDescent="0.25">
      <c r="A19" s="34" t="s">
        <v>32</v>
      </c>
      <c r="B19" s="34">
        <v>401589</v>
      </c>
      <c r="C19" s="34">
        <v>40</v>
      </c>
      <c r="D19" s="31">
        <v>36</v>
      </c>
    </row>
    <row r="20" spans="1:5" x14ac:dyDescent="0.25">
      <c r="A20" s="34"/>
      <c r="B20" s="34"/>
      <c r="C20" s="34"/>
      <c r="D20" s="31"/>
    </row>
    <row r="21" spans="1:5" x14ac:dyDescent="0.25">
      <c r="A21" s="34" t="s">
        <v>33</v>
      </c>
      <c r="B21" s="34">
        <v>885961</v>
      </c>
      <c r="C21" s="34">
        <v>88</v>
      </c>
      <c r="D21" s="31">
        <v>399</v>
      </c>
      <c r="E21" s="5"/>
    </row>
    <row r="22" spans="1:5" x14ac:dyDescent="0.25">
      <c r="A22" s="34" t="s">
        <v>34</v>
      </c>
      <c r="B22" s="34">
        <v>885963</v>
      </c>
      <c r="C22" s="34">
        <v>88</v>
      </c>
      <c r="D22" s="31">
        <v>449</v>
      </c>
      <c r="E22" s="6"/>
    </row>
    <row r="23" spans="1:5" x14ac:dyDescent="0.25">
      <c r="A23" s="34" t="s">
        <v>35</v>
      </c>
      <c r="B23" s="34">
        <v>885965</v>
      </c>
      <c r="C23" s="34">
        <v>88</v>
      </c>
      <c r="D23" s="31">
        <v>599</v>
      </c>
    </row>
    <row r="24" spans="1:5" x14ac:dyDescent="0.25">
      <c r="D24" s="4"/>
    </row>
    <row r="25" spans="1:5" x14ac:dyDescent="0.25">
      <c r="D25" s="4"/>
    </row>
    <row r="26" spans="1:5" x14ac:dyDescent="0.25">
      <c r="D26" s="4"/>
    </row>
    <row r="27" spans="1:5" x14ac:dyDescent="0.25">
      <c r="D27" s="4"/>
    </row>
    <row r="28" spans="1:5" x14ac:dyDescent="0.25">
      <c r="D28" s="4"/>
    </row>
    <row r="29" spans="1:5" x14ac:dyDescent="0.25">
      <c r="D29" s="4"/>
    </row>
    <row r="30" spans="1:5" x14ac:dyDescent="0.25">
      <c r="D30" s="4"/>
    </row>
    <row r="31" spans="1:5" x14ac:dyDescent="0.25">
      <c r="D31" s="4"/>
    </row>
    <row r="32" spans="1:5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  <row r="46" spans="4:4" x14ac:dyDescent="0.25">
      <c r="D46" s="4"/>
    </row>
    <row r="47" spans="4:4" x14ac:dyDescent="0.25">
      <c r="D47" s="4"/>
    </row>
    <row r="48" spans="4: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>
    <pageSetUpPr fitToPage="1"/>
  </sheetPr>
  <dimension ref="A1:N17"/>
  <sheetViews>
    <sheetView workbookViewId="0">
      <selection activeCell="F23" sqref="F23"/>
    </sheetView>
  </sheetViews>
  <sheetFormatPr baseColWidth="10" defaultColWidth="11.42578125" defaultRowHeight="15" x14ac:dyDescent="0.25"/>
  <cols>
    <col min="1" max="1" width="23" style="37" bestFit="1" customWidth="1"/>
    <col min="2" max="2" width="25" style="37" bestFit="1" customWidth="1"/>
    <col min="3" max="3" width="11.28515625" style="37" bestFit="1" customWidth="1"/>
    <col min="4" max="4" width="19.85546875" style="37" bestFit="1" customWidth="1"/>
    <col min="5" max="5" width="6" style="37" bestFit="1" customWidth="1"/>
    <col min="6" max="6" width="11.85546875" style="37" bestFit="1" customWidth="1"/>
    <col min="7" max="7" width="14.140625" style="37" bestFit="1" customWidth="1"/>
    <col min="8" max="8" width="9" style="37" bestFit="1" customWidth="1"/>
    <col min="9" max="9" width="41.28515625" style="37" bestFit="1" customWidth="1"/>
    <col min="10" max="10" width="25.7109375" style="37" bestFit="1" customWidth="1"/>
    <col min="11" max="11" width="16.5703125" style="37" bestFit="1" customWidth="1"/>
    <col min="12" max="12" width="15.85546875" style="37" bestFit="1" customWidth="1"/>
    <col min="13" max="13" width="12.140625" style="37" bestFit="1" customWidth="1"/>
    <col min="14" max="14" width="10.42578125" style="37" bestFit="1" customWidth="1"/>
    <col min="15" max="16384" width="11.42578125" style="37"/>
  </cols>
  <sheetData>
    <row r="1" spans="1:14" ht="30" x14ac:dyDescent="0.25">
      <c r="A1" s="49" t="s">
        <v>37</v>
      </c>
      <c r="B1" s="50" t="s">
        <v>38</v>
      </c>
      <c r="C1" s="50" t="s">
        <v>36</v>
      </c>
      <c r="D1" s="50" t="s">
        <v>39</v>
      </c>
      <c r="E1" s="50" t="s">
        <v>40</v>
      </c>
      <c r="F1" s="50" t="s">
        <v>41</v>
      </c>
      <c r="G1" s="50" t="s">
        <v>42</v>
      </c>
      <c r="H1" s="50" t="s">
        <v>43</v>
      </c>
      <c r="I1" s="50" t="s">
        <v>44</v>
      </c>
      <c r="J1" s="50" t="s">
        <v>45</v>
      </c>
      <c r="K1" s="50" t="s">
        <v>46</v>
      </c>
      <c r="L1" s="51" t="s">
        <v>47</v>
      </c>
      <c r="M1" s="50" t="s">
        <v>48</v>
      </c>
      <c r="N1" s="50" t="s">
        <v>49</v>
      </c>
    </row>
    <row r="2" spans="1:14" x14ac:dyDescent="0.25">
      <c r="A2" s="38" t="s">
        <v>50</v>
      </c>
      <c r="B2" s="38" t="s">
        <v>51</v>
      </c>
      <c r="C2" s="39">
        <v>2401</v>
      </c>
      <c r="D2" s="40" t="s">
        <v>52</v>
      </c>
      <c r="E2" s="41">
        <v>38700</v>
      </c>
      <c r="F2" s="40" t="s">
        <v>53</v>
      </c>
      <c r="G2" s="42" t="s">
        <v>54</v>
      </c>
      <c r="H2" s="39">
        <v>25090500</v>
      </c>
      <c r="I2" s="43" t="s">
        <v>55</v>
      </c>
      <c r="J2" s="44" t="s">
        <v>56</v>
      </c>
      <c r="K2" s="38" t="s">
        <v>57</v>
      </c>
      <c r="L2" s="44" t="s">
        <v>58</v>
      </c>
      <c r="M2" s="45">
        <v>5</v>
      </c>
      <c r="N2" s="46">
        <v>38438</v>
      </c>
    </row>
    <row r="3" spans="1:14" x14ac:dyDescent="0.25">
      <c r="A3" s="38" t="s">
        <v>59</v>
      </c>
      <c r="B3" s="38" t="s">
        <v>60</v>
      </c>
      <c r="C3" s="39">
        <v>2402</v>
      </c>
      <c r="D3" s="40" t="s">
        <v>61</v>
      </c>
      <c r="E3" s="41">
        <v>57074</v>
      </c>
      <c r="F3" s="40" t="s">
        <v>62</v>
      </c>
      <c r="G3" s="42" t="s">
        <v>63</v>
      </c>
      <c r="H3" s="39">
        <v>46040033</v>
      </c>
      <c r="I3" s="43" t="s">
        <v>64</v>
      </c>
      <c r="J3" s="44" t="s">
        <v>65</v>
      </c>
      <c r="K3" s="38" t="s">
        <v>66</v>
      </c>
      <c r="L3" s="44" t="s">
        <v>67</v>
      </c>
      <c r="M3" s="45">
        <v>7.5</v>
      </c>
      <c r="N3" s="46">
        <v>38722</v>
      </c>
    </row>
    <row r="4" spans="1:14" x14ac:dyDescent="0.25">
      <c r="A4" s="38" t="s">
        <v>68</v>
      </c>
      <c r="B4" s="38" t="s">
        <v>69</v>
      </c>
      <c r="C4" s="39">
        <v>2403</v>
      </c>
      <c r="D4" s="40" t="s">
        <v>70</v>
      </c>
      <c r="E4" s="41">
        <v>53103</v>
      </c>
      <c r="F4" s="40" t="s">
        <v>71</v>
      </c>
      <c r="G4" s="42" t="s">
        <v>72</v>
      </c>
      <c r="H4" s="39">
        <v>30050000</v>
      </c>
      <c r="I4" s="43" t="s">
        <v>73</v>
      </c>
      <c r="J4" s="44" t="s">
        <v>74</v>
      </c>
      <c r="K4" s="38" t="s">
        <v>75</v>
      </c>
      <c r="L4" s="44" t="s">
        <v>67</v>
      </c>
      <c r="M4" s="45">
        <v>0</v>
      </c>
      <c r="N4" s="46">
        <v>38842</v>
      </c>
    </row>
    <row r="5" spans="1:14" x14ac:dyDescent="0.25">
      <c r="A5" s="38" t="s">
        <v>76</v>
      </c>
      <c r="B5" s="38" t="s">
        <v>77</v>
      </c>
      <c r="C5" s="39">
        <v>2404</v>
      </c>
      <c r="D5" s="40" t="s">
        <v>78</v>
      </c>
      <c r="E5" s="41">
        <v>69117</v>
      </c>
      <c r="F5" s="40" t="s">
        <v>79</v>
      </c>
      <c r="G5" s="42" t="s">
        <v>80</v>
      </c>
      <c r="H5" s="39">
        <v>67250020</v>
      </c>
      <c r="I5" s="43" t="s">
        <v>81</v>
      </c>
      <c r="J5" s="44" t="s">
        <v>82</v>
      </c>
      <c r="K5" s="38" t="s">
        <v>83</v>
      </c>
      <c r="L5" s="44" t="s">
        <v>58</v>
      </c>
      <c r="M5" s="45">
        <v>5</v>
      </c>
      <c r="N5" s="46">
        <v>39346</v>
      </c>
    </row>
    <row r="6" spans="1:14" x14ac:dyDescent="0.25">
      <c r="A6" s="38" t="s">
        <v>84</v>
      </c>
      <c r="B6" s="38" t="s">
        <v>85</v>
      </c>
      <c r="C6" s="39">
        <v>2405</v>
      </c>
      <c r="D6" s="40" t="s">
        <v>86</v>
      </c>
      <c r="E6" s="41">
        <v>22866</v>
      </c>
      <c r="F6" s="40" t="s">
        <v>87</v>
      </c>
      <c r="G6" s="42" t="s">
        <v>88</v>
      </c>
      <c r="H6" s="39">
        <v>20050550</v>
      </c>
      <c r="I6" s="43" t="s">
        <v>89</v>
      </c>
      <c r="J6" s="44" t="s">
        <v>90</v>
      </c>
      <c r="K6" s="38" t="s">
        <v>91</v>
      </c>
      <c r="L6" s="44" t="s">
        <v>58</v>
      </c>
      <c r="M6" s="45">
        <v>10</v>
      </c>
      <c r="N6" s="46">
        <v>39535</v>
      </c>
    </row>
    <row r="7" spans="1:14" x14ac:dyDescent="0.25">
      <c r="A7" s="38" t="s">
        <v>92</v>
      </c>
      <c r="B7" s="38" t="s">
        <v>93</v>
      </c>
      <c r="C7" s="39">
        <v>2406</v>
      </c>
      <c r="D7" s="40" t="s">
        <v>94</v>
      </c>
      <c r="E7" s="41">
        <v>6618</v>
      </c>
      <c r="F7" s="40" t="s">
        <v>95</v>
      </c>
      <c r="G7" s="42" t="s">
        <v>96</v>
      </c>
      <c r="H7" s="39">
        <v>80063648</v>
      </c>
      <c r="I7" s="43" t="s">
        <v>97</v>
      </c>
      <c r="J7" s="44" t="s">
        <v>98</v>
      </c>
      <c r="K7" s="38" t="s">
        <v>99</v>
      </c>
      <c r="L7" s="44" t="s">
        <v>67</v>
      </c>
      <c r="M7" s="45">
        <v>5</v>
      </c>
      <c r="N7" s="46">
        <v>39597</v>
      </c>
    </row>
    <row r="8" spans="1:14" x14ac:dyDescent="0.25">
      <c r="A8" s="38" t="s">
        <v>100</v>
      </c>
      <c r="B8" s="38" t="s">
        <v>101</v>
      </c>
      <c r="C8" s="39">
        <v>2407</v>
      </c>
      <c r="D8" s="40" t="s">
        <v>102</v>
      </c>
      <c r="E8" s="41">
        <v>56077</v>
      </c>
      <c r="F8" s="40" t="s">
        <v>103</v>
      </c>
      <c r="G8" s="42" t="s">
        <v>104</v>
      </c>
      <c r="H8" s="39">
        <v>50010060</v>
      </c>
      <c r="I8" s="43" t="s">
        <v>105</v>
      </c>
      <c r="J8" s="44" t="s">
        <v>106</v>
      </c>
      <c r="K8" s="38" t="s">
        <v>107</v>
      </c>
      <c r="L8" s="44" t="s">
        <v>58</v>
      </c>
      <c r="M8" s="45">
        <v>7.5</v>
      </c>
      <c r="N8" s="46">
        <v>39667</v>
      </c>
    </row>
    <row r="9" spans="1:14" x14ac:dyDescent="0.25">
      <c r="A9" s="38" t="s">
        <v>108</v>
      </c>
      <c r="B9" s="38" t="s">
        <v>109</v>
      </c>
      <c r="C9" s="39">
        <v>2408</v>
      </c>
      <c r="D9" s="40" t="s">
        <v>110</v>
      </c>
      <c r="E9" s="41">
        <v>68239</v>
      </c>
      <c r="F9" s="40" t="s">
        <v>111</v>
      </c>
      <c r="G9" s="42" t="s">
        <v>112</v>
      </c>
      <c r="H9" s="39">
        <v>37050299</v>
      </c>
      <c r="I9" s="43" t="s">
        <v>113</v>
      </c>
      <c r="J9" s="44" t="s">
        <v>114</v>
      </c>
      <c r="K9" s="38" t="s">
        <v>115</v>
      </c>
      <c r="L9" s="44" t="s">
        <v>67</v>
      </c>
      <c r="M9" s="45">
        <v>10</v>
      </c>
      <c r="N9" s="46">
        <v>39967</v>
      </c>
    </row>
    <row r="10" spans="1:14" x14ac:dyDescent="0.25">
      <c r="A10" s="38" t="s">
        <v>116</v>
      </c>
      <c r="B10" s="38" t="s">
        <v>117</v>
      </c>
      <c r="C10" s="39">
        <v>2409</v>
      </c>
      <c r="D10" s="40" t="s">
        <v>118</v>
      </c>
      <c r="E10" s="41">
        <v>60322</v>
      </c>
      <c r="F10" s="40" t="s">
        <v>119</v>
      </c>
      <c r="G10" s="42" t="s">
        <v>120</v>
      </c>
      <c r="H10" s="39">
        <v>50070024</v>
      </c>
      <c r="I10" s="43" t="s">
        <v>121</v>
      </c>
      <c r="J10" s="44" t="s">
        <v>122</v>
      </c>
      <c r="K10" s="38" t="s">
        <v>123</v>
      </c>
      <c r="L10" s="44" t="s">
        <v>67</v>
      </c>
      <c r="M10" s="45">
        <v>0</v>
      </c>
      <c r="N10" s="46">
        <v>40064</v>
      </c>
    </row>
    <row r="11" spans="1:14" ht="30" x14ac:dyDescent="0.25">
      <c r="A11" s="38" t="s">
        <v>124</v>
      </c>
      <c r="B11" s="38" t="s">
        <v>125</v>
      </c>
      <c r="C11" s="39">
        <v>2410</v>
      </c>
      <c r="D11" s="40" t="s">
        <v>126</v>
      </c>
      <c r="E11" s="41">
        <v>53188</v>
      </c>
      <c r="F11" s="40" t="s">
        <v>71</v>
      </c>
      <c r="G11" s="42" t="s">
        <v>127</v>
      </c>
      <c r="H11" s="39">
        <v>30060601</v>
      </c>
      <c r="I11" s="43" t="s">
        <v>128</v>
      </c>
      <c r="J11" s="44" t="s">
        <v>129</v>
      </c>
      <c r="K11" s="38" t="s">
        <v>130</v>
      </c>
      <c r="L11" s="44" t="s">
        <v>58</v>
      </c>
      <c r="M11" s="45">
        <v>0</v>
      </c>
      <c r="N11" s="46">
        <v>40191</v>
      </c>
    </row>
    <row r="12" spans="1:14" x14ac:dyDescent="0.25">
      <c r="A12" s="38" t="s">
        <v>131</v>
      </c>
      <c r="B12" s="38" t="s">
        <v>132</v>
      </c>
      <c r="C12" s="39">
        <v>2411</v>
      </c>
      <c r="D12" s="40" t="s">
        <v>133</v>
      </c>
      <c r="E12" s="41">
        <v>53332</v>
      </c>
      <c r="F12" s="40" t="s">
        <v>134</v>
      </c>
      <c r="G12" s="42" t="s">
        <v>135</v>
      </c>
      <c r="H12" s="39">
        <v>38060186</v>
      </c>
      <c r="I12" s="43" t="s">
        <v>136</v>
      </c>
      <c r="J12" s="44" t="s">
        <v>137</v>
      </c>
      <c r="K12" s="38" t="s">
        <v>138</v>
      </c>
      <c r="L12" s="44" t="s">
        <v>58</v>
      </c>
      <c r="M12" s="45">
        <v>5</v>
      </c>
      <c r="N12" s="46">
        <v>40730</v>
      </c>
    </row>
    <row r="13" spans="1:14" x14ac:dyDescent="0.25">
      <c r="A13" s="38" t="s">
        <v>139</v>
      </c>
      <c r="B13" s="38"/>
      <c r="C13" s="39">
        <v>2412</v>
      </c>
      <c r="D13" s="40" t="s">
        <v>140</v>
      </c>
      <c r="E13" s="41">
        <v>53721</v>
      </c>
      <c r="F13" s="40" t="s">
        <v>141</v>
      </c>
      <c r="G13" s="42" t="s">
        <v>142</v>
      </c>
      <c r="H13" s="39">
        <v>30050000</v>
      </c>
      <c r="I13" s="43" t="s">
        <v>73</v>
      </c>
      <c r="J13" s="44" t="s">
        <v>143</v>
      </c>
      <c r="K13" s="38" t="s">
        <v>144</v>
      </c>
      <c r="L13" s="44" t="s">
        <v>67</v>
      </c>
      <c r="M13" s="45">
        <v>0</v>
      </c>
      <c r="N13" s="46">
        <v>41171</v>
      </c>
    </row>
    <row r="14" spans="1:14" x14ac:dyDescent="0.25">
      <c r="A14" s="38"/>
      <c r="B14" s="38"/>
      <c r="C14" s="39"/>
      <c r="D14" s="40"/>
      <c r="E14" s="41"/>
      <c r="F14" s="40"/>
      <c r="G14" s="42"/>
      <c r="H14" s="39"/>
      <c r="I14" s="43"/>
      <c r="J14" s="44"/>
      <c r="K14" s="38"/>
      <c r="L14" s="44"/>
      <c r="M14" s="45"/>
      <c r="N14" s="46"/>
    </row>
    <row r="15" spans="1:14" x14ac:dyDescent="0.25">
      <c r="A15" s="38" t="s">
        <v>145</v>
      </c>
      <c r="B15" s="38"/>
      <c r="C15" s="39">
        <v>2499</v>
      </c>
      <c r="D15" s="40"/>
      <c r="E15" s="41"/>
      <c r="F15" s="40"/>
      <c r="G15" s="42"/>
      <c r="H15" s="39"/>
      <c r="I15" s="43"/>
      <c r="J15" s="44"/>
      <c r="K15" s="38"/>
      <c r="L15" s="44"/>
      <c r="M15" s="45"/>
      <c r="N15" s="46"/>
    </row>
    <row r="16" spans="1:14" x14ac:dyDescent="0.25">
      <c r="D16" s="47"/>
      <c r="E16" s="47"/>
      <c r="F16" s="47"/>
      <c r="G16" s="47"/>
      <c r="H16" s="47"/>
    </row>
    <row r="17" spans="5:6" x14ac:dyDescent="0.25">
      <c r="E17" s="47"/>
      <c r="F17" s="48"/>
    </row>
  </sheetData>
  <printOptions headings="1"/>
  <pageMargins left="0.78740157499999996" right="0.78740157499999996" top="0.984251969" bottom="0.984251969" header="0.4921259845" footer="0.4921259845"/>
  <pageSetup paperSize="9" scale="71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B2:K28"/>
  <sheetViews>
    <sheetView workbookViewId="0">
      <selection activeCell="E17" sqref="E17"/>
    </sheetView>
  </sheetViews>
  <sheetFormatPr baseColWidth="10" defaultRowHeight="15" x14ac:dyDescent="0.25"/>
  <cols>
    <col min="2" max="2" width="15.7109375" bestFit="1" customWidth="1"/>
  </cols>
  <sheetData>
    <row r="2" spans="2:11" x14ac:dyDescent="0.25">
      <c r="B2" s="53" t="s">
        <v>158</v>
      </c>
    </row>
    <row r="3" spans="2:11" x14ac:dyDescent="0.25">
      <c r="B3" s="52">
        <v>0</v>
      </c>
    </row>
    <row r="4" spans="2:11" x14ac:dyDescent="0.25">
      <c r="B4" s="52">
        <v>0.05</v>
      </c>
    </row>
    <row r="5" spans="2:11" x14ac:dyDescent="0.25">
      <c r="B5" s="52">
        <v>7.4999999999999997E-2</v>
      </c>
    </row>
    <row r="6" spans="2:11" x14ac:dyDescent="0.25">
      <c r="B6" s="52">
        <v>0.1</v>
      </c>
    </row>
    <row r="9" spans="2:11" x14ac:dyDescent="0.25">
      <c r="B9" s="53" t="s">
        <v>159</v>
      </c>
      <c r="C9" s="16"/>
      <c r="D9" s="16"/>
      <c r="E9" s="16"/>
      <c r="F9" s="16"/>
      <c r="G9" s="16"/>
      <c r="H9" s="16"/>
      <c r="I9" s="16"/>
    </row>
    <row r="10" spans="2:11" ht="30" customHeight="1" x14ac:dyDescent="0.25">
      <c r="B10" s="65" t="s">
        <v>155</v>
      </c>
      <c r="C10" s="65"/>
      <c r="D10" s="65"/>
      <c r="E10" s="65"/>
      <c r="F10" s="65"/>
      <c r="G10" s="65"/>
      <c r="H10" s="65"/>
      <c r="I10" s="65"/>
      <c r="J10" s="65"/>
      <c r="K10" s="65"/>
    </row>
    <row r="11" spans="2:11" x14ac:dyDescent="0.25">
      <c r="B11" s="20"/>
      <c r="C11" s="20"/>
      <c r="D11" s="20"/>
      <c r="E11" s="20"/>
      <c r="F11" s="20"/>
      <c r="G11" s="20"/>
      <c r="H11" s="20"/>
      <c r="I11" s="20"/>
    </row>
    <row r="12" spans="2:11" ht="30" customHeight="1" x14ac:dyDescent="0.25">
      <c r="B12" s="65" t="s">
        <v>160</v>
      </c>
      <c r="C12" s="65"/>
      <c r="D12" s="65"/>
      <c r="E12" s="65"/>
      <c r="F12" s="65"/>
      <c r="G12" s="65"/>
      <c r="H12" s="65"/>
      <c r="I12" s="65"/>
      <c r="J12" s="65"/>
      <c r="K12" s="65"/>
    </row>
    <row r="13" spans="2:11" x14ac:dyDescent="0.25">
      <c r="B13" s="20"/>
      <c r="C13" s="20"/>
      <c r="D13" s="20"/>
      <c r="E13" s="20"/>
      <c r="F13" s="20"/>
      <c r="G13" s="20"/>
      <c r="H13" s="20"/>
      <c r="I13" s="20"/>
    </row>
    <row r="14" spans="2:11" ht="30" customHeight="1" x14ac:dyDescent="0.25">
      <c r="B14" s="66" t="s">
        <v>162</v>
      </c>
      <c r="C14" s="66"/>
      <c r="D14" s="66"/>
      <c r="E14" s="66"/>
      <c r="F14" s="66"/>
      <c r="G14" s="66"/>
      <c r="H14" s="66"/>
      <c r="I14" s="66"/>
      <c r="J14" s="66"/>
      <c r="K14" s="66"/>
    </row>
    <row r="15" spans="2:11" x14ac:dyDescent="0.25">
      <c r="B15" s="16"/>
      <c r="C15" s="16"/>
      <c r="D15" s="16"/>
      <c r="E15" s="16"/>
      <c r="F15" s="16"/>
    </row>
    <row r="16" spans="2:11" x14ac:dyDescent="0.25">
      <c r="B16" s="16"/>
      <c r="C16" s="16"/>
      <c r="D16" s="16"/>
      <c r="E16" s="16"/>
      <c r="F16" s="16"/>
    </row>
    <row r="17" spans="2:6" x14ac:dyDescent="0.25">
      <c r="B17" s="16"/>
      <c r="C17" s="16"/>
      <c r="D17" s="16"/>
      <c r="E17" s="16"/>
      <c r="F17" s="16"/>
    </row>
    <row r="18" spans="2:6" x14ac:dyDescent="0.25">
      <c r="B18" s="16"/>
      <c r="C18" s="16"/>
      <c r="D18" s="16"/>
      <c r="E18" s="16"/>
      <c r="F18" s="16"/>
    </row>
    <row r="19" spans="2:6" x14ac:dyDescent="0.25">
      <c r="B19" s="16"/>
      <c r="C19" s="16"/>
      <c r="D19" s="16"/>
      <c r="E19" s="16"/>
      <c r="F19" s="16"/>
    </row>
    <row r="20" spans="2:6" x14ac:dyDescent="0.25">
      <c r="B20" s="16"/>
      <c r="C20" s="16"/>
      <c r="D20" s="16"/>
      <c r="E20" s="16"/>
      <c r="F20" s="16"/>
    </row>
    <row r="21" spans="2:6" x14ac:dyDescent="0.25">
      <c r="B21" s="16"/>
      <c r="C21" s="16"/>
      <c r="D21" s="16"/>
      <c r="E21" s="16"/>
      <c r="F21" s="16"/>
    </row>
    <row r="22" spans="2:6" x14ac:dyDescent="0.25">
      <c r="B22" s="16"/>
      <c r="C22" s="16"/>
      <c r="D22" s="16"/>
      <c r="E22" s="16"/>
      <c r="F22" s="16"/>
    </row>
    <row r="23" spans="2:6" x14ac:dyDescent="0.25">
      <c r="B23" s="16"/>
      <c r="C23" s="16"/>
      <c r="D23" s="16"/>
      <c r="E23" s="16"/>
      <c r="F23" s="16"/>
    </row>
    <row r="24" spans="2:6" x14ac:dyDescent="0.25">
      <c r="B24" s="16"/>
      <c r="C24" s="16"/>
      <c r="D24" s="16"/>
      <c r="E24" s="16"/>
      <c r="F24" s="16"/>
    </row>
    <row r="25" spans="2:6" x14ac:dyDescent="0.25">
      <c r="B25" s="16"/>
      <c r="C25" s="16"/>
      <c r="D25" s="16"/>
      <c r="E25" s="16"/>
      <c r="F25" s="16"/>
    </row>
    <row r="26" spans="2:6" x14ac:dyDescent="0.25">
      <c r="B26" s="16"/>
      <c r="C26" s="16"/>
      <c r="D26" s="16"/>
      <c r="E26" s="16"/>
      <c r="F26" s="16"/>
    </row>
    <row r="27" spans="2:6" x14ac:dyDescent="0.25">
      <c r="B27" s="16"/>
      <c r="C27" s="16"/>
      <c r="D27" s="16"/>
      <c r="E27" s="16"/>
      <c r="F27" s="16"/>
    </row>
    <row r="28" spans="2:6" x14ac:dyDescent="0.25">
      <c r="B28" s="16"/>
      <c r="C28" s="16"/>
      <c r="D28" s="16"/>
      <c r="E28" s="16"/>
      <c r="F28" s="16"/>
    </row>
  </sheetData>
  <mergeCells count="3">
    <mergeCell ref="B10:K10"/>
    <mergeCell ref="B12:K12"/>
    <mergeCell ref="B14:K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Rechnung (kommentiert)</vt:lpstr>
      <vt:lpstr>Rechnung</vt:lpstr>
      <vt:lpstr>Lieferschein</vt:lpstr>
      <vt:lpstr>Artikel</vt:lpstr>
      <vt:lpstr>Kunden</vt:lpstr>
      <vt:lpstr>Hilfsdaten</vt:lpstr>
      <vt:lpstr>Artikel</vt:lpstr>
      <vt:lpstr>Kunden!Druckbereich</vt:lpstr>
      <vt:lpstr>Kunden!kunden</vt:lpstr>
    </vt:vector>
  </TitlesOfParts>
  <Company>INNtegrativ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Gorontzy, Thomas</cp:lastModifiedBy>
  <cp:lastPrinted>2022-08-12T19:04:26Z</cp:lastPrinted>
  <dcterms:created xsi:type="dcterms:W3CDTF">2022-08-09T09:19:39Z</dcterms:created>
  <dcterms:modified xsi:type="dcterms:W3CDTF">2026-08-11T08:53:33Z</dcterms:modified>
</cp:coreProperties>
</file>