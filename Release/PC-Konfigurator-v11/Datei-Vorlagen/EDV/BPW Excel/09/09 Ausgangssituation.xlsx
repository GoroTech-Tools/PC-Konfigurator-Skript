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9/"/>
    </mc:Choice>
  </mc:AlternateContent>
  <xr:revisionPtr revIDLastSave="0" documentId="13_ncr:1_{43A379EF-1BB0-47EE-98E3-4F929679BAE7}" xr6:coauthVersionLast="47" xr6:coauthVersionMax="47" xr10:uidLastSave="{00000000-0000-0000-0000-000000000000}"/>
  <bookViews>
    <workbookView xWindow="40920" yWindow="-120" windowWidth="29040" windowHeight="15840" activeTab="1" xr2:uid="{00000000-000D-0000-FFFF-FFFF00000000}"/>
  </bookViews>
  <sheets>
    <sheet name="Vorlage" sheetId="11" r:id="rId1"/>
    <sheet name="01" sheetId="23" r:id="rId2"/>
    <sheet name="05" sheetId="24" r:id="rId3"/>
    <sheet name="Artikel" sheetId="25" r:id="rId4"/>
  </sheets>
  <definedNames>
    <definedName name="Artikel_Nr.">Artikel!$A$2:$A$10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24" l="1"/>
  <c r="E40" i="24" l="1"/>
  <c r="E41" i="24"/>
  <c r="E42" i="24"/>
  <c r="E39" i="24"/>
  <c r="C40" i="24"/>
  <c r="C41" i="24"/>
  <c r="C39" i="24"/>
  <c r="G42" i="24" l="1"/>
  <c r="H42" i="24" s="1"/>
  <c r="G41" i="24"/>
  <c r="H41" i="24" s="1"/>
  <c r="G40" i="24"/>
  <c r="H40" i="24" s="1"/>
  <c r="G39" i="24"/>
  <c r="H39" i="24" s="1"/>
  <c r="H55" i="24" l="1"/>
  <c r="G42" i="23"/>
  <c r="H42" i="23" s="1"/>
  <c r="G41" i="23"/>
  <c r="H41" i="23" s="1"/>
  <c r="G40" i="23"/>
  <c r="H40" i="23" s="1"/>
  <c r="G39" i="23"/>
  <c r="H39" i="23" s="1"/>
  <c r="H55" i="23" l="1"/>
  <c r="H56" i="24"/>
  <c r="H57" i="24" s="1"/>
  <c r="H56" i="23"/>
  <c r="H57" i="23" s="1"/>
  <c r="H23" i="11" l="1"/>
</calcChain>
</file>

<file path=xl/sharedStrings.xml><?xml version="1.0" encoding="utf-8"?>
<sst xmlns="http://schemas.openxmlformats.org/spreadsheetml/2006/main" count="132" uniqueCount="49">
  <si>
    <t>Rechnung</t>
  </si>
  <si>
    <t>Ausschnitt aus der Tabelle Rechnungsformular</t>
  </si>
  <si>
    <t>Ihre Bestellung vom</t>
  </si>
  <si>
    <t>Datum</t>
  </si>
  <si>
    <t>Ausstattung und Beratung für das Büro</t>
  </si>
  <si>
    <t>Neuhoff KG</t>
  </si>
  <si>
    <t>RaumDesign</t>
  </si>
  <si>
    <t>Brunnenstraße 3</t>
  </si>
  <si>
    <t>Ihr Zeichen</t>
  </si>
  <si>
    <t>Unser Zeichen</t>
  </si>
  <si>
    <t>Telefon</t>
  </si>
  <si>
    <t>Name</t>
  </si>
  <si>
    <t>VK Br</t>
  </si>
  <si>
    <t>0228 98765-17</t>
  </si>
  <si>
    <t>Frank Bremer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</si>
  <si>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</si>
  <si>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</si>
  <si>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</si>
  <si>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</si>
  <si>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</si>
  <si>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</si>
  <si>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</si>
  <si>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</si>
  <si>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</si>
  <si>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Rabattbetrag €</t>
  </si>
  <si>
    <t>Gesamtpreis €</t>
  </si>
  <si>
    <t>Schreibtisch Ökostar</t>
  </si>
  <si>
    <t>Nettobetrag €</t>
  </si>
  <si>
    <t>Rechnungsbetrag</t>
  </si>
  <si>
    <t xml:space="preserve"> €</t>
  </si>
  <si>
    <t>Amtsgericht Bonn HRA 1221</t>
  </si>
  <si>
    <t>Geschäftsführerung:</t>
  </si>
  <si>
    <t>USt Id: DE 244 111 855</t>
  </si>
  <si>
    <t>Sebastian Falo</t>
  </si>
  <si>
    <t>Katharina Niester</t>
  </si>
  <si>
    <t>Rabatt in %</t>
  </si>
  <si>
    <t>Konferenztischelement lichtgrau</t>
  </si>
  <si>
    <t>Bürostuhl Comfort</t>
  </si>
  <si>
    <t>38700 Hannover</t>
  </si>
  <si>
    <r>
      <t xml:space="preserve">Duisdorfer BüroKonzept KG </t>
    </r>
    <r>
      <rPr>
        <u/>
        <sz val="8"/>
        <rFont val="Wingdings 2"/>
        <family val="1"/>
        <charset val="2"/>
      </rPr>
      <t></t>
    </r>
    <r>
      <rPr>
        <u/>
        <sz val="6"/>
        <rFont val="Arial"/>
        <family val="2"/>
      </rPr>
      <t xml:space="preserve"> </t>
    </r>
    <r>
      <rPr>
        <u/>
        <sz val="8"/>
        <rFont val="Arial"/>
        <family val="2"/>
      </rPr>
      <t xml:space="preserve">Rochusstraße 30 </t>
    </r>
    <r>
      <rPr>
        <u/>
        <sz val="8"/>
        <rFont val="Wingdings 2"/>
        <family val="1"/>
        <charset val="2"/>
      </rPr>
      <t></t>
    </r>
    <r>
      <rPr>
        <u/>
        <sz val="8"/>
        <rFont val="Arial"/>
        <family val="2"/>
      </rPr>
      <t xml:space="preserve"> 53123 Bonn</t>
    </r>
  </si>
  <si>
    <t>27.06.20..</t>
  </si>
  <si>
    <t>Artikelbezeichnung</t>
  </si>
  <si>
    <t>Einzelpreis</t>
  </si>
  <si>
    <t>Schreibtisch Ahorn</t>
  </si>
  <si>
    <t>Schreibtisch weiß C-Füße</t>
  </si>
  <si>
    <t>Mehrzwecktisch oval lichtgrau</t>
  </si>
  <si>
    <t>Bandscheiben-Drehstuhl extra</t>
  </si>
  <si>
    <t>Chefsessel Bonn Maxx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</si>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</sst>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yyyy\-mm\-dd"/>
    <numFmt numFmtId="166" formatCode="&quot;Umsatzsteuer &quot;#0.0\ &quot;% €&quot;"/>
    <numFmt numFmtId="167" formatCode="#,##0.00\ &quot;€&quot;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8"/>
      <name val="Arial"/>
      <family val="2"/>
    </font>
    <font>
      <u/>
      <sz val="8"/>
      <name val="Wingdings 2"/>
      <family val="1"/>
      <charset val="2"/>
    </font>
    <font>
      <u/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4" fillId="0" borderId="0"/>
    <xf numFmtId="0" fontId="2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5" fillId="2" borderId="0" xfId="4" applyFill="1"/>
    <xf numFmtId="0" fontId="5" fillId="0" borderId="0" xfId="4"/>
    <xf numFmtId="0" fontId="7" fillId="2" borderId="0" xfId="4" applyFont="1" applyFill="1"/>
    <xf numFmtId="0" fontId="10" fillId="2" borderId="0" xfId="4" applyFont="1" applyFill="1"/>
    <xf numFmtId="0" fontId="11" fillId="2" borderId="0" xfId="4" applyFont="1" applyFill="1"/>
    <xf numFmtId="0" fontId="6" fillId="0" borderId="0" xfId="4" applyFont="1"/>
    <xf numFmtId="0" fontId="6" fillId="0" borderId="0" xfId="4" applyFont="1" applyAlignment="1">
      <alignment horizontal="left"/>
    </xf>
    <xf numFmtId="0" fontId="12" fillId="2" borderId="0" xfId="4" applyFont="1" applyFill="1"/>
    <xf numFmtId="165" fontId="12" fillId="2" borderId="0" xfId="4" applyNumberFormat="1" applyFont="1" applyFill="1" applyAlignment="1">
      <alignment horizontal="left"/>
    </xf>
    <xf numFmtId="14" fontId="12" fillId="2" borderId="0" xfId="4" applyNumberFormat="1" applyFont="1" applyFill="1" applyAlignment="1">
      <alignment horizontal="left"/>
    </xf>
    <xf numFmtId="0" fontId="13" fillId="2" borderId="0" xfId="4" applyFont="1" applyFill="1"/>
    <xf numFmtId="0" fontId="14" fillId="2" borderId="0" xfId="4" applyFont="1" applyFill="1"/>
    <xf numFmtId="0" fontId="15" fillId="2" borderId="0" xfId="4" applyFont="1" applyFill="1"/>
    <xf numFmtId="0" fontId="6" fillId="2" borderId="0" xfId="4" applyFont="1" applyFill="1" applyAlignment="1">
      <alignment horizontal="left"/>
    </xf>
    <xf numFmtId="0" fontId="15" fillId="2" borderId="0" xfId="4" applyFont="1" applyFill="1" applyAlignment="1">
      <alignment horizontal="left"/>
    </xf>
    <xf numFmtId="14" fontId="6" fillId="2" borderId="0" xfId="4" applyNumberFormat="1" applyFont="1" applyFill="1"/>
    <xf numFmtId="14" fontId="5" fillId="2" borderId="0" xfId="4" applyNumberFormat="1" applyFill="1" applyAlignment="1">
      <alignment horizontal="left"/>
    </xf>
    <xf numFmtId="165" fontId="6" fillId="2" borderId="0" xfId="4" applyNumberFormat="1" applyFont="1" applyFill="1" applyAlignment="1">
      <alignment horizontal="left"/>
    </xf>
    <xf numFmtId="0" fontId="15" fillId="0" borderId="12" xfId="4" applyFont="1" applyBorder="1" applyAlignment="1">
      <alignment horizontal="center"/>
    </xf>
    <xf numFmtId="0" fontId="15" fillId="0" borderId="12" xfId="4" applyFont="1" applyBorder="1" applyAlignment="1">
      <alignment horizontal="left"/>
    </xf>
    <xf numFmtId="2" fontId="15" fillId="0" borderId="12" xfId="4" applyNumberFormat="1" applyFont="1" applyBorder="1" applyAlignment="1">
      <alignment horizontal="right"/>
    </xf>
    <xf numFmtId="0" fontId="15" fillId="0" borderId="0" xfId="4" applyFont="1"/>
    <xf numFmtId="0" fontId="15" fillId="0" borderId="11" xfId="4" applyFont="1" applyBorder="1"/>
    <xf numFmtId="0" fontId="15" fillId="0" borderId="16" xfId="4" applyFont="1" applyBorder="1"/>
    <xf numFmtId="2" fontId="15" fillId="0" borderId="1" xfId="4" applyNumberFormat="1" applyFont="1" applyBorder="1"/>
    <xf numFmtId="0" fontId="16" fillId="0" borderId="11" xfId="4" applyFont="1" applyBorder="1"/>
    <xf numFmtId="2" fontId="16" fillId="0" borderId="1" xfId="4" applyNumberFormat="1" applyFont="1" applyBorder="1"/>
    <xf numFmtId="0" fontId="5" fillId="2" borderId="0" xfId="4" applyFill="1" applyAlignment="1">
      <alignment horizontal="center" wrapText="1"/>
    </xf>
    <xf numFmtId="0" fontId="5" fillId="2" borderId="0" xfId="4" applyFill="1" applyAlignment="1">
      <alignment horizontal="left" wrapText="1"/>
    </xf>
    <xf numFmtId="2" fontId="17" fillId="3" borderId="12" xfId="4" applyNumberFormat="1" applyFont="1" applyFill="1" applyBorder="1"/>
    <xf numFmtId="0" fontId="16" fillId="4" borderId="13" xfId="4" applyFont="1" applyFill="1" applyBorder="1" applyAlignment="1">
      <alignment horizontal="center"/>
    </xf>
    <xf numFmtId="0" fontId="16" fillId="4" borderId="14" xfId="4" applyFont="1" applyFill="1" applyBorder="1" applyAlignment="1">
      <alignment horizontal="center"/>
    </xf>
    <xf numFmtId="0" fontId="16" fillId="4" borderId="15" xfId="4" applyFont="1" applyFill="1" applyBorder="1" applyAlignment="1">
      <alignment horizontal="center"/>
    </xf>
    <xf numFmtId="0" fontId="15" fillId="4" borderId="12" xfId="4" applyFont="1" applyFill="1" applyBorder="1" applyAlignment="1">
      <alignment horizontal="center"/>
    </xf>
    <xf numFmtId="0" fontId="15" fillId="4" borderId="12" xfId="4" applyFont="1" applyFill="1" applyBorder="1" applyAlignment="1">
      <alignment horizontal="left"/>
    </xf>
    <xf numFmtId="2" fontId="15" fillId="4" borderId="12" xfId="4" applyNumberFormat="1" applyFont="1" applyFill="1" applyBorder="1" applyAlignment="1">
      <alignment horizontal="right"/>
    </xf>
    <xf numFmtId="0" fontId="15" fillId="4" borderId="10" xfId="4" applyFont="1" applyFill="1" applyBorder="1" applyAlignment="1">
      <alignment horizontal="center"/>
    </xf>
    <xf numFmtId="0" fontId="15" fillId="4" borderId="10" xfId="4" applyFont="1" applyFill="1" applyBorder="1" applyAlignment="1">
      <alignment horizontal="left"/>
    </xf>
    <xf numFmtId="2" fontId="15" fillId="4" borderId="10" xfId="4" applyNumberFormat="1" applyFont="1" applyFill="1" applyBorder="1" applyAlignment="1">
      <alignment horizontal="right"/>
    </xf>
    <xf numFmtId="0" fontId="4" fillId="2" borderId="0" xfId="6" applyFill="1"/>
    <xf numFmtId="0" fontId="4" fillId="0" borderId="0" xfId="6"/>
    <xf numFmtId="0" fontId="18" fillId="2" borderId="0" xfId="6" applyFont="1" applyFill="1"/>
    <xf numFmtId="0" fontId="4" fillId="2" borderId="2" xfId="6" applyFill="1" applyBorder="1"/>
    <xf numFmtId="0" fontId="4" fillId="2" borderId="3" xfId="6" applyFill="1" applyBorder="1"/>
    <xf numFmtId="0" fontId="4" fillId="0" borderId="3" xfId="6" applyBorder="1"/>
    <xf numFmtId="0" fontId="4" fillId="0" borderId="4" xfId="6" applyBorder="1"/>
    <xf numFmtId="0" fontId="7" fillId="2" borderId="6" xfId="6" applyFont="1" applyFill="1" applyBorder="1"/>
    <xf numFmtId="0" fontId="10" fillId="2" borderId="0" xfId="6" applyFont="1" applyFill="1"/>
    <xf numFmtId="0" fontId="11" fillId="2" borderId="0" xfId="6" applyFont="1" applyFill="1"/>
    <xf numFmtId="0" fontId="4" fillId="0" borderId="5" xfId="6" applyBorder="1"/>
    <xf numFmtId="0" fontId="4" fillId="2" borderId="6" xfId="6" applyFill="1" applyBorder="1"/>
    <xf numFmtId="0" fontId="6" fillId="0" borderId="6" xfId="6" applyFont="1" applyBorder="1"/>
    <xf numFmtId="0" fontId="6" fillId="0" borderId="6" xfId="6" applyFont="1" applyBorder="1" applyAlignment="1">
      <alignment horizontal="left"/>
    </xf>
    <xf numFmtId="0" fontId="6" fillId="0" borderId="0" xfId="6" applyFont="1" applyAlignment="1">
      <alignment horizontal="left"/>
    </xf>
    <xf numFmtId="0" fontId="12" fillId="2" borderId="6" xfId="6" applyFont="1" applyFill="1" applyBorder="1"/>
    <xf numFmtId="0" fontId="12" fillId="2" borderId="0" xfId="6" applyFont="1" applyFill="1"/>
    <xf numFmtId="0" fontId="4" fillId="2" borderId="0" xfId="6" applyFill="1" applyAlignment="1">
      <alignment horizontal="left" wrapText="1"/>
    </xf>
    <xf numFmtId="14" fontId="4" fillId="2" borderId="0" xfId="6" applyNumberFormat="1" applyFill="1" applyAlignment="1">
      <alignment horizontal="left"/>
    </xf>
    <xf numFmtId="0" fontId="4" fillId="2" borderId="0" xfId="6" applyFill="1" applyAlignment="1">
      <alignment horizontal="center" wrapText="1"/>
    </xf>
    <xf numFmtId="165" fontId="12" fillId="2" borderId="0" xfId="6" applyNumberFormat="1" applyFont="1" applyFill="1" applyAlignment="1">
      <alignment horizontal="left"/>
    </xf>
    <xf numFmtId="14" fontId="12" fillId="2" borderId="0" xfId="6" applyNumberFormat="1" applyFont="1" applyFill="1" applyAlignment="1">
      <alignment horizontal="left"/>
    </xf>
    <xf numFmtId="0" fontId="13" fillId="2" borderId="6" xfId="6" applyFont="1" applyFill="1" applyBorder="1"/>
    <xf numFmtId="0" fontId="14" fillId="2" borderId="6" xfId="6" applyFont="1" applyFill="1" applyBorder="1"/>
    <xf numFmtId="0" fontId="15" fillId="2" borderId="6" xfId="6" applyFont="1" applyFill="1" applyBorder="1"/>
    <xf numFmtId="0" fontId="6" fillId="2" borderId="0" xfId="6" applyFont="1" applyFill="1" applyAlignment="1">
      <alignment horizontal="left"/>
    </xf>
    <xf numFmtId="0" fontId="15" fillId="2" borderId="6" xfId="6" applyFont="1" applyFill="1" applyBorder="1" applyAlignment="1">
      <alignment horizontal="left"/>
    </xf>
    <xf numFmtId="165" fontId="6" fillId="2" borderId="0" xfId="6" applyNumberFormat="1" applyFont="1" applyFill="1" applyAlignment="1">
      <alignment horizontal="left"/>
    </xf>
    <xf numFmtId="0" fontId="15" fillId="2" borderId="0" xfId="6" applyFont="1" applyFill="1" applyAlignment="1">
      <alignment horizontal="left"/>
    </xf>
    <xf numFmtId="14" fontId="6" fillId="2" borderId="0" xfId="6" applyNumberFormat="1" applyFont="1" applyFill="1"/>
    <xf numFmtId="0" fontId="16" fillId="4" borderId="14" xfId="6" applyFont="1" applyFill="1" applyBorder="1" applyAlignment="1">
      <alignment horizontal="center"/>
    </xf>
    <xf numFmtId="0" fontId="16" fillId="4" borderId="15" xfId="6" applyFont="1" applyFill="1" applyBorder="1" applyAlignment="1">
      <alignment horizontal="center"/>
    </xf>
    <xf numFmtId="0" fontId="15" fillId="0" borderId="12" xfId="6" applyFont="1" applyBorder="1" applyAlignment="1">
      <alignment horizontal="center"/>
    </xf>
    <xf numFmtId="0" fontId="15" fillId="0" borderId="12" xfId="6" applyFont="1" applyBorder="1" applyAlignment="1">
      <alignment horizontal="left"/>
    </xf>
    <xf numFmtId="2" fontId="15" fillId="0" borderId="12" xfId="6" applyNumberFormat="1" applyFont="1" applyBorder="1" applyAlignment="1">
      <alignment horizontal="right"/>
    </xf>
    <xf numFmtId="2" fontId="17" fillId="3" borderId="12" xfId="6" applyNumberFormat="1" applyFont="1" applyFill="1" applyBorder="1"/>
    <xf numFmtId="0" fontId="15" fillId="4" borderId="12" xfId="6" applyFont="1" applyFill="1" applyBorder="1" applyAlignment="1">
      <alignment horizontal="center"/>
    </xf>
    <xf numFmtId="0" fontId="15" fillId="4" borderId="12" xfId="6" applyFont="1" applyFill="1" applyBorder="1" applyAlignment="1">
      <alignment horizontal="left"/>
    </xf>
    <xf numFmtId="2" fontId="15" fillId="4" borderId="12" xfId="6" applyNumberFormat="1" applyFont="1" applyFill="1" applyBorder="1" applyAlignment="1">
      <alignment horizontal="right"/>
    </xf>
    <xf numFmtId="0" fontId="15" fillId="4" borderId="10" xfId="6" applyFont="1" applyFill="1" applyBorder="1" applyAlignment="1">
      <alignment horizontal="center"/>
    </xf>
    <xf numFmtId="0" fontId="15" fillId="4" borderId="10" xfId="6" applyFont="1" applyFill="1" applyBorder="1" applyAlignment="1">
      <alignment horizontal="left"/>
    </xf>
    <xf numFmtId="2" fontId="15" fillId="4" borderId="10" xfId="6" applyNumberFormat="1" applyFont="1" applyFill="1" applyBorder="1" applyAlignment="1">
      <alignment horizontal="right"/>
    </xf>
    <xf numFmtId="0" fontId="15" fillId="0" borderId="6" xfId="6" applyFont="1" applyBorder="1"/>
    <xf numFmtId="0" fontId="15" fillId="0" borderId="0" xfId="6" applyFont="1"/>
    <xf numFmtId="0" fontId="15" fillId="0" borderId="11" xfId="6" applyFont="1" applyBorder="1"/>
    <xf numFmtId="0" fontId="15" fillId="0" borderId="16" xfId="6" applyFont="1" applyBorder="1"/>
    <xf numFmtId="2" fontId="15" fillId="0" borderId="1" xfId="6" applyNumberFormat="1" applyFont="1" applyBorder="1"/>
    <xf numFmtId="0" fontId="16" fillId="0" borderId="11" xfId="6" applyFont="1" applyBorder="1"/>
    <xf numFmtId="2" fontId="16" fillId="0" borderId="1" xfId="6" applyNumberFormat="1" applyFont="1" applyBorder="1"/>
    <xf numFmtId="0" fontId="15" fillId="2" borderId="0" xfId="6" applyFont="1" applyFill="1"/>
    <xf numFmtId="0" fontId="4" fillId="0" borderId="6" xfId="6" applyBorder="1"/>
    <xf numFmtId="0" fontId="4" fillId="2" borderId="7" xfId="6" applyFill="1" applyBorder="1"/>
    <xf numFmtId="0" fontId="4" fillId="2" borderId="8" xfId="6" applyFill="1" applyBorder="1"/>
    <xf numFmtId="0" fontId="4" fillId="0" borderId="8" xfId="6" applyBorder="1"/>
    <xf numFmtId="0" fontId="4" fillId="0" borderId="9" xfId="6" applyBorder="1"/>
    <xf numFmtId="4" fontId="15" fillId="0" borderId="12" xfId="6" applyNumberFormat="1" applyFont="1" applyBorder="1" applyAlignment="1">
      <alignment horizontal="right"/>
    </xf>
    <xf numFmtId="4" fontId="15" fillId="4" borderId="12" xfId="6" applyNumberFormat="1" applyFont="1" applyFill="1" applyBorder="1" applyAlignment="1">
      <alignment horizontal="right"/>
    </xf>
    <xf numFmtId="0" fontId="6" fillId="2" borderId="0" xfId="6" applyFont="1" applyFill="1" applyAlignment="1" applyProtection="1">
      <alignment horizontal="left"/>
      <protection locked="0"/>
    </xf>
    <xf numFmtId="0" fontId="19" fillId="0" borderId="0" xfId="7" applyFont="1" applyAlignment="1">
      <alignment horizontal="center"/>
    </xf>
    <xf numFmtId="167" fontId="19" fillId="0" borderId="0" xfId="7" applyNumberFormat="1" applyFont="1" applyAlignment="1">
      <alignment horizontal="center"/>
    </xf>
    <xf numFmtId="0" fontId="2" fillId="0" borderId="0" xfId="7"/>
    <xf numFmtId="167" fontId="0" fillId="0" borderId="0" xfId="8" applyNumberFormat="1" applyFont="1"/>
    <xf numFmtId="167" fontId="2" fillId="0" borderId="0" xfId="7" applyNumberFormat="1"/>
    <xf numFmtId="4" fontId="15" fillId="0" borderId="12" xfId="6" applyNumberFormat="1" applyFont="1" applyBorder="1"/>
    <xf numFmtId="0" fontId="1" fillId="0" borderId="0" xfId="7" applyFont="1"/>
    <xf numFmtId="0" fontId="5" fillId="2" borderId="0" xfId="4" applyFill="1" applyAlignment="1">
      <alignment horizontal="center"/>
    </xf>
    <xf numFmtId="0" fontId="6" fillId="2" borderId="0" xfId="4" applyFont="1" applyFill="1" applyAlignment="1">
      <alignment horizontal="center"/>
    </xf>
    <xf numFmtId="0" fontId="6" fillId="0" borderId="0" xfId="4" applyFont="1" applyAlignment="1">
      <alignment horizontal="center"/>
    </xf>
    <xf numFmtId="166" fontId="15" fillId="0" borderId="11" xfId="4" applyNumberFormat="1" applyFont="1" applyBorder="1" applyAlignment="1">
      <alignment horizontal="left"/>
    </xf>
    <xf numFmtId="166" fontId="15" fillId="0" borderId="17" xfId="4" applyNumberFormat="1" applyFont="1" applyBorder="1" applyAlignment="1">
      <alignment horizontal="left"/>
    </xf>
    <xf numFmtId="0" fontId="4" fillId="2" borderId="0" xfId="6" applyFill="1" applyAlignment="1">
      <alignment horizontal="center"/>
    </xf>
    <xf numFmtId="0" fontId="6" fillId="2" borderId="0" xfId="6" applyFont="1" applyFill="1" applyAlignment="1">
      <alignment horizontal="center"/>
    </xf>
    <xf numFmtId="0" fontId="6" fillId="0" borderId="6" xfId="6" applyFont="1" applyBorder="1" applyAlignment="1">
      <alignment horizontal="center"/>
    </xf>
    <xf numFmtId="0" fontId="6" fillId="0" borderId="0" xfId="6" applyFont="1" applyAlignment="1">
      <alignment horizontal="center"/>
    </xf>
    <xf numFmtId="166" fontId="15" fillId="0" borderId="11" xfId="6" applyNumberFormat="1" applyFont="1" applyBorder="1" applyAlignment="1">
      <alignment horizontal="left"/>
    </xf>
    <xf numFmtId="166" fontId="15" fillId="0" borderId="17" xfId="6" applyNumberFormat="1" applyFont="1" applyBorder="1" applyAlignment="1">
      <alignment horizontal="left"/>
    </xf>
  </cellXfs>
  <cellStyles count="9">
    <cellStyle name="Euro" xfId="1" xr:uid="{00000000-0005-0000-0000-000000000000}"/>
    <cellStyle name="Euro 2" xfId="5" xr:uid="{00000000-0005-0000-0000-000001000000}"/>
    <cellStyle name="Standard" xfId="0" builtinId="0"/>
    <cellStyle name="Standard 2" xfId="4" xr:uid="{00000000-0005-0000-0000-000003000000}"/>
    <cellStyle name="Standard 2 2" xfId="6" xr:uid="{00000000-0005-0000-0000-000004000000}"/>
    <cellStyle name="Standard 3" xfId="2" xr:uid="{00000000-0005-0000-0000-000005000000}"/>
    <cellStyle name="Standard 4" xfId="7" xr:uid="{00000000-0005-0000-0000-000006000000}"/>
    <cellStyle name="Währung 2" xfId="3" xr:uid="{00000000-0005-0000-0000-000007000000}"/>
    <cellStyle name="Währung 3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168900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988050" y="1790700"/>
          <a:ext cx="22860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1905000</xdr:colOff>
      <xdr:row>0</xdr:row>
      <xdr:rowOff>0</xdr:rowOff>
    </xdr:from>
    <xdr:to>
      <xdr:col>5</xdr:col>
      <xdr:colOff>93350</xdr:colOff>
      <xdr:row>6</xdr:row>
      <xdr:rowOff>133920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4953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4953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1924050</xdr:colOff>
      <xdr:row>0</xdr:row>
      <xdr:rowOff>0</xdr:rowOff>
    </xdr:from>
    <xdr:to>
      <xdr:col>5</xdr:col>
      <xdr:colOff>112400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0"/>
          <a:ext cx="237935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4953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4953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1924050</xdr:colOff>
      <xdr:row>0</xdr:row>
      <xdr:rowOff>0</xdr:rowOff>
    </xdr:from>
    <xdr:to>
      <xdr:col>5</xdr:col>
      <xdr:colOff>112400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0"/>
          <a:ext cx="237935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topLeftCell="A17" zoomScaleNormal="100" workbookViewId="0">
      <selection activeCell="C42" sqref="C42"/>
    </sheetView>
  </sheetViews>
  <sheetFormatPr baseColWidth="10" defaultColWidth="11.46484375" defaultRowHeight="12.75"/>
  <cols>
    <col min="1" max="1" width="8.46484375" style="2" customWidth="1"/>
    <col min="2" max="2" width="14.53125" style="2" customWidth="1"/>
    <col min="3" max="3" width="30.73046875" style="2" customWidth="1"/>
    <col min="4" max="4" width="16" style="2" customWidth="1"/>
    <col min="5" max="5" width="16.19921875" style="2" customWidth="1"/>
    <col min="6" max="6" width="20.19921875" style="2" bestFit="1" customWidth="1"/>
    <col min="7" max="7" width="16.19921875" style="2" customWidth="1"/>
    <col min="8" max="8" width="16.265625" style="2" customWidth="1"/>
    <col min="9" max="16384" width="11.46484375" style="2"/>
  </cols>
  <sheetData>
    <row r="1" spans="1:8">
      <c r="A1" s="1"/>
      <c r="B1" s="1"/>
      <c r="C1" s="1"/>
      <c r="D1" s="1"/>
      <c r="E1" s="1"/>
      <c r="F1" s="1"/>
      <c r="G1" s="1"/>
    </row>
    <row r="2" spans="1:8">
      <c r="A2" s="1"/>
      <c r="B2" s="1"/>
      <c r="C2" s="1"/>
      <c r="D2" s="1"/>
      <c r="E2" s="1"/>
      <c r="F2" s="1"/>
      <c r="G2" s="1"/>
    </row>
    <row r="3" spans="1:8">
      <c r="A3" s="1"/>
      <c r="B3" s="1"/>
      <c r="C3" s="1"/>
      <c r="D3" s="1"/>
      <c r="E3" s="1"/>
      <c r="F3" s="1"/>
      <c r="G3" s="1"/>
    </row>
    <row r="4" spans="1:8">
      <c r="A4" s="1"/>
      <c r="B4" s="1"/>
      <c r="C4" s="1"/>
      <c r="D4" s="1"/>
      <c r="E4" s="1"/>
      <c r="F4" s="1"/>
      <c r="G4" s="1"/>
    </row>
    <row r="5" spans="1:8">
      <c r="A5" s="1"/>
      <c r="B5" s="1"/>
      <c r="C5" s="1"/>
      <c r="D5" s="1"/>
      <c r="E5" s="1"/>
      <c r="F5" s="1"/>
      <c r="G5" s="1"/>
    </row>
    <row r="6" spans="1:8">
      <c r="A6" s="105"/>
      <c r="B6" s="105"/>
      <c r="C6" s="105"/>
      <c r="D6" s="105"/>
      <c r="E6" s="105"/>
      <c r="F6" s="105"/>
      <c r="G6" s="105"/>
    </row>
    <row r="7" spans="1:8">
      <c r="A7" s="1"/>
      <c r="B7" s="1"/>
      <c r="C7" s="1"/>
      <c r="D7" s="1"/>
      <c r="E7" s="1"/>
      <c r="F7" s="1"/>
      <c r="G7" s="1"/>
    </row>
    <row r="8" spans="1:8" ht="15">
      <c r="A8" s="106" t="s">
        <v>4</v>
      </c>
      <c r="B8" s="106"/>
      <c r="C8" s="106"/>
      <c r="D8" s="106"/>
      <c r="E8" s="106"/>
      <c r="F8" s="106"/>
      <c r="G8" s="106"/>
      <c r="H8" s="106"/>
    </row>
    <row r="9" spans="1:8">
      <c r="A9" s="1"/>
      <c r="B9" s="1"/>
      <c r="C9" s="1"/>
      <c r="D9" s="1"/>
      <c r="E9" s="1"/>
      <c r="F9" s="1"/>
      <c r="G9" s="1"/>
    </row>
    <row r="10" spans="1:8">
      <c r="A10" s="1"/>
      <c r="B10" s="1"/>
      <c r="C10" s="1"/>
      <c r="D10" s="1"/>
      <c r="E10" s="1"/>
      <c r="F10" s="1"/>
      <c r="G10" s="1"/>
    </row>
    <row r="11" spans="1:8">
      <c r="A11" s="3" t="s">
        <v>39</v>
      </c>
      <c r="B11" s="1"/>
      <c r="C11" s="1"/>
      <c r="D11" s="1"/>
      <c r="E11" s="4"/>
      <c r="F11" s="4"/>
      <c r="G11" s="5"/>
    </row>
    <row r="12" spans="1:8">
      <c r="A12" s="1"/>
      <c r="B12" s="1"/>
      <c r="C12" s="1"/>
      <c r="D12" s="1"/>
      <c r="E12" s="4"/>
      <c r="F12" s="4"/>
      <c r="G12" s="5"/>
    </row>
    <row r="13" spans="1:8" ht="15">
      <c r="A13" s="6"/>
      <c r="C13" s="1"/>
      <c r="D13" s="1"/>
      <c r="E13" s="4"/>
      <c r="F13" s="4"/>
      <c r="G13" s="5"/>
    </row>
    <row r="14" spans="1:8" ht="15">
      <c r="A14" s="7" t="s">
        <v>5</v>
      </c>
      <c r="B14" s="7"/>
      <c r="C14" s="1"/>
      <c r="D14" s="1"/>
      <c r="E14" s="4"/>
      <c r="F14" s="4"/>
      <c r="G14" s="5"/>
    </row>
    <row r="15" spans="1:8" ht="15">
      <c r="A15" s="7" t="s">
        <v>6</v>
      </c>
      <c r="B15" s="7"/>
      <c r="C15" s="1"/>
      <c r="D15" s="1"/>
      <c r="E15" s="4"/>
      <c r="F15" s="4"/>
      <c r="G15" s="5"/>
    </row>
    <row r="16" spans="1:8" ht="15">
      <c r="A16" s="7" t="s">
        <v>7</v>
      </c>
      <c r="B16" s="7"/>
      <c r="C16" s="1"/>
      <c r="D16" s="1"/>
      <c r="E16" s="4"/>
      <c r="F16" s="4"/>
      <c r="G16" s="5"/>
    </row>
    <row r="17" spans="1:8" ht="15">
      <c r="A17" s="7" t="s">
        <v>38</v>
      </c>
      <c r="B17" s="7"/>
      <c r="C17" s="1"/>
      <c r="D17" s="1"/>
      <c r="E17" s="4"/>
      <c r="F17" s="4"/>
      <c r="G17" s="5"/>
    </row>
    <row r="18" spans="1:8" ht="15">
      <c r="A18" s="107"/>
      <c r="B18" s="107"/>
      <c r="C18" s="1"/>
      <c r="D18" s="1"/>
      <c r="E18" s="5"/>
      <c r="F18" s="5"/>
      <c r="G18" s="5"/>
    </row>
    <row r="19" spans="1:8" ht="15">
      <c r="A19" s="107"/>
      <c r="B19" s="107"/>
      <c r="C19" s="1"/>
      <c r="D19" s="1"/>
      <c r="E19" s="5"/>
      <c r="F19" s="5"/>
      <c r="G19" s="5"/>
    </row>
    <row r="20" spans="1:8">
      <c r="A20" s="1"/>
      <c r="B20" s="1"/>
      <c r="C20" s="1"/>
      <c r="D20" s="1"/>
      <c r="E20" s="5"/>
      <c r="F20" s="5"/>
      <c r="G20" s="5"/>
    </row>
    <row r="21" spans="1:8">
      <c r="A21" s="1"/>
      <c r="B21" s="1"/>
      <c r="C21" s="1"/>
      <c r="D21" s="1"/>
      <c r="E21" s="1"/>
      <c r="F21" s="1"/>
      <c r="G21" s="1"/>
    </row>
    <row r="22" spans="1:8">
      <c r="A22" s="8" t="s">
        <v>8</v>
      </c>
      <c r="B22" s="8" t="s">
        <v>2</v>
      </c>
      <c r="C22" s="8" t="s">
        <v>9</v>
      </c>
      <c r="D22" s="8" t="s">
        <v>10</v>
      </c>
      <c r="F22" s="8" t="s">
        <v>11</v>
      </c>
      <c r="H22" s="8" t="s">
        <v>3</v>
      </c>
    </row>
    <row r="23" spans="1:8" ht="12.75" customHeight="1">
      <c r="A23" s="1"/>
      <c r="B23" s="1"/>
      <c r="C23" s="1" t="s">
        <v>12</v>
      </c>
      <c r="D23" s="29" t="s">
        <v>13</v>
      </c>
      <c r="F23" s="2" t="s">
        <v>14</v>
      </c>
      <c r="H23" s="17">
        <f ca="1">TODAY()</f>
        <v>45512</v>
      </c>
    </row>
    <row r="24" spans="1:8">
      <c r="A24" s="8"/>
      <c r="B24" s="8"/>
      <c r="C24" s="8"/>
      <c r="D24" s="28"/>
      <c r="E24" s="1"/>
      <c r="F24" s="9"/>
      <c r="G24" s="1"/>
    </row>
    <row r="25" spans="1:8">
      <c r="A25" s="8"/>
      <c r="B25" s="8"/>
      <c r="C25" s="8"/>
      <c r="D25" s="8"/>
      <c r="E25" s="1"/>
      <c r="F25" s="1"/>
      <c r="G25" s="10"/>
    </row>
    <row r="26" spans="1:8" ht="22.5">
      <c r="A26" s="11" t="s">
        <v>0</v>
      </c>
      <c r="B26" s="1"/>
      <c r="C26" s="8"/>
      <c r="D26" s="8"/>
      <c r="E26" s="1"/>
      <c r="F26" s="1"/>
      <c r="G26" s="10"/>
    </row>
    <row r="27" spans="1:8" ht="17.649999999999999">
      <c r="A27" s="12"/>
      <c r="B27" s="1"/>
      <c r="C27" s="8"/>
      <c r="D27" s="8"/>
      <c r="E27" s="1"/>
      <c r="F27" s="1"/>
      <c r="G27" s="10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 ht="15">
      <c r="A30" s="13" t="s">
        <v>15</v>
      </c>
      <c r="C30" s="14">
        <v>2401</v>
      </c>
      <c r="D30" s="1"/>
      <c r="E30" s="1"/>
      <c r="F30" s="1"/>
      <c r="G30" s="1"/>
    </row>
    <row r="31" spans="1:8" ht="15">
      <c r="A31" s="15" t="s">
        <v>16</v>
      </c>
      <c r="C31" s="14">
        <v>50215</v>
      </c>
      <c r="D31" s="1"/>
      <c r="E31" s="1"/>
      <c r="F31" s="1"/>
      <c r="G31" s="1"/>
    </row>
    <row r="32" spans="1:8" ht="15">
      <c r="A32" s="15" t="s">
        <v>17</v>
      </c>
      <c r="B32" s="14"/>
      <c r="D32" s="1"/>
      <c r="E32" s="1"/>
      <c r="F32" s="1"/>
      <c r="G32" s="1"/>
    </row>
    <row r="33" spans="1:8" ht="15">
      <c r="A33" s="15" t="s">
        <v>18</v>
      </c>
      <c r="B33" s="18"/>
      <c r="D33" s="1"/>
      <c r="E33" s="1"/>
      <c r="F33" s="1"/>
      <c r="G33" s="1"/>
    </row>
    <row r="34" spans="1:8" ht="15">
      <c r="A34" s="1"/>
      <c r="B34" s="15"/>
      <c r="C34" s="16"/>
      <c r="D34" s="1"/>
      <c r="E34" s="1"/>
      <c r="F34" s="1"/>
      <c r="G34" s="1"/>
    </row>
    <row r="35" spans="1:8">
      <c r="A35" s="1"/>
      <c r="B35" s="1"/>
      <c r="C35" s="1"/>
      <c r="D35" s="1"/>
      <c r="E35" s="1"/>
      <c r="F35" s="1"/>
      <c r="G35" s="1"/>
    </row>
    <row r="36" spans="1:8" ht="13.5">
      <c r="A36" s="13"/>
      <c r="B36" s="1"/>
      <c r="C36" s="1"/>
      <c r="D36" s="1"/>
      <c r="E36" s="1"/>
      <c r="F36" s="1"/>
      <c r="G36" s="1"/>
    </row>
    <row r="37" spans="1:8" ht="13.15" thickBot="1">
      <c r="A37" s="1"/>
      <c r="B37" s="1"/>
      <c r="C37" s="1"/>
      <c r="D37" s="1"/>
      <c r="E37" s="1"/>
      <c r="F37" s="1"/>
      <c r="G37" s="1"/>
    </row>
    <row r="38" spans="1:8" ht="14.25" thickBot="1">
      <c r="A38" s="31" t="s">
        <v>19</v>
      </c>
      <c r="B38" s="32" t="s">
        <v>20</v>
      </c>
      <c r="C38" s="32" t="s">
        <v>21</v>
      </c>
      <c r="D38" s="32" t="s">
        <v>22</v>
      </c>
      <c r="E38" s="32" t="s">
        <v>23</v>
      </c>
      <c r="F38" s="32" t="s">
        <v>35</v>
      </c>
      <c r="G38" s="32" t="s">
        <v>24</v>
      </c>
      <c r="H38" s="33" t="s">
        <v>25</v>
      </c>
    </row>
    <row r="39" spans="1:8" ht="13.5">
      <c r="A39" s="19">
        <v>1</v>
      </c>
      <c r="B39" s="19">
        <v>101111</v>
      </c>
      <c r="C39" s="20" t="s">
        <v>26</v>
      </c>
      <c r="D39" s="19">
        <v>10</v>
      </c>
      <c r="E39" s="21">
        <v>489</v>
      </c>
      <c r="F39" s="30"/>
      <c r="G39" s="21"/>
      <c r="H39" s="21"/>
    </row>
    <row r="40" spans="1:8" ht="13.5">
      <c r="A40" s="34">
        <v>2</v>
      </c>
      <c r="B40" s="34">
        <v>101114</v>
      </c>
      <c r="C40" s="35" t="s">
        <v>36</v>
      </c>
      <c r="D40" s="34">
        <v>25</v>
      </c>
      <c r="E40" s="36">
        <v>98</v>
      </c>
      <c r="F40" s="36"/>
      <c r="G40" s="36"/>
      <c r="H40" s="36"/>
    </row>
    <row r="41" spans="1:8" ht="13.5">
      <c r="A41" s="19">
        <v>3</v>
      </c>
      <c r="B41" s="19">
        <v>202111</v>
      </c>
      <c r="C41" s="20" t="s">
        <v>37</v>
      </c>
      <c r="D41" s="19">
        <v>20</v>
      </c>
      <c r="E41" s="21">
        <v>228</v>
      </c>
      <c r="F41" s="21"/>
      <c r="G41" s="21"/>
      <c r="H41" s="21"/>
    </row>
    <row r="42" spans="1:8" ht="13.5">
      <c r="A42" s="34">
        <v>4</v>
      </c>
      <c r="B42" s="34">
        <v>202114</v>
      </c>
      <c r="C42" s="35" t="s">
        <v>48</v>
      </c>
      <c r="D42" s="34">
        <v>15</v>
      </c>
      <c r="E42" s="36">
        <v>349</v>
      </c>
      <c r="F42" s="36"/>
      <c r="G42" s="36"/>
      <c r="H42" s="36"/>
    </row>
    <row r="43" spans="1:8" ht="13.5">
      <c r="A43" s="19"/>
      <c r="B43" s="19"/>
      <c r="C43" s="20"/>
      <c r="D43" s="19"/>
      <c r="E43" s="21"/>
      <c r="F43" s="21"/>
      <c r="G43" s="21"/>
      <c r="H43" s="21"/>
    </row>
    <row r="44" spans="1:8" ht="13.5">
      <c r="A44" s="34"/>
      <c r="B44" s="34"/>
      <c r="C44" s="35"/>
      <c r="D44" s="34"/>
      <c r="E44" s="36"/>
      <c r="F44" s="36"/>
      <c r="G44" s="36"/>
      <c r="H44" s="36"/>
    </row>
    <row r="45" spans="1:8" ht="13.5">
      <c r="A45" s="19"/>
      <c r="B45" s="19"/>
      <c r="C45" s="20"/>
      <c r="D45" s="19"/>
      <c r="E45" s="21"/>
      <c r="F45" s="21"/>
      <c r="G45" s="21"/>
      <c r="H45" s="21"/>
    </row>
    <row r="46" spans="1:8" ht="13.5">
      <c r="A46" s="34"/>
      <c r="B46" s="34"/>
      <c r="C46" s="35"/>
      <c r="D46" s="34"/>
      <c r="E46" s="36"/>
      <c r="F46" s="36"/>
      <c r="G46" s="36"/>
      <c r="H46" s="36"/>
    </row>
    <row r="47" spans="1:8" ht="13.5">
      <c r="A47" s="19"/>
      <c r="B47" s="19"/>
      <c r="C47" s="20"/>
      <c r="D47" s="19"/>
      <c r="E47" s="21"/>
      <c r="F47" s="21"/>
      <c r="G47" s="21"/>
      <c r="H47" s="21"/>
    </row>
    <row r="48" spans="1:8" ht="13.5">
      <c r="A48" s="34"/>
      <c r="B48" s="34"/>
      <c r="C48" s="35"/>
      <c r="D48" s="34"/>
      <c r="E48" s="36"/>
      <c r="F48" s="36"/>
      <c r="G48" s="36"/>
      <c r="H48" s="36"/>
    </row>
    <row r="49" spans="1:8" ht="13.5">
      <c r="A49" s="19"/>
      <c r="B49" s="19"/>
      <c r="C49" s="20"/>
      <c r="D49" s="19"/>
      <c r="E49" s="21"/>
      <c r="F49" s="21"/>
      <c r="G49" s="21"/>
      <c r="H49" s="21"/>
    </row>
    <row r="50" spans="1:8" ht="13.5">
      <c r="A50" s="34"/>
      <c r="B50" s="34"/>
      <c r="C50" s="35"/>
      <c r="D50" s="34"/>
      <c r="E50" s="36"/>
      <c r="F50" s="36"/>
      <c r="G50" s="36"/>
      <c r="H50" s="36"/>
    </row>
    <row r="51" spans="1:8" ht="13.5">
      <c r="A51" s="19"/>
      <c r="B51" s="19"/>
      <c r="C51" s="20"/>
      <c r="D51" s="19"/>
      <c r="E51" s="21"/>
      <c r="F51" s="21"/>
      <c r="G51" s="21"/>
      <c r="H51" s="21"/>
    </row>
    <row r="52" spans="1:8" ht="13.5">
      <c r="A52" s="34"/>
      <c r="B52" s="34"/>
      <c r="C52" s="35"/>
      <c r="D52" s="34"/>
      <c r="E52" s="36"/>
      <c r="F52" s="36"/>
      <c r="G52" s="36"/>
      <c r="H52" s="36"/>
    </row>
    <row r="53" spans="1:8" ht="13.5">
      <c r="A53" s="19"/>
      <c r="B53" s="19"/>
      <c r="C53" s="20"/>
      <c r="D53" s="19"/>
      <c r="E53" s="21"/>
      <c r="F53" s="21"/>
      <c r="G53" s="21"/>
      <c r="H53" s="21"/>
    </row>
    <row r="54" spans="1:8" ht="13.5">
      <c r="A54" s="37"/>
      <c r="B54" s="37"/>
      <c r="C54" s="38"/>
      <c r="D54" s="37"/>
      <c r="E54" s="39"/>
      <c r="F54" s="36"/>
      <c r="G54" s="36"/>
      <c r="H54" s="36"/>
    </row>
    <row r="55" spans="1:8" ht="13.5">
      <c r="A55" s="22"/>
      <c r="B55" s="22"/>
      <c r="C55" s="22"/>
      <c r="D55" s="22"/>
      <c r="F55" s="23" t="s">
        <v>27</v>
      </c>
      <c r="G55" s="24"/>
      <c r="H55" s="25"/>
    </row>
    <row r="56" spans="1:8" ht="13.5">
      <c r="A56" s="22"/>
      <c r="B56" s="22"/>
      <c r="C56" s="22"/>
      <c r="D56" s="22"/>
      <c r="F56" s="108">
        <v>19</v>
      </c>
      <c r="G56" s="109"/>
      <c r="H56" s="25"/>
    </row>
    <row r="57" spans="1:8" ht="13.9">
      <c r="A57" s="22"/>
      <c r="B57" s="22"/>
      <c r="C57" s="22"/>
      <c r="D57" s="22"/>
      <c r="F57" s="26" t="s">
        <v>28</v>
      </c>
      <c r="G57" s="24" t="s">
        <v>29</v>
      </c>
      <c r="H57" s="27"/>
    </row>
    <row r="58" spans="1:8" ht="13.5">
      <c r="A58" s="13"/>
      <c r="B58" s="13"/>
      <c r="C58" s="13"/>
      <c r="D58" s="13"/>
      <c r="E58" s="13"/>
      <c r="F58" s="13"/>
      <c r="G58" s="13"/>
    </row>
    <row r="59" spans="1:8" ht="13.5">
      <c r="A59" s="13"/>
      <c r="B59" s="13"/>
      <c r="C59" s="13"/>
      <c r="D59" s="13"/>
      <c r="E59" s="13"/>
    </row>
    <row r="60" spans="1:8" ht="13.5">
      <c r="A60" s="2" t="s">
        <v>30</v>
      </c>
      <c r="C60" s="13"/>
      <c r="D60" s="13"/>
      <c r="F60" s="13" t="s">
        <v>31</v>
      </c>
    </row>
    <row r="61" spans="1:8">
      <c r="A61" s="1" t="s">
        <v>32</v>
      </c>
      <c r="B61" s="1"/>
      <c r="C61" s="1"/>
      <c r="D61" s="1"/>
      <c r="F61" s="1" t="s">
        <v>33</v>
      </c>
    </row>
    <row r="62" spans="1:8">
      <c r="A62" s="1"/>
      <c r="B62" s="1"/>
      <c r="C62" s="1"/>
      <c r="D62" s="1"/>
      <c r="F62" s="1" t="s">
        <v>34</v>
      </c>
      <c r="G62" s="1"/>
    </row>
    <row r="63" spans="1:8">
      <c r="A63" s="1"/>
      <c r="B63" s="1"/>
      <c r="C63" s="1"/>
      <c r="D63" s="1"/>
      <c r="F63" s="1"/>
      <c r="G63" s="1"/>
    </row>
    <row r="64" spans="1:8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8"/>
  <sheetViews>
    <sheetView showGridLines="0" tabSelected="1" topLeftCell="A9" zoomScaleNormal="100" workbookViewId="0">
      <selection activeCell="C42" sqref="C42"/>
    </sheetView>
  </sheetViews>
  <sheetFormatPr baseColWidth="10" defaultColWidth="11.46484375" defaultRowHeight="12.75"/>
  <cols>
    <col min="1" max="1" width="8.46484375" style="41" customWidth="1"/>
    <col min="2" max="2" width="14.53125" style="41" customWidth="1"/>
    <col min="3" max="3" width="30.73046875" style="41" customWidth="1"/>
    <col min="4" max="4" width="16" style="41" customWidth="1"/>
    <col min="5" max="5" width="16.19921875" style="41" customWidth="1"/>
    <col min="6" max="6" width="20.19921875" style="41" bestFit="1" customWidth="1"/>
    <col min="7" max="7" width="16.19921875" style="41" customWidth="1"/>
    <col min="8" max="8" width="16.265625" style="41" customWidth="1"/>
    <col min="9" max="9" width="3" style="41" customWidth="1"/>
    <col min="10" max="16384" width="11.46484375" style="41"/>
  </cols>
  <sheetData>
    <row r="1" spans="1:9" hidden="1">
      <c r="A1" s="40"/>
      <c r="B1" s="40"/>
      <c r="C1" s="40"/>
      <c r="D1" s="40"/>
      <c r="E1" s="40"/>
      <c r="F1" s="40"/>
      <c r="G1" s="40"/>
    </row>
    <row r="2" spans="1:9" hidden="1">
      <c r="A2" s="40"/>
      <c r="B2" s="40"/>
      <c r="C2" s="40"/>
      <c r="D2" s="40"/>
      <c r="E2" s="40"/>
      <c r="F2" s="40"/>
      <c r="G2" s="40"/>
    </row>
    <row r="3" spans="1:9" hidden="1">
      <c r="A3" s="40"/>
      <c r="B3" s="40"/>
      <c r="C3" s="40"/>
      <c r="D3" s="40"/>
      <c r="E3" s="40"/>
      <c r="F3" s="40"/>
      <c r="G3" s="40"/>
    </row>
    <row r="4" spans="1:9" hidden="1">
      <c r="A4" s="40"/>
      <c r="B4" s="40"/>
      <c r="C4" s="40"/>
      <c r="D4" s="40"/>
      <c r="E4" s="40"/>
      <c r="F4" s="40"/>
      <c r="G4" s="40"/>
    </row>
    <row r="5" spans="1:9" hidden="1">
      <c r="A5" s="40"/>
      <c r="B5" s="40"/>
      <c r="C5" s="40"/>
      <c r="D5" s="40"/>
      <c r="E5" s="40"/>
      <c r="F5" s="40"/>
      <c r="G5" s="40"/>
    </row>
    <row r="6" spans="1:9" hidden="1">
      <c r="A6" s="110"/>
      <c r="B6" s="110"/>
      <c r="C6" s="110"/>
      <c r="D6" s="110"/>
      <c r="E6" s="110"/>
      <c r="F6" s="110"/>
      <c r="G6" s="110"/>
    </row>
    <row r="7" spans="1:9" hidden="1">
      <c r="A7" s="40"/>
      <c r="B7" s="40"/>
      <c r="C7" s="40"/>
      <c r="D7" s="40"/>
      <c r="E7" s="40"/>
      <c r="F7" s="40"/>
      <c r="G7" s="40"/>
    </row>
    <row r="8" spans="1:9" ht="15" hidden="1">
      <c r="A8" s="111" t="s">
        <v>4</v>
      </c>
      <c r="B8" s="111"/>
      <c r="C8" s="111"/>
      <c r="D8" s="111"/>
      <c r="E8" s="111"/>
      <c r="F8" s="111"/>
      <c r="G8" s="111"/>
      <c r="H8" s="111"/>
    </row>
    <row r="9" spans="1:9" ht="13.9">
      <c r="A9" s="42" t="s">
        <v>1</v>
      </c>
      <c r="B9" s="40"/>
      <c r="C9" s="40"/>
      <c r="D9" s="40"/>
      <c r="E9" s="40"/>
      <c r="F9" s="40"/>
      <c r="G9" s="40"/>
    </row>
    <row r="10" spans="1:9">
      <c r="A10" s="43"/>
      <c r="B10" s="44"/>
      <c r="C10" s="44"/>
      <c r="D10" s="44"/>
      <c r="E10" s="44"/>
      <c r="F10" s="44"/>
      <c r="G10" s="44"/>
      <c r="H10" s="45"/>
      <c r="I10" s="46"/>
    </row>
    <row r="11" spans="1:9">
      <c r="A11" s="47" t="s">
        <v>39</v>
      </c>
      <c r="B11" s="40"/>
      <c r="C11" s="40"/>
      <c r="D11" s="40"/>
      <c r="E11" s="48"/>
      <c r="F11" s="48"/>
      <c r="G11" s="49"/>
      <c r="I11" s="50"/>
    </row>
    <row r="12" spans="1:9">
      <c r="A12" s="51"/>
      <c r="B12" s="40"/>
      <c r="C12" s="40"/>
      <c r="D12" s="40"/>
      <c r="E12" s="48"/>
      <c r="F12" s="48"/>
      <c r="G12" s="49"/>
      <c r="I12" s="50"/>
    </row>
    <row r="13" spans="1:9" ht="15">
      <c r="A13" s="52"/>
      <c r="C13" s="40"/>
      <c r="D13" s="40"/>
      <c r="E13" s="48"/>
      <c r="F13" s="48"/>
      <c r="G13" s="49"/>
      <c r="I13" s="50"/>
    </row>
    <row r="14" spans="1:9" ht="15">
      <c r="A14" s="53" t="s">
        <v>5</v>
      </c>
      <c r="B14" s="54"/>
      <c r="C14" s="40"/>
      <c r="D14" s="40"/>
      <c r="E14" s="48"/>
      <c r="F14" s="48"/>
      <c r="G14" s="49"/>
      <c r="I14" s="50"/>
    </row>
    <row r="15" spans="1:9" ht="15">
      <c r="A15" s="53" t="s">
        <v>6</v>
      </c>
      <c r="B15" s="54"/>
      <c r="C15" s="40"/>
      <c r="D15" s="40"/>
      <c r="E15" s="48"/>
      <c r="F15" s="48"/>
      <c r="G15" s="49"/>
      <c r="I15" s="50"/>
    </row>
    <row r="16" spans="1:9" ht="15">
      <c r="A16" s="53" t="s">
        <v>7</v>
      </c>
      <c r="B16" s="54"/>
      <c r="C16" s="40"/>
      <c r="D16" s="40"/>
      <c r="E16" s="48"/>
      <c r="F16" s="48"/>
      <c r="G16" s="49"/>
      <c r="I16" s="50"/>
    </row>
    <row r="17" spans="1:9" ht="15">
      <c r="A17" s="54" t="s">
        <v>38</v>
      </c>
      <c r="B17" s="54"/>
      <c r="C17" s="40"/>
      <c r="D17" s="40"/>
      <c r="E17" s="48"/>
      <c r="F17" s="48"/>
      <c r="G17" s="49"/>
      <c r="I17" s="50"/>
    </row>
    <row r="18" spans="1:9" ht="15">
      <c r="A18" s="112"/>
      <c r="B18" s="113"/>
      <c r="C18" s="40"/>
      <c r="D18" s="40"/>
      <c r="E18" s="49"/>
      <c r="F18" s="49"/>
      <c r="G18" s="49"/>
      <c r="I18" s="50"/>
    </row>
    <row r="19" spans="1:9" ht="15">
      <c r="A19" s="112"/>
      <c r="B19" s="113"/>
      <c r="C19" s="40"/>
      <c r="D19" s="40"/>
      <c r="E19" s="49"/>
      <c r="F19" s="49"/>
      <c r="G19" s="49"/>
      <c r="I19" s="50"/>
    </row>
    <row r="20" spans="1:9">
      <c r="A20" s="51"/>
      <c r="B20" s="40"/>
      <c r="C20" s="40"/>
      <c r="D20" s="40"/>
      <c r="E20" s="49"/>
      <c r="F20" s="49"/>
      <c r="G20" s="49"/>
      <c r="I20" s="50"/>
    </row>
    <row r="21" spans="1:9">
      <c r="A21" s="51"/>
      <c r="B21" s="40"/>
      <c r="C21" s="40"/>
      <c r="D21" s="40"/>
      <c r="E21" s="40"/>
      <c r="F21" s="40"/>
      <c r="G21" s="40"/>
      <c r="I21" s="50"/>
    </row>
    <row r="22" spans="1:9">
      <c r="A22" s="55" t="s">
        <v>8</v>
      </c>
      <c r="B22" s="56" t="s">
        <v>2</v>
      </c>
      <c r="C22" s="56" t="s">
        <v>9</v>
      </c>
      <c r="D22" s="56" t="s">
        <v>10</v>
      </c>
      <c r="F22" s="56" t="s">
        <v>11</v>
      </c>
      <c r="H22" s="56" t="s">
        <v>3</v>
      </c>
      <c r="I22" s="50"/>
    </row>
    <row r="23" spans="1:9" ht="12.75" customHeight="1">
      <c r="A23" s="51"/>
      <c r="B23" s="40"/>
      <c r="C23" s="40" t="s">
        <v>12</v>
      </c>
      <c r="D23" s="57" t="s">
        <v>13</v>
      </c>
      <c r="F23" s="41" t="s">
        <v>14</v>
      </c>
      <c r="H23" s="58" t="s">
        <v>40</v>
      </c>
      <c r="I23" s="50"/>
    </row>
    <row r="24" spans="1:9">
      <c r="A24" s="55"/>
      <c r="B24" s="56"/>
      <c r="C24" s="56"/>
      <c r="D24" s="59"/>
      <c r="E24" s="40"/>
      <c r="F24" s="60"/>
      <c r="G24" s="40"/>
      <c r="I24" s="50"/>
    </row>
    <row r="25" spans="1:9">
      <c r="A25" s="55"/>
      <c r="B25" s="56"/>
      <c r="C25" s="56"/>
      <c r="D25" s="56"/>
      <c r="E25" s="40"/>
      <c r="F25" s="40"/>
      <c r="G25" s="61"/>
      <c r="I25" s="50"/>
    </row>
    <row r="26" spans="1:9" ht="22.5">
      <c r="A26" s="62" t="s">
        <v>0</v>
      </c>
      <c r="B26" s="40"/>
      <c r="C26" s="56"/>
      <c r="D26" s="56"/>
      <c r="E26" s="40"/>
      <c r="F26" s="40"/>
      <c r="G26" s="61"/>
      <c r="I26" s="50"/>
    </row>
    <row r="27" spans="1:9" ht="17.649999999999999">
      <c r="A27" s="63"/>
      <c r="B27" s="40"/>
      <c r="C27" s="56"/>
      <c r="D27" s="56"/>
      <c r="E27" s="40"/>
      <c r="F27" s="40"/>
      <c r="G27" s="61"/>
      <c r="I27" s="50"/>
    </row>
    <row r="28" spans="1:9">
      <c r="A28" s="51"/>
      <c r="B28" s="40"/>
      <c r="C28" s="40"/>
      <c r="D28" s="40"/>
      <c r="E28" s="40"/>
      <c r="F28" s="40"/>
      <c r="G28" s="40"/>
      <c r="I28" s="50"/>
    </row>
    <row r="29" spans="1:9">
      <c r="A29" s="51"/>
      <c r="B29" s="40"/>
      <c r="C29" s="40"/>
      <c r="D29" s="40"/>
      <c r="E29" s="40"/>
      <c r="F29" s="40"/>
      <c r="G29" s="40"/>
      <c r="I29" s="50"/>
    </row>
    <row r="30" spans="1:9" ht="15">
      <c r="A30" s="64" t="s">
        <v>15</v>
      </c>
      <c r="C30" s="97">
        <v>2401</v>
      </c>
      <c r="D30" s="40"/>
      <c r="E30" s="40"/>
      <c r="F30" s="40"/>
      <c r="G30" s="40"/>
      <c r="I30" s="50"/>
    </row>
    <row r="31" spans="1:9" ht="15">
      <c r="A31" s="66" t="s">
        <v>16</v>
      </c>
      <c r="C31" s="65">
        <v>50215</v>
      </c>
      <c r="D31" s="40"/>
      <c r="E31" s="40"/>
      <c r="F31" s="40"/>
      <c r="G31" s="40"/>
      <c r="I31" s="50"/>
    </row>
    <row r="32" spans="1:9" ht="15">
      <c r="A32" s="66" t="s">
        <v>17</v>
      </c>
      <c r="B32" s="65"/>
      <c r="D32" s="40"/>
      <c r="E32" s="40"/>
      <c r="F32" s="40"/>
      <c r="G32" s="40"/>
      <c r="I32" s="50"/>
    </row>
    <row r="33" spans="1:9" ht="15">
      <c r="A33" s="66" t="s">
        <v>18</v>
      </c>
      <c r="B33" s="67"/>
      <c r="D33" s="40"/>
      <c r="E33" s="40"/>
      <c r="F33" s="40"/>
      <c r="G33" s="40"/>
      <c r="I33" s="50"/>
    </row>
    <row r="34" spans="1:9" ht="15">
      <c r="A34" s="51"/>
      <c r="B34" s="68"/>
      <c r="C34" s="69"/>
      <c r="D34" s="40"/>
      <c r="E34" s="40"/>
      <c r="F34" s="40"/>
      <c r="G34" s="40"/>
      <c r="I34" s="50"/>
    </row>
    <row r="35" spans="1:9">
      <c r="A35" s="51"/>
      <c r="B35" s="40"/>
      <c r="C35" s="40"/>
      <c r="D35" s="40"/>
      <c r="E35" s="40"/>
      <c r="F35" s="40"/>
      <c r="G35" s="40"/>
      <c r="I35" s="50"/>
    </row>
    <row r="36" spans="1:9" ht="13.5">
      <c r="A36" s="64"/>
      <c r="B36" s="40"/>
      <c r="C36" s="40"/>
      <c r="D36" s="40"/>
      <c r="E36" s="40"/>
      <c r="F36" s="40"/>
      <c r="G36" s="40"/>
      <c r="I36" s="50"/>
    </row>
    <row r="37" spans="1:9" ht="13.15" thickBot="1">
      <c r="A37" s="51"/>
      <c r="B37" s="40"/>
      <c r="C37" s="40"/>
      <c r="D37" s="40"/>
      <c r="E37" s="40"/>
      <c r="F37" s="40"/>
      <c r="G37" s="40"/>
      <c r="I37" s="50"/>
    </row>
    <row r="38" spans="1:9" ht="14.25" thickBot="1">
      <c r="A38" s="70" t="s">
        <v>19</v>
      </c>
      <c r="B38" s="70" t="s">
        <v>20</v>
      </c>
      <c r="C38" s="70" t="s">
        <v>21</v>
      </c>
      <c r="D38" s="70" t="s">
        <v>22</v>
      </c>
      <c r="E38" s="70" t="s">
        <v>23</v>
      </c>
      <c r="F38" s="70" t="s">
        <v>35</v>
      </c>
      <c r="G38" s="70" t="s">
        <v>24</v>
      </c>
      <c r="H38" s="71" t="s">
        <v>25</v>
      </c>
      <c r="I38" s="50"/>
    </row>
    <row r="39" spans="1:9" ht="13.5">
      <c r="A39" s="72">
        <v>1</v>
      </c>
      <c r="B39" s="72">
        <v>101111</v>
      </c>
      <c r="C39" s="73" t="s">
        <v>26</v>
      </c>
      <c r="D39" s="72">
        <v>10</v>
      </c>
      <c r="E39" s="74">
        <v>489</v>
      </c>
      <c r="F39" s="75">
        <v>10</v>
      </c>
      <c r="G39" s="95">
        <f>D39*E39*F39/100</f>
        <v>489</v>
      </c>
      <c r="H39" s="95">
        <f>D39*E39-G39</f>
        <v>4401</v>
      </c>
      <c r="I39" s="50"/>
    </row>
    <row r="40" spans="1:9" ht="13.5">
      <c r="A40" s="76">
        <v>2</v>
      </c>
      <c r="B40" s="76">
        <v>101114</v>
      </c>
      <c r="C40" s="77" t="s">
        <v>36</v>
      </c>
      <c r="D40" s="76">
        <v>25</v>
      </c>
      <c r="E40" s="78">
        <v>98</v>
      </c>
      <c r="F40" s="78">
        <v>15</v>
      </c>
      <c r="G40" s="96">
        <f>D40*E40*F40/100</f>
        <v>367.5</v>
      </c>
      <c r="H40" s="96">
        <f>D40*E40-G40</f>
        <v>2082.5</v>
      </c>
      <c r="I40" s="50"/>
    </row>
    <row r="41" spans="1:9" ht="13.5">
      <c r="A41" s="72">
        <v>3</v>
      </c>
      <c r="B41" s="72">
        <v>202111</v>
      </c>
      <c r="C41" s="73" t="s">
        <v>37</v>
      </c>
      <c r="D41" s="72">
        <v>20</v>
      </c>
      <c r="E41" s="74">
        <v>228</v>
      </c>
      <c r="F41" s="74">
        <v>15</v>
      </c>
      <c r="G41" s="95">
        <f>D41*E41*F41/100</f>
        <v>684</v>
      </c>
      <c r="H41" s="95">
        <f>D41*E41-G41</f>
        <v>3876</v>
      </c>
      <c r="I41" s="50"/>
    </row>
    <row r="42" spans="1:9" ht="13.5">
      <c r="A42" s="76">
        <v>4</v>
      </c>
      <c r="B42" s="76">
        <v>202114</v>
      </c>
      <c r="C42" s="77" t="s">
        <v>48</v>
      </c>
      <c r="D42" s="76">
        <v>15</v>
      </c>
      <c r="E42" s="78">
        <v>349</v>
      </c>
      <c r="F42" s="78">
        <v>10</v>
      </c>
      <c r="G42" s="96">
        <f>D42*E42*F42/100</f>
        <v>523.5</v>
      </c>
      <c r="H42" s="96">
        <f>D42*E42-G42</f>
        <v>4711.5</v>
      </c>
      <c r="I42" s="50"/>
    </row>
    <row r="43" spans="1:9" ht="13.5">
      <c r="A43" s="72"/>
      <c r="B43" s="72"/>
      <c r="C43" s="73"/>
      <c r="D43" s="72"/>
      <c r="E43" s="74"/>
      <c r="F43" s="74"/>
      <c r="G43" s="74"/>
      <c r="H43" s="74"/>
      <c r="I43" s="50"/>
    </row>
    <row r="44" spans="1:9" ht="13.5" hidden="1">
      <c r="A44" s="76"/>
      <c r="B44" s="76"/>
      <c r="C44" s="77"/>
      <c r="D44" s="76"/>
      <c r="E44" s="78"/>
      <c r="F44" s="78"/>
      <c r="G44" s="78"/>
      <c r="H44" s="78"/>
      <c r="I44" s="50"/>
    </row>
    <row r="45" spans="1:9" ht="13.5" hidden="1">
      <c r="A45" s="72"/>
      <c r="B45" s="72"/>
      <c r="C45" s="73"/>
      <c r="D45" s="72"/>
      <c r="E45" s="74"/>
      <c r="F45" s="74"/>
      <c r="G45" s="74"/>
      <c r="H45" s="74"/>
      <c r="I45" s="50"/>
    </row>
    <row r="46" spans="1:9" ht="13.5" hidden="1">
      <c r="A46" s="76"/>
      <c r="B46" s="76"/>
      <c r="C46" s="77"/>
      <c r="D46" s="76"/>
      <c r="E46" s="78"/>
      <c r="F46" s="78"/>
      <c r="G46" s="78"/>
      <c r="H46" s="78"/>
      <c r="I46" s="50"/>
    </row>
    <row r="47" spans="1:9" ht="13.5" hidden="1">
      <c r="A47" s="72"/>
      <c r="B47" s="72"/>
      <c r="C47" s="73"/>
      <c r="D47" s="72"/>
      <c r="E47" s="74"/>
      <c r="F47" s="74"/>
      <c r="G47" s="74"/>
      <c r="H47" s="74"/>
      <c r="I47" s="50"/>
    </row>
    <row r="48" spans="1:9" ht="13.5" hidden="1">
      <c r="A48" s="76"/>
      <c r="B48" s="76"/>
      <c r="C48" s="77"/>
      <c r="D48" s="76"/>
      <c r="E48" s="78"/>
      <c r="F48" s="78"/>
      <c r="G48" s="78"/>
      <c r="H48" s="78"/>
      <c r="I48" s="50"/>
    </row>
    <row r="49" spans="1:9" ht="13.5" hidden="1">
      <c r="A49" s="72"/>
      <c r="B49" s="72"/>
      <c r="C49" s="73"/>
      <c r="D49" s="72"/>
      <c r="E49" s="74"/>
      <c r="F49" s="74"/>
      <c r="G49" s="74"/>
      <c r="H49" s="74"/>
      <c r="I49" s="50"/>
    </row>
    <row r="50" spans="1:9" ht="13.5" hidden="1">
      <c r="A50" s="76"/>
      <c r="B50" s="76"/>
      <c r="C50" s="77"/>
      <c r="D50" s="76"/>
      <c r="E50" s="78"/>
      <c r="F50" s="78"/>
      <c r="G50" s="78"/>
      <c r="H50" s="78"/>
      <c r="I50" s="50"/>
    </row>
    <row r="51" spans="1:9" ht="13.5" hidden="1">
      <c r="A51" s="72"/>
      <c r="B51" s="72"/>
      <c r="C51" s="73"/>
      <c r="D51" s="72"/>
      <c r="E51" s="74"/>
      <c r="F51" s="74"/>
      <c r="G51" s="74"/>
      <c r="H51" s="74"/>
      <c r="I51" s="50"/>
    </row>
    <row r="52" spans="1:9" ht="13.5" hidden="1">
      <c r="A52" s="76"/>
      <c r="B52" s="76"/>
      <c r="C52" s="77"/>
      <c r="D52" s="76"/>
      <c r="E52" s="78"/>
      <c r="F52" s="78"/>
      <c r="G52" s="78"/>
      <c r="H52" s="78"/>
      <c r="I52" s="50"/>
    </row>
    <row r="53" spans="1:9" ht="13.5" hidden="1">
      <c r="A53" s="72"/>
      <c r="B53" s="72"/>
      <c r="C53" s="73"/>
      <c r="D53" s="72"/>
      <c r="E53" s="74"/>
      <c r="F53" s="74"/>
      <c r="G53" s="74"/>
      <c r="H53" s="74"/>
      <c r="I53" s="50"/>
    </row>
    <row r="54" spans="1:9" ht="13.5" hidden="1">
      <c r="A54" s="79"/>
      <c r="B54" s="79"/>
      <c r="C54" s="80"/>
      <c r="D54" s="79"/>
      <c r="E54" s="81"/>
      <c r="F54" s="78"/>
      <c r="G54" s="78"/>
      <c r="H54" s="78"/>
      <c r="I54" s="50"/>
    </row>
    <row r="55" spans="1:9" ht="13.5" hidden="1">
      <c r="A55" s="82"/>
      <c r="B55" s="83"/>
      <c r="C55" s="83"/>
      <c r="D55" s="83"/>
      <c r="F55" s="84" t="s">
        <v>27</v>
      </c>
      <c r="G55" s="85"/>
      <c r="H55" s="86">
        <f>SUM(H39:H54)</f>
        <v>15071</v>
      </c>
      <c r="I55" s="50"/>
    </row>
    <row r="56" spans="1:9" ht="13.5" hidden="1">
      <c r="A56" s="82"/>
      <c r="B56" s="83"/>
      <c r="C56" s="83"/>
      <c r="D56" s="83"/>
      <c r="F56" s="114">
        <v>19</v>
      </c>
      <c r="G56" s="115"/>
      <c r="H56" s="86">
        <f>H55*F56/100</f>
        <v>2863.49</v>
      </c>
      <c r="I56" s="50"/>
    </row>
    <row r="57" spans="1:9" ht="13.9" hidden="1">
      <c r="A57" s="82"/>
      <c r="B57" s="83"/>
      <c r="C57" s="83"/>
      <c r="D57" s="83"/>
      <c r="F57" s="87" t="s">
        <v>28</v>
      </c>
      <c r="G57" s="85" t="s">
        <v>29</v>
      </c>
      <c r="H57" s="88">
        <f>H55+H56</f>
        <v>17934.489999999998</v>
      </c>
      <c r="I57" s="50"/>
    </row>
    <row r="58" spans="1:9" ht="13.5" hidden="1">
      <c r="A58" s="64"/>
      <c r="B58" s="89"/>
      <c r="C58" s="89"/>
      <c r="D58" s="89"/>
      <c r="E58" s="89"/>
      <c r="F58" s="89"/>
      <c r="G58" s="89"/>
      <c r="I58" s="50"/>
    </row>
    <row r="59" spans="1:9" ht="13.5" hidden="1">
      <c r="A59" s="64"/>
      <c r="B59" s="89"/>
      <c r="C59" s="89"/>
      <c r="D59" s="89"/>
      <c r="E59" s="89"/>
      <c r="I59" s="50"/>
    </row>
    <row r="60" spans="1:9" ht="13.5" hidden="1">
      <c r="A60" s="90" t="s">
        <v>30</v>
      </c>
      <c r="C60" s="89"/>
      <c r="D60" s="89"/>
      <c r="F60" s="89" t="s">
        <v>31</v>
      </c>
      <c r="I60" s="50"/>
    </row>
    <row r="61" spans="1:9" hidden="1">
      <c r="A61" s="51" t="s">
        <v>32</v>
      </c>
      <c r="B61" s="40"/>
      <c r="C61" s="40"/>
      <c r="D61" s="40"/>
      <c r="F61" s="40" t="s">
        <v>33</v>
      </c>
      <c r="I61" s="50"/>
    </row>
    <row r="62" spans="1:9" hidden="1">
      <c r="A62" s="51"/>
      <c r="B62" s="40"/>
      <c r="C62" s="40"/>
      <c r="D62" s="40"/>
      <c r="F62" s="40" t="s">
        <v>34</v>
      </c>
      <c r="G62" s="40"/>
      <c r="I62" s="50"/>
    </row>
    <row r="63" spans="1:9">
      <c r="A63" s="91"/>
      <c r="B63" s="92"/>
      <c r="C63" s="92"/>
      <c r="D63" s="92"/>
      <c r="E63" s="93"/>
      <c r="F63" s="92"/>
      <c r="G63" s="92"/>
      <c r="H63" s="93"/>
      <c r="I63" s="94"/>
    </row>
    <row r="64" spans="1:9">
      <c r="A64" s="40"/>
      <c r="B64" s="40"/>
      <c r="C64" s="40"/>
      <c r="D64" s="40"/>
      <c r="E64" s="40"/>
      <c r="F64" s="40"/>
      <c r="G64" s="40"/>
    </row>
    <row r="65" spans="1:7">
      <c r="A65" s="40"/>
      <c r="B65" s="40"/>
      <c r="C65" s="40"/>
      <c r="D65" s="40"/>
      <c r="E65" s="40"/>
      <c r="F65" s="40"/>
      <c r="G65" s="40"/>
    </row>
    <row r="66" spans="1:7">
      <c r="A66" s="40"/>
      <c r="B66" s="40"/>
      <c r="C66" s="40"/>
      <c r="D66" s="40"/>
      <c r="E66" s="40"/>
      <c r="F66" s="40"/>
      <c r="G66" s="40"/>
    </row>
    <row r="67" spans="1:7">
      <c r="A67" s="40"/>
      <c r="B67" s="40"/>
      <c r="C67" s="40"/>
      <c r="D67" s="40"/>
      <c r="E67" s="40"/>
      <c r="F67" s="40"/>
      <c r="G67" s="40"/>
    </row>
    <row r="68" spans="1:7">
      <c r="A68" s="40"/>
      <c r="B68" s="40"/>
      <c r="C68" s="40"/>
      <c r="D68" s="40"/>
      <c r="E68" s="40"/>
      <c r="F68" s="40"/>
      <c r="G68" s="40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8"/>
  <sheetViews>
    <sheetView showGridLines="0" topLeftCell="A21" zoomScaleNormal="100" workbookViewId="0">
      <selection activeCell="C41" sqref="C41"/>
    </sheetView>
  </sheetViews>
  <sheetFormatPr baseColWidth="10" defaultColWidth="11.46484375" defaultRowHeight="12.75"/>
  <cols>
    <col min="1" max="1" width="8.46484375" style="41" customWidth="1"/>
    <col min="2" max="2" width="14.53125" style="41" customWidth="1"/>
    <col min="3" max="3" width="30.73046875" style="41" customWidth="1"/>
    <col min="4" max="4" width="16" style="41" customWidth="1"/>
    <col min="5" max="5" width="16.19921875" style="41" customWidth="1"/>
    <col min="6" max="6" width="20.19921875" style="41" bestFit="1" customWidth="1"/>
    <col min="7" max="7" width="16.19921875" style="41" customWidth="1"/>
    <col min="8" max="8" width="16.265625" style="41" customWidth="1"/>
    <col min="9" max="9" width="3" style="41" customWidth="1"/>
    <col min="10" max="16384" width="11.46484375" style="41"/>
  </cols>
  <sheetData>
    <row r="1" spans="1:9" hidden="1">
      <c r="A1" s="40"/>
      <c r="B1" s="40"/>
      <c r="C1" s="40"/>
      <c r="D1" s="40"/>
      <c r="E1" s="40"/>
      <c r="F1" s="40"/>
      <c r="G1" s="40"/>
    </row>
    <row r="2" spans="1:9" hidden="1">
      <c r="A2" s="40"/>
      <c r="B2" s="40"/>
      <c r="C2" s="40"/>
      <c r="D2" s="40"/>
      <c r="E2" s="40"/>
      <c r="F2" s="40"/>
      <c r="G2" s="40"/>
    </row>
    <row r="3" spans="1:9" hidden="1">
      <c r="A3" s="40"/>
      <c r="B3" s="40"/>
      <c r="C3" s="40"/>
      <c r="D3" s="40"/>
      <c r="E3" s="40"/>
      <c r="F3" s="40"/>
      <c r="G3" s="40"/>
    </row>
    <row r="4" spans="1:9" hidden="1">
      <c r="A4" s="40"/>
      <c r="B4" s="40"/>
      <c r="C4" s="40"/>
      <c r="D4" s="40"/>
      <c r="E4" s="40"/>
      <c r="F4" s="40"/>
      <c r="G4" s="40"/>
    </row>
    <row r="5" spans="1:9" hidden="1">
      <c r="A5" s="40"/>
      <c r="B5" s="40"/>
      <c r="C5" s="40"/>
      <c r="D5" s="40"/>
      <c r="E5" s="40"/>
      <c r="F5" s="40"/>
      <c r="G5" s="40"/>
    </row>
    <row r="6" spans="1:9" hidden="1">
      <c r="A6" s="110"/>
      <c r="B6" s="110"/>
      <c r="C6" s="110"/>
      <c r="D6" s="110"/>
      <c r="E6" s="110"/>
      <c r="F6" s="110"/>
      <c r="G6" s="110"/>
    </row>
    <row r="7" spans="1:9" hidden="1">
      <c r="A7" s="40"/>
      <c r="B7" s="40"/>
      <c r="C7" s="40"/>
      <c r="D7" s="40"/>
      <c r="E7" s="40"/>
      <c r="F7" s="40"/>
      <c r="G7" s="40"/>
    </row>
    <row r="8" spans="1:9" ht="15" hidden="1">
      <c r="A8" s="111" t="s">
        <v>4</v>
      </c>
      <c r="B8" s="111"/>
      <c r="C8" s="111"/>
      <c r="D8" s="111"/>
      <c r="E8" s="111"/>
      <c r="F8" s="111"/>
      <c r="G8" s="111"/>
      <c r="H8" s="111"/>
    </row>
    <row r="9" spans="1:9" ht="13.9">
      <c r="A9" s="42" t="s">
        <v>1</v>
      </c>
      <c r="B9" s="40"/>
      <c r="C9" s="40"/>
      <c r="D9" s="40"/>
      <c r="E9" s="40"/>
      <c r="F9" s="40"/>
      <c r="G9" s="40"/>
    </row>
    <row r="10" spans="1:9">
      <c r="A10" s="43"/>
      <c r="B10" s="44"/>
      <c r="C10" s="44"/>
      <c r="D10" s="44"/>
      <c r="E10" s="44"/>
      <c r="F10" s="44"/>
      <c r="G10" s="44"/>
      <c r="H10" s="45"/>
      <c r="I10" s="46"/>
    </row>
    <row r="11" spans="1:9">
      <c r="A11" s="47" t="s">
        <v>39</v>
      </c>
      <c r="B11" s="40"/>
      <c r="C11" s="40"/>
      <c r="D11" s="40"/>
      <c r="E11" s="48"/>
      <c r="F11" s="48"/>
      <c r="G11" s="49"/>
      <c r="I11" s="50"/>
    </row>
    <row r="12" spans="1:9">
      <c r="A12" s="51"/>
      <c r="B12" s="40"/>
      <c r="C12" s="40"/>
      <c r="D12" s="40"/>
      <c r="E12" s="48"/>
      <c r="F12" s="48"/>
      <c r="G12" s="49"/>
      <c r="I12" s="50"/>
    </row>
    <row r="13" spans="1:9" ht="15">
      <c r="A13" s="52"/>
      <c r="C13" s="40"/>
      <c r="D13" s="40"/>
      <c r="E13" s="48"/>
      <c r="F13" s="48"/>
      <c r="G13" s="49"/>
      <c r="I13" s="50"/>
    </row>
    <row r="14" spans="1:9" ht="15">
      <c r="A14" s="53" t="s">
        <v>5</v>
      </c>
      <c r="B14" s="54"/>
      <c r="C14" s="40"/>
      <c r="D14" s="40"/>
      <c r="E14" s="48"/>
      <c r="F14" s="48"/>
      <c r="G14" s="49"/>
      <c r="I14" s="50"/>
    </row>
    <row r="15" spans="1:9" ht="15">
      <c r="A15" s="53" t="s">
        <v>6</v>
      </c>
      <c r="B15" s="54"/>
      <c r="C15" s="40"/>
      <c r="D15" s="40"/>
      <c r="E15" s="48"/>
      <c r="F15" s="48"/>
      <c r="G15" s="49"/>
      <c r="I15" s="50"/>
    </row>
    <row r="16" spans="1:9" ht="15">
      <c r="A16" s="53" t="s">
        <v>7</v>
      </c>
      <c r="B16" s="54"/>
      <c r="C16" s="40"/>
      <c r="D16" s="40"/>
      <c r="E16" s="48"/>
      <c r="F16" s="48"/>
      <c r="G16" s="49"/>
      <c r="I16" s="50"/>
    </row>
    <row r="17" spans="1:9" ht="15">
      <c r="A17" s="54" t="s">
        <v>38</v>
      </c>
      <c r="B17" s="54"/>
      <c r="C17" s="40"/>
      <c r="D17" s="40"/>
      <c r="E17" s="48"/>
      <c r="F17" s="48"/>
      <c r="G17" s="49"/>
      <c r="I17" s="50"/>
    </row>
    <row r="18" spans="1:9" ht="15">
      <c r="A18" s="112"/>
      <c r="B18" s="113"/>
      <c r="C18" s="40"/>
      <c r="D18" s="40"/>
      <c r="E18" s="49"/>
      <c r="F18" s="49"/>
      <c r="G18" s="49"/>
      <c r="I18" s="50"/>
    </row>
    <row r="19" spans="1:9" ht="15">
      <c r="A19" s="112"/>
      <c r="B19" s="113"/>
      <c r="C19" s="40"/>
      <c r="D19" s="40"/>
      <c r="E19" s="49"/>
      <c r="F19" s="49"/>
      <c r="G19" s="49"/>
      <c r="I19" s="50"/>
    </row>
    <row r="20" spans="1:9">
      <c r="A20" s="51"/>
      <c r="B20" s="40"/>
      <c r="C20" s="40"/>
      <c r="D20" s="40"/>
      <c r="E20" s="49"/>
      <c r="F20" s="49"/>
      <c r="G20" s="49"/>
      <c r="I20" s="50"/>
    </row>
    <row r="21" spans="1:9">
      <c r="A21" s="51"/>
      <c r="B21" s="40"/>
      <c r="C21" s="40"/>
      <c r="D21" s="40"/>
      <c r="E21" s="40"/>
      <c r="F21" s="40"/>
      <c r="G21" s="40"/>
      <c r="I21" s="50"/>
    </row>
    <row r="22" spans="1:9">
      <c r="A22" s="55" t="s">
        <v>8</v>
      </c>
      <c r="B22" s="56" t="s">
        <v>2</v>
      </c>
      <c r="C22" s="56" t="s">
        <v>9</v>
      </c>
      <c r="D22" s="56" t="s">
        <v>10</v>
      </c>
      <c r="F22" s="56" t="s">
        <v>11</v>
      </c>
      <c r="H22" s="56" t="s">
        <v>3</v>
      </c>
      <c r="I22" s="50"/>
    </row>
    <row r="23" spans="1:9" ht="12.75" customHeight="1">
      <c r="A23" s="51"/>
      <c r="B23" s="40"/>
      <c r="C23" s="40" t="s">
        <v>12</v>
      </c>
      <c r="D23" s="57" t="s">
        <v>13</v>
      </c>
      <c r="F23" s="41" t="s">
        <v>14</v>
      </c>
      <c r="H23" s="58" t="s">
        <v>40</v>
      </c>
      <c r="I23" s="50"/>
    </row>
    <row r="24" spans="1:9">
      <c r="A24" s="55"/>
      <c r="B24" s="56"/>
      <c r="C24" s="56"/>
      <c r="D24" s="59"/>
      <c r="E24" s="40"/>
      <c r="F24" s="60"/>
      <c r="G24" s="40"/>
      <c r="I24" s="50"/>
    </row>
    <row r="25" spans="1:9">
      <c r="A25" s="55"/>
      <c r="B25" s="56"/>
      <c r="C25" s="56"/>
      <c r="D25" s="56"/>
      <c r="E25" s="40"/>
      <c r="F25" s="40"/>
      <c r="G25" s="61"/>
      <c r="I25" s="50"/>
    </row>
    <row r="26" spans="1:9" ht="22.5">
      <c r="A26" s="62" t="s">
        <v>0</v>
      </c>
      <c r="B26" s="40"/>
      <c r="C26" s="56"/>
      <c r="D26" s="56"/>
      <c r="E26" s="40"/>
      <c r="F26" s="40"/>
      <c r="G26" s="61"/>
      <c r="I26" s="50"/>
    </row>
    <row r="27" spans="1:9" ht="17.649999999999999">
      <c r="A27" s="63"/>
      <c r="B27" s="40"/>
      <c r="C27" s="56"/>
      <c r="D27" s="56"/>
      <c r="E27" s="40"/>
      <c r="F27" s="40"/>
      <c r="G27" s="61"/>
      <c r="I27" s="50"/>
    </row>
    <row r="28" spans="1:9">
      <c r="A28" s="51"/>
      <c r="B28" s="40"/>
      <c r="C28" s="40"/>
      <c r="D28" s="40"/>
      <c r="E28" s="40"/>
      <c r="F28" s="40"/>
      <c r="G28" s="40"/>
      <c r="I28" s="50"/>
    </row>
    <row r="29" spans="1:9">
      <c r="A29" s="51"/>
      <c r="B29" s="40"/>
      <c r="C29" s="40"/>
      <c r="D29" s="40"/>
      <c r="E29" s="40"/>
      <c r="F29" s="40"/>
      <c r="G29" s="40"/>
      <c r="I29" s="50"/>
    </row>
    <row r="30" spans="1:9" ht="15">
      <c r="A30" s="64" t="s">
        <v>15</v>
      </c>
      <c r="C30" s="97">
        <v>2401</v>
      </c>
      <c r="D30" s="40"/>
      <c r="E30" s="40"/>
      <c r="F30" s="40"/>
      <c r="G30" s="40"/>
      <c r="I30" s="50"/>
    </row>
    <row r="31" spans="1:9" ht="15">
      <c r="A31" s="66" t="s">
        <v>16</v>
      </c>
      <c r="C31" s="65">
        <v>50215</v>
      </c>
      <c r="D31" s="40"/>
      <c r="E31" s="40"/>
      <c r="F31" s="40"/>
      <c r="G31" s="40"/>
      <c r="I31" s="50"/>
    </row>
    <row r="32" spans="1:9" ht="15">
      <c r="A32" s="66" t="s">
        <v>17</v>
      </c>
      <c r="B32" s="65"/>
      <c r="D32" s="40"/>
      <c r="E32" s="40"/>
      <c r="F32" s="40"/>
      <c r="G32" s="40"/>
      <c r="I32" s="50"/>
    </row>
    <row r="33" spans="1:9" ht="15">
      <c r="A33" s="66" t="s">
        <v>18</v>
      </c>
      <c r="B33" s="67"/>
      <c r="D33" s="40"/>
      <c r="E33" s="40"/>
      <c r="F33" s="40"/>
      <c r="G33" s="40"/>
      <c r="I33" s="50"/>
    </row>
    <row r="34" spans="1:9" ht="15">
      <c r="A34" s="51"/>
      <c r="B34" s="68"/>
      <c r="C34" s="69"/>
      <c r="D34" s="40"/>
      <c r="E34" s="40"/>
      <c r="F34" s="40"/>
      <c r="G34" s="40"/>
      <c r="I34" s="50"/>
    </row>
    <row r="35" spans="1:9">
      <c r="A35" s="51"/>
      <c r="B35" s="40"/>
      <c r="C35" s="40"/>
      <c r="D35" s="40"/>
      <c r="E35" s="40"/>
      <c r="F35" s="40"/>
      <c r="G35" s="40"/>
      <c r="I35" s="50"/>
    </row>
    <row r="36" spans="1:9" ht="13.5">
      <c r="A36" s="64"/>
      <c r="B36" s="40"/>
      <c r="C36" s="40"/>
      <c r="D36" s="40"/>
      <c r="E36" s="40"/>
      <c r="F36" s="40"/>
      <c r="G36" s="40"/>
      <c r="I36" s="50"/>
    </row>
    <row r="37" spans="1:9" ht="13.15" thickBot="1">
      <c r="A37" s="51"/>
      <c r="B37" s="40"/>
      <c r="C37" s="40"/>
      <c r="D37" s="40"/>
      <c r="E37" s="40"/>
      <c r="F37" s="40"/>
      <c r="G37" s="40"/>
      <c r="I37" s="50"/>
    </row>
    <row r="38" spans="1:9" ht="14.25" thickBot="1">
      <c r="A38" s="70" t="s">
        <v>19</v>
      </c>
      <c r="B38" s="70" t="s">
        <v>20</v>
      </c>
      <c r="C38" s="70" t="s">
        <v>21</v>
      </c>
      <c r="D38" s="70" t="s">
        <v>22</v>
      </c>
      <c r="E38" s="70" t="s">
        <v>23</v>
      </c>
      <c r="F38" s="70" t="s">
        <v>35</v>
      </c>
      <c r="G38" s="70" t="s">
        <v>24</v>
      </c>
      <c r="H38" s="71" t="s">
        <v>25</v>
      </c>
      <c r="I38" s="50"/>
    </row>
    <row r="39" spans="1:9" ht="13.5">
      <c r="A39" s="72">
        <v>1</v>
      </c>
      <c r="B39" s="72">
        <v>101112</v>
      </c>
      <c r="C39" s="73" t="str">
        <f>VLOOKUP(B39,Artikel!$A$2:$C$10,2,FALSE)</f>
        <v>Schreibtisch Ahorn</v>
      </c>
      <c r="D39" s="72">
        <v>10</v>
      </c>
      <c r="E39" s="103">
        <f>VLOOKUP(B39,Artikel!$A$2:$C$10,3,FALSE)</f>
        <v>519</v>
      </c>
      <c r="F39" s="75">
        <v>10</v>
      </c>
      <c r="G39" s="95">
        <f>D39*E39*F39/100</f>
        <v>519</v>
      </c>
      <c r="H39" s="95">
        <f>D39*E39-G39</f>
        <v>4671</v>
      </c>
      <c r="I39" s="50"/>
    </row>
    <row r="40" spans="1:9" ht="13.5">
      <c r="A40" s="76">
        <v>2</v>
      </c>
      <c r="B40" s="76">
        <v>101114</v>
      </c>
      <c r="C40" s="77" t="str">
        <f>VLOOKUP(B40,Artikel!$A$2:$C$10,2,FALSE)</f>
        <v>Konferenztischelement lichtgrau</v>
      </c>
      <c r="D40" s="76">
        <v>25</v>
      </c>
      <c r="E40" s="78">
        <f>VLOOKUP(B40,Artikel!$A$2:$C$10,3,FALSE)</f>
        <v>98</v>
      </c>
      <c r="F40" s="78">
        <v>15</v>
      </c>
      <c r="G40" s="96">
        <f>D40*E40*F40/100</f>
        <v>367.5</v>
      </c>
      <c r="H40" s="96">
        <f>D40*E40-G40</f>
        <v>2082.5</v>
      </c>
      <c r="I40" s="50"/>
    </row>
    <row r="41" spans="1:9" ht="13.5">
      <c r="A41" s="72">
        <v>3</v>
      </c>
      <c r="B41" s="72">
        <v>202111</v>
      </c>
      <c r="C41" s="73" t="str">
        <f>VLOOKUP(B41,Artikel!$A$2:$C$10,2,FALSE)</f>
        <v>Bürostuhl Comfort</v>
      </c>
      <c r="D41" s="72">
        <v>20</v>
      </c>
      <c r="E41" s="74">
        <f>VLOOKUP(B41,Artikel!$A$2:$C$10,3,FALSE)</f>
        <v>228</v>
      </c>
      <c r="F41" s="74">
        <v>15</v>
      </c>
      <c r="G41" s="95">
        <f>D41*E41*F41/100</f>
        <v>684</v>
      </c>
      <c r="H41" s="95">
        <f>D41*E41-G41</f>
        <v>3876</v>
      </c>
      <c r="I41" s="50"/>
    </row>
    <row r="42" spans="1:9" ht="13.5">
      <c r="A42" s="76">
        <v>4</v>
      </c>
      <c r="B42" s="76">
        <v>202114</v>
      </c>
      <c r="C42" s="77" t="str">
        <f>VLOOKUP(B42,Artikel!$A$2:$C$10,2,FALSE)</f>
        <v>Bürosessel Tenno</v>
      </c>
      <c r="D42" s="76">
        <v>15</v>
      </c>
      <c r="E42" s="78">
        <f>VLOOKUP(B42,Artikel!$A$2:$C$10,3,FALSE)</f>
        <v>349</v>
      </c>
      <c r="F42" s="78">
        <v>10</v>
      </c>
      <c r="G42" s="96">
        <f>D42*E42*F42/100</f>
        <v>523.5</v>
      </c>
      <c r="H42" s="96">
        <f>D42*E42-G42</f>
        <v>4711.5</v>
      </c>
      <c r="I42" s="50"/>
    </row>
    <row r="43" spans="1:9" ht="13.5">
      <c r="A43" s="72"/>
      <c r="B43" s="72"/>
      <c r="C43" s="73"/>
      <c r="D43" s="72"/>
      <c r="E43" s="74"/>
      <c r="F43" s="74"/>
      <c r="G43" s="74"/>
      <c r="H43" s="74"/>
      <c r="I43" s="50"/>
    </row>
    <row r="44" spans="1:9" ht="13.5" hidden="1">
      <c r="A44" s="76"/>
      <c r="B44" s="76"/>
      <c r="C44" s="77"/>
      <c r="D44" s="76"/>
      <c r="E44" s="78"/>
      <c r="F44" s="78"/>
      <c r="G44" s="78"/>
      <c r="H44" s="78"/>
      <c r="I44" s="50"/>
    </row>
    <row r="45" spans="1:9" ht="13.5" hidden="1">
      <c r="A45" s="72"/>
      <c r="B45" s="72"/>
      <c r="C45" s="73"/>
      <c r="D45" s="72"/>
      <c r="E45" s="74"/>
      <c r="F45" s="74"/>
      <c r="G45" s="74"/>
      <c r="H45" s="74"/>
      <c r="I45" s="50"/>
    </row>
    <row r="46" spans="1:9" ht="13.5" hidden="1">
      <c r="A46" s="76"/>
      <c r="B46" s="76"/>
      <c r="C46" s="77"/>
      <c r="D46" s="76"/>
      <c r="E46" s="78"/>
      <c r="F46" s="78"/>
      <c r="G46" s="78"/>
      <c r="H46" s="78"/>
      <c r="I46" s="50"/>
    </row>
    <row r="47" spans="1:9" ht="13.5" hidden="1">
      <c r="A47" s="72"/>
      <c r="B47" s="72"/>
      <c r="C47" s="73"/>
      <c r="D47" s="72"/>
      <c r="E47" s="74"/>
      <c r="F47" s="74"/>
      <c r="G47" s="74"/>
      <c r="H47" s="74"/>
      <c r="I47" s="50"/>
    </row>
    <row r="48" spans="1:9" ht="13.5" hidden="1">
      <c r="A48" s="76"/>
      <c r="B48" s="76"/>
      <c r="C48" s="77"/>
      <c r="D48" s="76"/>
      <c r="E48" s="78"/>
      <c r="F48" s="78"/>
      <c r="G48" s="78"/>
      <c r="H48" s="78"/>
      <c r="I48" s="50"/>
    </row>
    <row r="49" spans="1:9" ht="13.5" hidden="1">
      <c r="A49" s="72"/>
      <c r="B49" s="72"/>
      <c r="C49" s="73"/>
      <c r="D49" s="72"/>
      <c r="E49" s="74"/>
      <c r="F49" s="74"/>
      <c r="G49" s="74"/>
      <c r="H49" s="74"/>
      <c r="I49" s="50"/>
    </row>
    <row r="50" spans="1:9" ht="13.5" hidden="1">
      <c r="A50" s="76"/>
      <c r="B50" s="76"/>
      <c r="C50" s="77"/>
      <c r="D50" s="76"/>
      <c r="E50" s="78"/>
      <c r="F50" s="78"/>
      <c r="G50" s="78"/>
      <c r="H50" s="78"/>
      <c r="I50" s="50"/>
    </row>
    <row r="51" spans="1:9" ht="13.5" hidden="1">
      <c r="A51" s="72"/>
      <c r="B51" s="72"/>
      <c r="C51" s="73"/>
      <c r="D51" s="72"/>
      <c r="E51" s="74"/>
      <c r="F51" s="74"/>
      <c r="G51" s="74"/>
      <c r="H51" s="74"/>
      <c r="I51" s="50"/>
    </row>
    <row r="52" spans="1:9" ht="13.5" hidden="1">
      <c r="A52" s="76"/>
      <c r="B52" s="76"/>
      <c r="C52" s="77"/>
      <c r="D52" s="76"/>
      <c r="E52" s="78"/>
      <c r="F52" s="78"/>
      <c r="G52" s="78"/>
      <c r="H52" s="78"/>
      <c r="I52" s="50"/>
    </row>
    <row r="53" spans="1:9" ht="13.5" hidden="1">
      <c r="A53" s="72"/>
      <c r="B53" s="72"/>
      <c r="C53" s="73"/>
      <c r="D53" s="72"/>
      <c r="E53" s="74"/>
      <c r="F53" s="74"/>
      <c r="G53" s="74"/>
      <c r="H53" s="74"/>
      <c r="I53" s="50"/>
    </row>
    <row r="54" spans="1:9" ht="13.5" hidden="1">
      <c r="A54" s="79"/>
      <c r="B54" s="79"/>
      <c r="C54" s="80"/>
      <c r="D54" s="79"/>
      <c r="E54" s="81"/>
      <c r="F54" s="78"/>
      <c r="G54" s="78"/>
      <c r="H54" s="78"/>
      <c r="I54" s="50"/>
    </row>
    <row r="55" spans="1:9" ht="13.5" hidden="1">
      <c r="A55" s="82"/>
      <c r="B55" s="83"/>
      <c r="C55" s="83"/>
      <c r="D55" s="83"/>
      <c r="F55" s="84" t="s">
        <v>27</v>
      </c>
      <c r="G55" s="85"/>
      <c r="H55" s="86">
        <f>SUM(H39:H54)</f>
        <v>15341</v>
      </c>
      <c r="I55" s="50"/>
    </row>
    <row r="56" spans="1:9" ht="13.5" hidden="1">
      <c r="A56" s="82"/>
      <c r="B56" s="83"/>
      <c r="C56" s="83"/>
      <c r="D56" s="83"/>
      <c r="F56" s="114">
        <v>19</v>
      </c>
      <c r="G56" s="115"/>
      <c r="H56" s="86">
        <f>H55*F56/100</f>
        <v>2914.79</v>
      </c>
      <c r="I56" s="50"/>
    </row>
    <row r="57" spans="1:9" ht="13.9" hidden="1">
      <c r="A57" s="82"/>
      <c r="B57" s="83"/>
      <c r="C57" s="83"/>
      <c r="D57" s="83"/>
      <c r="F57" s="87" t="s">
        <v>28</v>
      </c>
      <c r="G57" s="85" t="s">
        <v>29</v>
      </c>
      <c r="H57" s="88">
        <f>H55+H56</f>
        <v>18255.79</v>
      </c>
      <c r="I57" s="50"/>
    </row>
    <row r="58" spans="1:9" ht="13.5" hidden="1">
      <c r="A58" s="64"/>
      <c r="B58" s="89"/>
      <c r="C58" s="89"/>
      <c r="D58" s="89"/>
      <c r="E58" s="89"/>
      <c r="F58" s="89"/>
      <c r="G58" s="89"/>
      <c r="I58" s="50"/>
    </row>
    <row r="59" spans="1:9" ht="13.5" hidden="1">
      <c r="A59" s="64"/>
      <c r="B59" s="89"/>
      <c r="C59" s="89"/>
      <c r="D59" s="89"/>
      <c r="E59" s="89"/>
      <c r="I59" s="50"/>
    </row>
    <row r="60" spans="1:9" ht="13.5" hidden="1">
      <c r="A60" s="90" t="s">
        <v>30</v>
      </c>
      <c r="C60" s="89"/>
      <c r="D60" s="89"/>
      <c r="F60" s="89" t="s">
        <v>31</v>
      </c>
      <c r="I60" s="50"/>
    </row>
    <row r="61" spans="1:9" hidden="1">
      <c r="A61" s="51" t="s">
        <v>32</v>
      </c>
      <c r="B61" s="40"/>
      <c r="C61" s="40"/>
      <c r="D61" s="40"/>
      <c r="F61" s="40" t="s">
        <v>33</v>
      </c>
      <c r="I61" s="50"/>
    </row>
    <row r="62" spans="1:9" hidden="1">
      <c r="A62" s="51"/>
      <c r="B62" s="40"/>
      <c r="C62" s="40"/>
      <c r="D62" s="40"/>
      <c r="F62" s="40" t="s">
        <v>34</v>
      </c>
      <c r="G62" s="40"/>
      <c r="I62" s="50"/>
    </row>
    <row r="63" spans="1:9">
      <c r="A63" s="91"/>
      <c r="B63" s="92"/>
      <c r="C63" s="92"/>
      <c r="D63" s="92"/>
      <c r="E63" s="93"/>
      <c r="F63" s="92"/>
      <c r="G63" s="92"/>
      <c r="H63" s="93"/>
      <c r="I63" s="94"/>
    </row>
    <row r="64" spans="1:9">
      <c r="A64" s="40"/>
      <c r="B64" s="40"/>
      <c r="C64" s="40"/>
      <c r="D64" s="40"/>
      <c r="E64" s="40"/>
      <c r="F64" s="40"/>
      <c r="G64" s="40"/>
    </row>
    <row r="65" spans="1:7">
      <c r="A65" s="40"/>
      <c r="B65" s="40"/>
      <c r="C65" s="40"/>
      <c r="D65" s="40"/>
      <c r="E65" s="40"/>
      <c r="F65" s="40"/>
      <c r="G65" s="40"/>
    </row>
    <row r="66" spans="1:7">
      <c r="A66" s="40"/>
      <c r="B66" s="40"/>
      <c r="C66" s="40"/>
      <c r="D66" s="40"/>
      <c r="E66" s="40"/>
      <c r="F66" s="40"/>
      <c r="G66" s="40"/>
    </row>
    <row r="67" spans="1:7">
      <c r="A67" s="40"/>
      <c r="B67" s="40"/>
      <c r="C67" s="40"/>
      <c r="D67" s="40"/>
      <c r="E67" s="40"/>
      <c r="F67" s="40"/>
      <c r="G67" s="40"/>
    </row>
    <row r="68" spans="1:7">
      <c r="A68" s="40"/>
      <c r="B68" s="40"/>
      <c r="C68" s="40"/>
      <c r="D68" s="40"/>
      <c r="E68" s="40"/>
      <c r="F68" s="40"/>
      <c r="G68" s="40"/>
    </row>
  </sheetData>
  <mergeCells count="5">
    <mergeCell ref="A6:G6"/>
    <mergeCell ref="A8:H8"/>
    <mergeCell ref="A18:B18"/>
    <mergeCell ref="A19:B19"/>
    <mergeCell ref="F56:G56"/>
  </mergeCells>
  <dataValidations count="2">
    <dataValidation type="list" allowBlank="1" showInputMessage="1" showErrorMessage="1" sqref="B40:B42" xr:uid="{00000000-0002-0000-0200-000000000000}">
      <formula1>Artikel_Nr.</formula1>
    </dataValidation>
    <dataValidation type="list" errorStyle="information" allowBlank="1" showInputMessage="1" showErrorMessage="1" errorTitle="Ungültige Artikelnummer" error="Sie haben eine ungültige Artikelnummer eingegeben. Bitte wählen Sie eine gültige Artikelnummer aus der Liste aus!" promptTitle="Artikelnummer" prompt="Bitte wählen Sie hier aus der Liste eine Artikelnummer aus!" sqref="B39" xr:uid="{00000000-0002-0000-0200-000001000000}">
      <formula1>Artikel_Nr.</formula1>
    </dataValidation>
  </dataValidation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workbookViewId="0">
      <selection activeCell="B10" sqref="B10"/>
    </sheetView>
  </sheetViews>
  <sheetFormatPr baseColWidth="10" defaultColWidth="11.46484375" defaultRowHeight="14.25"/>
  <cols>
    <col min="1" max="1" width="10.46484375" style="100" bestFit="1" customWidth="1"/>
    <col min="2" max="2" width="32.73046875" style="100" customWidth="1"/>
    <col min="3" max="3" width="12.53125" style="102" customWidth="1"/>
    <col min="4" max="16384" width="11.46484375" style="100"/>
  </cols>
  <sheetData>
    <row r="1" spans="1:3">
      <c r="A1" s="98" t="s">
        <v>20</v>
      </c>
      <c r="B1" s="98" t="s">
        <v>41</v>
      </c>
      <c r="C1" s="99" t="s">
        <v>42</v>
      </c>
    </row>
    <row r="2" spans="1:3">
      <c r="A2" s="100">
        <v>101111</v>
      </c>
      <c r="B2" s="100" t="s">
        <v>26</v>
      </c>
      <c r="C2" s="101">
        <v>489</v>
      </c>
    </row>
    <row r="3" spans="1:3">
      <c r="A3" s="100">
        <v>101112</v>
      </c>
      <c r="B3" s="100" t="s">
        <v>43</v>
      </c>
      <c r="C3" s="101">
        <v>519</v>
      </c>
    </row>
    <row r="4" spans="1:3">
      <c r="A4" s="100">
        <v>101113</v>
      </c>
      <c r="B4" s="100" t="s">
        <v>44</v>
      </c>
      <c r="C4" s="101">
        <v>219</v>
      </c>
    </row>
    <row r="5" spans="1:3">
      <c r="A5" s="100">
        <v>101114</v>
      </c>
      <c r="B5" s="100" t="s">
        <v>36</v>
      </c>
      <c r="C5" s="101">
        <v>98</v>
      </c>
    </row>
    <row r="6" spans="1:3">
      <c r="A6" s="100">
        <v>101115</v>
      </c>
      <c r="B6" s="100" t="s">
        <v>45</v>
      </c>
      <c r="C6" s="101">
        <v>579</v>
      </c>
    </row>
    <row r="7" spans="1:3">
      <c r="A7" s="100">
        <v>202111</v>
      </c>
      <c r="B7" s="100" t="s">
        <v>37</v>
      </c>
      <c r="C7" s="101">
        <v>228</v>
      </c>
    </row>
    <row r="8" spans="1:3">
      <c r="A8" s="100">
        <v>202112</v>
      </c>
      <c r="B8" s="100" t="s">
        <v>46</v>
      </c>
      <c r="C8" s="101">
        <v>299</v>
      </c>
    </row>
    <row r="9" spans="1:3">
      <c r="A9" s="100">
        <v>202113</v>
      </c>
      <c r="B9" s="100" t="s">
        <v>47</v>
      </c>
      <c r="C9" s="101">
        <v>399</v>
      </c>
    </row>
    <row r="10" spans="1:3">
      <c r="A10" s="100">
        <v>202114</v>
      </c>
      <c r="B10" s="104" t="s">
        <v>48</v>
      </c>
      <c r="C10" s="101">
        <v>349</v>
      </c>
    </row>
    <row r="11" spans="1:3">
      <c r="C11" s="101"/>
    </row>
    <row r="12" spans="1:3">
      <c r="C12" s="101"/>
    </row>
    <row r="13" spans="1:3">
      <c r="C13" s="101"/>
    </row>
    <row r="14" spans="1:3">
      <c r="C14" s="101"/>
    </row>
    <row r="15" spans="1:3">
      <c r="C15" s="101"/>
    </row>
    <row r="16" spans="1:3">
      <c r="C16" s="101"/>
    </row>
    <row r="17" spans="3:3">
      <c r="C17" s="101"/>
    </row>
    <row r="18" spans="3:3">
      <c r="C18" s="101"/>
    </row>
    <row r="19" spans="3:3">
      <c r="C19" s="101"/>
    </row>
    <row r="20" spans="3:3">
      <c r="C20" s="101"/>
    </row>
    <row r="21" spans="3:3">
      <c r="C21" s="101"/>
    </row>
    <row r="22" spans="3:3">
      <c r="C22" s="101"/>
    </row>
    <row r="23" spans="3:3">
      <c r="C23" s="101"/>
    </row>
    <row r="24" spans="3:3">
      <c r="C24" s="101"/>
    </row>
    <row r="25" spans="3:3">
      <c r="C25" s="101"/>
    </row>
    <row r="26" spans="3:3">
      <c r="C26" s="101"/>
    </row>
    <row r="27" spans="3:3">
      <c r="C27" s="101"/>
    </row>
    <row r="28" spans="3:3">
      <c r="C28" s="101"/>
    </row>
    <row r="29" spans="3:3">
      <c r="C29" s="101"/>
    </row>
    <row r="30" spans="3:3">
      <c r="C30" s="101"/>
    </row>
    <row r="31" spans="3:3">
      <c r="C31" s="101"/>
    </row>
    <row r="32" spans="3:3">
      <c r="C32" s="101"/>
    </row>
    <row r="33" spans="3:3">
      <c r="C33" s="101"/>
    </row>
    <row r="34" spans="3:3">
      <c r="C34" s="101"/>
    </row>
    <row r="35" spans="3:3">
      <c r="C35" s="101"/>
    </row>
    <row r="36" spans="3:3">
      <c r="C36" s="101"/>
    </row>
    <row r="37" spans="3:3">
      <c r="C37" s="101"/>
    </row>
    <row r="38" spans="3:3">
      <c r="C38" s="101"/>
    </row>
    <row r="39" spans="3:3">
      <c r="C39" s="101"/>
    </row>
    <row r="40" spans="3:3">
      <c r="C40" s="101"/>
    </row>
    <row r="41" spans="3:3">
      <c r="C41" s="101"/>
    </row>
    <row r="42" spans="3:3">
      <c r="C42" s="101"/>
    </row>
    <row r="43" spans="3:3">
      <c r="C43" s="101"/>
    </row>
    <row r="44" spans="3:3">
      <c r="C44" s="101"/>
    </row>
    <row r="45" spans="3:3">
      <c r="C45" s="101"/>
    </row>
    <row r="46" spans="3:3">
      <c r="C46" s="101"/>
    </row>
    <row r="47" spans="3:3">
      <c r="C47" s="101"/>
    </row>
    <row r="48" spans="3:3">
      <c r="C48" s="10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Vorlage</vt:lpstr>
      <vt:lpstr>01</vt:lpstr>
      <vt:lpstr>05</vt:lpstr>
      <vt:lpstr>Artikel</vt:lpstr>
      <vt:lpstr>Artikel_Nr.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2009-06-26T07:47:35Z</cp:lastPrinted>
  <dcterms:created xsi:type="dcterms:W3CDTF">2009-01-31T17:13:04Z</dcterms:created>
  <dcterms:modified xsi:type="dcterms:W3CDTF">2024-08-08T14:15:31Z</dcterms:modified>
</cp:coreProperties>
</file>