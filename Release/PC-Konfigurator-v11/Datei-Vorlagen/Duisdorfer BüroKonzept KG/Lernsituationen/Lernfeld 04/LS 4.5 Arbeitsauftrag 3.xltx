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/>
  <workbookPr defaultThemeVersion="124226"/>
  <mc:AlternateContent xmlns:mc="http://schemas.openxmlformats.org/markup-compatibility/2006">
    <mc:Choice Requires="x15">
      <x15ac:absPath xmlns:x15ac="http://schemas.microsoft.com/office/spreadsheetml/2010/11/ac" url="O:\_Team\_Kaufleute\Duisdorfer BüroKonzept KG\BüroMaterial - Ausgangsmaterial Teil 1\LF 4 - Güterbeschaffung und Verträge schließen\Vorlagen angepasst\"/>
    </mc:Choice>
  </mc:AlternateContent>
  <xr:revisionPtr revIDLastSave="0" documentId="13_ncr:1_{9533AF29-EFAC-4978-ACD8-0A5AC4F99CE1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Angebotsvergleich einfach" sheetId="1" r:id="rId1"/>
    <sheet name="LS 4.5 Angebotsvergleich_Beamer" sheetId="6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15" i="1" l="1"/>
  <c r="E15" i="1"/>
  <c r="D15" i="1"/>
  <c r="C15" i="1"/>
  <c r="B15" i="1"/>
  <c r="F9" i="1"/>
  <c r="F10" i="1" s="1"/>
  <c r="E9" i="1"/>
  <c r="E10" i="1" s="1"/>
  <c r="E11" i="1" s="1"/>
  <c r="E12" i="1" s="1"/>
  <c r="D9" i="1"/>
  <c r="D10" i="1" s="1"/>
  <c r="C9" i="1"/>
  <c r="C10" i="1" s="1"/>
  <c r="B9" i="1"/>
  <c r="B10" i="1" s="1"/>
  <c r="D11" i="1" l="1"/>
  <c r="D12" i="1" s="1"/>
  <c r="C11" i="1"/>
  <c r="C12" i="1" s="1"/>
  <c r="F11" i="1"/>
  <c r="F12" i="1" s="1"/>
  <c r="E13" i="1"/>
  <c r="E14" i="1" s="1"/>
  <c r="E16" i="1" s="1"/>
  <c r="E17" i="1" s="1"/>
  <c r="B11" i="1"/>
  <c r="B12" i="1" s="1"/>
  <c r="D13" i="1" l="1"/>
  <c r="D14" i="1" s="1"/>
  <c r="D16" i="1" s="1"/>
  <c r="D17" i="1" s="1"/>
  <c r="C13" i="1"/>
  <c r="C14" i="1" s="1"/>
  <c r="C16" i="1" s="1"/>
  <c r="C17" i="1" s="1"/>
  <c r="F13" i="1"/>
  <c r="F14" i="1" s="1"/>
  <c r="F16" i="1" s="1"/>
  <c r="F17" i="1" s="1"/>
  <c r="B13" i="1"/>
  <c r="B14" i="1" s="1"/>
  <c r="B16" i="1" s="1"/>
  <c r="B17" i="1" s="1"/>
</calcChain>
</file>

<file path=xl/sharedStrings.xml><?xml version="1.0" encoding="utf-8"?>
<sst xmlns="http://schemas.openxmlformats.org/spreadsheetml/2006/main" count="33" uniqueCount="25">
  <si>
    <t>Angebotsvergleich für den zu beschaffenden Beamer</t>
  </si>
  <si>
    <t>Bezugsmenge:</t>
  </si>
  <si>
    <t>Listeneinkaufspreis/
Stück</t>
  </si>
  <si>
    <t>Listeneinkaufspreis
gesamt</t>
  </si>
  <si>
    <t>- Rabatt</t>
  </si>
  <si>
    <t>Zieleinkaufspreis
gesamt</t>
  </si>
  <si>
    <t>- Skonto</t>
  </si>
  <si>
    <t>Bareinkaufspreis
gesamt</t>
  </si>
  <si>
    <t>+ Bezugskosten</t>
  </si>
  <si>
    <t>Bezugspreis
gesamt</t>
  </si>
  <si>
    <t>Bezugspreis/
Stück</t>
  </si>
  <si>
    <t>Saam KG</t>
  </si>
  <si>
    <t>Willi Lauf OHG</t>
  </si>
  <si>
    <t>Wittmann AG</t>
  </si>
  <si>
    <t>Ban-Q Corp.</t>
  </si>
  <si>
    <t>Canadian Office 
Products Corp.</t>
  </si>
  <si>
    <t>Wechselkurs: 1 EUR =</t>
  </si>
  <si>
    <t>Bezugskosten</t>
  </si>
  <si>
    <t>Hilfstabelle Ausgangswerte</t>
  </si>
  <si>
    <t>Rabatt in %</t>
  </si>
  <si>
    <t>Skonto in %</t>
  </si>
  <si>
    <t>Rabatt ab … Einheiten</t>
  </si>
  <si>
    <t>Bezugsmenge</t>
  </si>
  <si>
    <t>Wechselkurs 1 EUR =</t>
  </si>
  <si>
    <t>Listeneinkaufspreis/Stück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</si>
</sst>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€&quot;_-;\-* #,##0.00\ &quot;€&quot;_-;_-* &quot;-&quot;??\ &quot;€&quot;_-;_-@_-"/>
    <numFmt numFmtId="164" formatCode="_-[$$-409]* #,##0.00_ ;_-[$$-409]* \-#,##0.00\ ;_-[$$-409]* &quot;-&quot;??_ ;_-@_ "/>
    <numFmt numFmtId="165" formatCode="_-* #,##0.00\ [$€-407]_-;\-* #,##0.00\ [$€-407]_-;_-* &quot;-&quot;??\ [$€-407]_-;_-@_-"/>
    <numFmt numFmtId="166" formatCode="#,##0.00\ &quot;€&quot;"/>
    <numFmt numFmtId="167" formatCode="0\ &quot;Stück&quot;"/>
    <numFmt numFmtId="168" formatCode="[$$-409]#,##0.00_ ;\-[$$-409]#,##0.00\ 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</cellStyleXfs>
  <cellXfs count="35">
    <xf numFmtId="0" fontId="0" fillId="0" borderId="0" xfId="0"/>
    <xf numFmtId="0" fontId="0" fillId="0" borderId="0" xfId="0" applyAlignment="1">
      <alignment horizontal="left" vertical="center"/>
    </xf>
    <xf numFmtId="0" fontId="3" fillId="0" borderId="0" xfId="0" applyFont="1"/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1" xfId="0" quotePrefix="1" applyBorder="1" applyAlignment="1">
      <alignment horizontal="left" vertical="center"/>
    </xf>
    <xf numFmtId="0" fontId="0" fillId="0" borderId="1" xfId="0" quotePrefix="1" applyBorder="1" applyAlignment="1">
      <alignment horizontal="left" vertical="center" wrapText="1"/>
    </xf>
    <xf numFmtId="0" fontId="2" fillId="2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left" vertical="center"/>
    </xf>
    <xf numFmtId="165" fontId="0" fillId="0" borderId="1" xfId="0" applyNumberFormat="1" applyBorder="1"/>
    <xf numFmtId="166" fontId="0" fillId="0" borderId="1" xfId="0" applyNumberFormat="1" applyBorder="1"/>
    <xf numFmtId="44" fontId="0" fillId="0" borderId="1" xfId="1" applyFont="1" applyBorder="1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0" fillId="0" borderId="0" xfId="0" applyFont="1"/>
    <xf numFmtId="167" fontId="0" fillId="0" borderId="1" xfId="0" applyNumberFormat="1" applyFont="1" applyBorder="1" applyAlignment="1">
      <alignment horizontal="right" vertical="center"/>
    </xf>
    <xf numFmtId="168" fontId="0" fillId="0" borderId="1" xfId="0" applyNumberFormat="1" applyFont="1" applyBorder="1" applyAlignment="1">
      <alignment horizontal="left" vertical="center"/>
    </xf>
    <xf numFmtId="0" fontId="0" fillId="0" borderId="1" xfId="0" applyFont="1" applyBorder="1" applyAlignment="1">
      <alignment horizontal="left" vertical="center" wrapText="1"/>
    </xf>
    <xf numFmtId="166" fontId="0" fillId="0" borderId="1" xfId="0" applyNumberFormat="1" applyFont="1" applyBorder="1"/>
    <xf numFmtId="0" fontId="0" fillId="0" borderId="1" xfId="0" quotePrefix="1" applyFont="1" applyBorder="1" applyAlignment="1">
      <alignment horizontal="left" vertical="center"/>
    </xf>
    <xf numFmtId="0" fontId="0" fillId="0" borderId="1" xfId="0" quotePrefix="1" applyFont="1" applyBorder="1" applyAlignment="1">
      <alignment horizontal="left" vertical="center" wrapText="1"/>
    </xf>
    <xf numFmtId="166" fontId="0" fillId="0" borderId="1" xfId="1" applyNumberFormat="1" applyFont="1" applyBorder="1"/>
    <xf numFmtId="0" fontId="0" fillId="0" borderId="1" xfId="0" applyFont="1" applyBorder="1" applyAlignment="1">
      <alignment horizontal="left" vertical="center"/>
    </xf>
    <xf numFmtId="166" fontId="0" fillId="0" borderId="1" xfId="2" applyNumberFormat="1" applyFont="1" applyBorder="1"/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 wrapText="1"/>
    </xf>
    <xf numFmtId="0" fontId="5" fillId="0" borderId="0" xfId="0" applyFont="1"/>
    <xf numFmtId="0" fontId="0" fillId="0" borderId="0" xfId="0" applyFont="1" applyBorder="1" applyAlignment="1">
      <alignment horizontal="left" vertical="center" wrapText="1"/>
    </xf>
    <xf numFmtId="166" fontId="0" fillId="0" borderId="0" xfId="0" applyNumberFormat="1" applyFont="1" applyBorder="1"/>
  </cellXfs>
  <cellStyles count="4">
    <cellStyle name="Prozent" xfId="2" builtinId="5"/>
    <cellStyle name="Standard" xfId="0" builtinId="0"/>
    <cellStyle name="Standard 2" xfId="3" xr:uid="{00000000-0005-0000-0000-000002000000}"/>
    <cellStyle name="Währung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7"/>
  <sheetViews>
    <sheetView workbookViewId="0">
      <selection sqref="A1:XFD1048576"/>
    </sheetView>
  </sheetViews>
  <sheetFormatPr baseColWidth="10" defaultRowHeight="15" x14ac:dyDescent="0.25"/>
  <cols>
    <col min="1" max="1" width="20.7109375" customWidth="1"/>
    <col min="2" max="6" width="17.7109375" customWidth="1"/>
  </cols>
  <sheetData>
    <row r="1" spans="1:6" ht="18.75" x14ac:dyDescent="0.3">
      <c r="A1" s="2" t="s">
        <v>0</v>
      </c>
    </row>
    <row r="3" spans="1:6" s="1" customFormat="1" ht="20.100000000000001" customHeight="1" x14ac:dyDescent="0.25">
      <c r="A3" s="3" t="s">
        <v>1</v>
      </c>
      <c r="B3" s="4">
        <v>750</v>
      </c>
    </row>
    <row r="4" spans="1:6" s="1" customFormat="1" ht="20.100000000000001" customHeight="1" x14ac:dyDescent="0.25"/>
    <row r="5" spans="1:6" s="1" customFormat="1" ht="20.100000000000001" customHeight="1" x14ac:dyDescent="0.25">
      <c r="A5" s="3" t="s">
        <v>16</v>
      </c>
      <c r="B5" s="10">
        <v>1.33</v>
      </c>
    </row>
    <row r="6" spans="1:6" s="1" customFormat="1" ht="15" customHeight="1" x14ac:dyDescent="0.25"/>
    <row r="8" spans="1:6" ht="30" customHeight="1" x14ac:dyDescent="0.25">
      <c r="B8" s="5" t="s">
        <v>11</v>
      </c>
      <c r="C8" s="5" t="s">
        <v>12</v>
      </c>
      <c r="D8" s="5" t="s">
        <v>13</v>
      </c>
      <c r="E8" s="5" t="s">
        <v>14</v>
      </c>
      <c r="F8" s="9" t="s">
        <v>15</v>
      </c>
    </row>
    <row r="9" spans="1:6" ht="30" customHeight="1" x14ac:dyDescent="0.25">
      <c r="A9" s="6" t="s">
        <v>2</v>
      </c>
      <c r="B9" s="11" t="e">
        <f>Preis1</f>
        <v>#NAME?</v>
      </c>
      <c r="C9" s="11" t="e">
        <f>Preis2</f>
        <v>#NAME?</v>
      </c>
      <c r="D9" s="11" t="e">
        <f>Preis3</f>
        <v>#NAME?</v>
      </c>
      <c r="E9" s="12" t="e">
        <f>Preis4/B5</f>
        <v>#NAME?</v>
      </c>
      <c r="F9" s="11" t="e">
        <f>Preis5/B5</f>
        <v>#NAME?</v>
      </c>
    </row>
    <row r="10" spans="1:6" ht="30" customHeight="1" x14ac:dyDescent="0.25">
      <c r="A10" s="6" t="s">
        <v>3</v>
      </c>
      <c r="B10" s="11" t="e">
        <f>Menge*B9</f>
        <v>#NAME?</v>
      </c>
      <c r="C10" s="11" t="e">
        <f>Menge*C9</f>
        <v>#NAME?</v>
      </c>
      <c r="D10" s="11" t="e">
        <f>Menge*D9</f>
        <v>#NAME?</v>
      </c>
      <c r="E10" s="11" t="e">
        <f>Menge*E9</f>
        <v>#NAME?</v>
      </c>
      <c r="F10" s="11" t="e">
        <f>Menge*F9</f>
        <v>#NAME?</v>
      </c>
    </row>
    <row r="11" spans="1:6" ht="30" customHeight="1" x14ac:dyDescent="0.25">
      <c r="A11" s="7" t="s">
        <v>4</v>
      </c>
      <c r="B11" s="11" t="e">
        <f>Rabatt1*B10</f>
        <v>#NAME?</v>
      </c>
      <c r="C11" s="11" t="e">
        <f>Rabatt2*C10</f>
        <v>#NAME?</v>
      </c>
      <c r="D11" s="11" t="e">
        <f>Rabatt3*D10</f>
        <v>#NAME?</v>
      </c>
      <c r="E11" s="11" t="e">
        <f>Rabatt4*E10</f>
        <v>#NAME?</v>
      </c>
      <c r="F11" s="11" t="e">
        <f>Rabatt5*F10</f>
        <v>#NAME?</v>
      </c>
    </row>
    <row r="12" spans="1:6" ht="30" customHeight="1" x14ac:dyDescent="0.25">
      <c r="A12" s="6" t="s">
        <v>5</v>
      </c>
      <c r="B12" s="11" t="e">
        <f>B10-B11</f>
        <v>#NAME?</v>
      </c>
      <c r="C12" s="11" t="e">
        <f t="shared" ref="C12:F12" si="0">C10-C11</f>
        <v>#NAME?</v>
      </c>
      <c r="D12" s="11" t="e">
        <f t="shared" si="0"/>
        <v>#NAME?</v>
      </c>
      <c r="E12" s="11" t="e">
        <f t="shared" si="0"/>
        <v>#NAME?</v>
      </c>
      <c r="F12" s="11" t="e">
        <f t="shared" si="0"/>
        <v>#NAME?</v>
      </c>
    </row>
    <row r="13" spans="1:6" ht="30" customHeight="1" x14ac:dyDescent="0.25">
      <c r="A13" s="8" t="s">
        <v>6</v>
      </c>
      <c r="B13" s="11" t="e">
        <f>Skonto1*B12</f>
        <v>#NAME?</v>
      </c>
      <c r="C13" s="11" t="e">
        <f>Skonto2*C12</f>
        <v>#NAME?</v>
      </c>
      <c r="D13" s="11" t="e">
        <f>Skonto3*D12</f>
        <v>#NAME?</v>
      </c>
      <c r="E13" s="11" t="e">
        <f>Skonto4*E12</f>
        <v>#NAME?</v>
      </c>
      <c r="F13" s="11" t="e">
        <f>Skonto5*F12</f>
        <v>#NAME?</v>
      </c>
    </row>
    <row r="14" spans="1:6" ht="30" customHeight="1" x14ac:dyDescent="0.25">
      <c r="A14" s="6" t="s">
        <v>7</v>
      </c>
      <c r="B14" s="11" t="e">
        <f>B12-B13</f>
        <v>#NAME?</v>
      </c>
      <c r="C14" s="11" t="e">
        <f t="shared" ref="C14:F14" si="1">C12-C13</f>
        <v>#NAME?</v>
      </c>
      <c r="D14" s="11" t="e">
        <f t="shared" si="1"/>
        <v>#NAME?</v>
      </c>
      <c r="E14" s="11" t="e">
        <f t="shared" si="1"/>
        <v>#NAME?</v>
      </c>
      <c r="F14" s="11" t="e">
        <f t="shared" si="1"/>
        <v>#NAME?</v>
      </c>
    </row>
    <row r="15" spans="1:6" ht="30" customHeight="1" x14ac:dyDescent="0.25">
      <c r="A15" s="8" t="s">
        <v>8</v>
      </c>
      <c r="B15" s="13" t="e">
        <f>Bezug1*Menge</f>
        <v>#NAME?</v>
      </c>
      <c r="C15" s="13" t="e">
        <f>Bezug2*Menge</f>
        <v>#NAME?</v>
      </c>
      <c r="D15" s="13" t="e">
        <f>Bezug3*Menge</f>
        <v>#NAME?</v>
      </c>
      <c r="E15" s="13" t="e">
        <f>Bezug4*Menge/B5</f>
        <v>#NAME?</v>
      </c>
      <c r="F15" s="13" t="e">
        <f>Bezug5*Menge/B5</f>
        <v>#NAME?</v>
      </c>
    </row>
    <row r="16" spans="1:6" ht="30" customHeight="1" x14ac:dyDescent="0.25">
      <c r="A16" s="6" t="s">
        <v>9</v>
      </c>
      <c r="B16" s="11" t="e">
        <f>B14+B15</f>
        <v>#NAME?</v>
      </c>
      <c r="C16" s="11" t="e">
        <f t="shared" ref="C16:F16" si="2">C14+C15</f>
        <v>#NAME?</v>
      </c>
      <c r="D16" s="11" t="e">
        <f t="shared" si="2"/>
        <v>#NAME?</v>
      </c>
      <c r="E16" s="11" t="e">
        <f t="shared" si="2"/>
        <v>#NAME?</v>
      </c>
      <c r="F16" s="11" t="e">
        <f t="shared" si="2"/>
        <v>#NAME?</v>
      </c>
    </row>
    <row r="17" spans="1:6" ht="30" customHeight="1" x14ac:dyDescent="0.25">
      <c r="A17" s="6" t="s">
        <v>10</v>
      </c>
      <c r="B17" s="11" t="e">
        <f>B16/Menge</f>
        <v>#NAME?</v>
      </c>
      <c r="C17" s="11" t="e">
        <f>C16/Menge</f>
        <v>#NAME?</v>
      </c>
      <c r="D17" s="11" t="e">
        <f>D16/Menge</f>
        <v>#NAME?</v>
      </c>
      <c r="E17" s="11" t="e">
        <f>E16/Menge</f>
        <v>#NAME?</v>
      </c>
      <c r="F17" s="11" t="e">
        <f>F16/Menge</f>
        <v>#NAME?</v>
      </c>
    </row>
  </sheetData>
  <pageMargins left="0.7" right="0.7" top="0.78740157499999996" bottom="0.78740157499999996" header="0.3" footer="0.3"/>
  <pageSetup paperSize="9" orientation="landscape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27"/>
  <sheetViews>
    <sheetView tabSelected="1" zoomScale="95" zoomScaleNormal="95" workbookViewId="0">
      <selection activeCell="K13" sqref="K13"/>
    </sheetView>
  </sheetViews>
  <sheetFormatPr baseColWidth="10" defaultRowHeight="15" x14ac:dyDescent="0.25"/>
  <cols>
    <col min="1" max="1" width="2.7109375" style="16" customWidth="1"/>
    <col min="2" max="2" width="27.5703125" style="16" customWidth="1"/>
    <col min="3" max="7" width="22.7109375" style="16" customWidth="1"/>
    <col min="8" max="16384" width="11.42578125" style="16"/>
  </cols>
  <sheetData>
    <row r="2" spans="2:7" s="14" customFormat="1" ht="30" customHeight="1" x14ac:dyDescent="0.25">
      <c r="B2" s="26" t="s">
        <v>0</v>
      </c>
      <c r="C2" s="27"/>
      <c r="D2" s="27"/>
      <c r="E2" s="27"/>
      <c r="F2" s="27"/>
      <c r="G2" s="28"/>
    </row>
    <row r="4" spans="2:7" s="15" customFormat="1" ht="20.100000000000001" customHeight="1" x14ac:dyDescent="0.25">
      <c r="B4" s="29" t="s">
        <v>22</v>
      </c>
      <c r="C4" s="17">
        <v>750</v>
      </c>
    </row>
    <row r="5" spans="2:7" s="15" customFormat="1" ht="9.9499999999999993" customHeight="1" x14ac:dyDescent="0.25"/>
    <row r="6" spans="2:7" s="15" customFormat="1" ht="20.100000000000001" customHeight="1" x14ac:dyDescent="0.25">
      <c r="B6" s="29" t="s">
        <v>23</v>
      </c>
      <c r="C6" s="18"/>
    </row>
    <row r="8" spans="2:7" ht="30" customHeight="1" x14ac:dyDescent="0.25">
      <c r="C8" s="30" t="s">
        <v>11</v>
      </c>
      <c r="D8" s="30" t="s">
        <v>12</v>
      </c>
      <c r="E8" s="30"/>
      <c r="F8" s="30"/>
      <c r="G8" s="31"/>
    </row>
    <row r="9" spans="2:7" ht="30" customHeight="1" x14ac:dyDescent="0.25">
      <c r="B9" s="19" t="s">
        <v>2</v>
      </c>
      <c r="C9" s="20"/>
      <c r="D9" s="20"/>
      <c r="E9" s="20"/>
      <c r="F9" s="20"/>
      <c r="G9" s="20"/>
    </row>
    <row r="10" spans="2:7" ht="30" customHeight="1" x14ac:dyDescent="0.25">
      <c r="B10" s="19" t="s">
        <v>3</v>
      </c>
      <c r="C10" s="20"/>
      <c r="D10" s="20"/>
      <c r="E10" s="20"/>
      <c r="F10" s="20"/>
      <c r="G10" s="20"/>
    </row>
    <row r="11" spans="2:7" ht="30" customHeight="1" x14ac:dyDescent="0.25">
      <c r="B11" s="21" t="s">
        <v>4</v>
      </c>
      <c r="C11" s="20"/>
      <c r="D11" s="20"/>
      <c r="E11" s="20"/>
      <c r="F11" s="20"/>
      <c r="G11" s="20"/>
    </row>
    <row r="12" spans="2:7" ht="30" customHeight="1" x14ac:dyDescent="0.25">
      <c r="B12" s="19"/>
      <c r="C12" s="20"/>
      <c r="D12" s="20"/>
      <c r="E12" s="20"/>
      <c r="F12" s="20"/>
      <c r="G12" s="20"/>
    </row>
    <row r="13" spans="2:7" ht="30" customHeight="1" x14ac:dyDescent="0.25">
      <c r="B13" s="22"/>
      <c r="C13" s="20"/>
      <c r="D13" s="20"/>
      <c r="E13" s="20"/>
      <c r="F13" s="20"/>
      <c r="G13" s="20"/>
    </row>
    <row r="14" spans="2:7" ht="30" customHeight="1" x14ac:dyDescent="0.25">
      <c r="B14" s="19"/>
      <c r="C14" s="20"/>
      <c r="D14" s="20"/>
      <c r="E14" s="20"/>
      <c r="F14" s="20"/>
      <c r="G14" s="20"/>
    </row>
    <row r="15" spans="2:7" ht="30" customHeight="1" x14ac:dyDescent="0.25">
      <c r="B15" s="22"/>
      <c r="C15" s="23"/>
      <c r="D15" s="23"/>
      <c r="E15" s="23"/>
      <c r="F15" s="23"/>
      <c r="G15" s="23"/>
    </row>
    <row r="16" spans="2:7" ht="30" customHeight="1" x14ac:dyDescent="0.25">
      <c r="B16" s="19"/>
      <c r="C16" s="20"/>
      <c r="D16" s="20"/>
      <c r="E16" s="20"/>
      <c r="F16" s="20"/>
      <c r="G16" s="20"/>
    </row>
    <row r="17" spans="2:7" ht="30" customHeight="1" x14ac:dyDescent="0.25">
      <c r="B17" s="19"/>
      <c r="C17" s="20"/>
      <c r="D17" s="20"/>
      <c r="E17" s="20"/>
      <c r="F17" s="20"/>
      <c r="G17" s="20"/>
    </row>
    <row r="18" spans="2:7" ht="15" customHeight="1" x14ac:dyDescent="0.25">
      <c r="B18" s="33"/>
      <c r="C18" s="34"/>
      <c r="D18" s="34"/>
      <c r="E18" s="34"/>
      <c r="F18" s="34"/>
      <c r="G18" s="34"/>
    </row>
    <row r="20" spans="2:7" x14ac:dyDescent="0.25">
      <c r="B20" s="32" t="s">
        <v>18</v>
      </c>
    </row>
    <row r="21" spans="2:7" ht="9.9499999999999993" customHeight="1" x14ac:dyDescent="0.25"/>
    <row r="22" spans="2:7" ht="30" customHeight="1" x14ac:dyDescent="0.25">
      <c r="C22" s="30" t="s">
        <v>11</v>
      </c>
      <c r="D22" s="30" t="s">
        <v>12</v>
      </c>
      <c r="E22" s="30"/>
      <c r="F22" s="30"/>
      <c r="G22" s="31"/>
    </row>
    <row r="23" spans="2:7" ht="30" customHeight="1" x14ac:dyDescent="0.25">
      <c r="B23" s="19" t="s">
        <v>24</v>
      </c>
      <c r="C23" s="20"/>
      <c r="D23" s="20"/>
      <c r="E23" s="20"/>
      <c r="F23" s="20"/>
      <c r="G23" s="20"/>
    </row>
    <row r="24" spans="2:7" ht="30" customHeight="1" x14ac:dyDescent="0.25">
      <c r="B24" s="24" t="s">
        <v>19</v>
      </c>
      <c r="C24" s="25"/>
      <c r="D24" s="25"/>
      <c r="E24" s="25"/>
      <c r="F24" s="25"/>
      <c r="G24" s="25"/>
    </row>
    <row r="25" spans="2:7" ht="30" customHeight="1" x14ac:dyDescent="0.25">
      <c r="B25" s="24" t="s">
        <v>21</v>
      </c>
      <c r="C25" s="25"/>
      <c r="D25" s="25"/>
      <c r="E25" s="25"/>
      <c r="F25" s="25"/>
      <c r="G25" s="25"/>
    </row>
    <row r="26" spans="2:7" ht="30" customHeight="1" x14ac:dyDescent="0.25">
      <c r="B26" s="19" t="s">
        <v>20</v>
      </c>
      <c r="C26" s="25"/>
      <c r="D26" s="25"/>
      <c r="E26" s="25"/>
      <c r="F26" s="25"/>
      <c r="G26" s="25"/>
    </row>
    <row r="27" spans="2:7" ht="30" customHeight="1" x14ac:dyDescent="0.25">
      <c r="B27" s="22" t="s">
        <v>17</v>
      </c>
      <c r="C27" s="20"/>
      <c r="D27" s="20"/>
      <c r="E27" s="20"/>
      <c r="F27" s="20"/>
      <c r="G27" s="20"/>
    </row>
  </sheetData>
  <mergeCells count="1">
    <mergeCell ref="B2:G2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Angebotsvergleich einfach</vt:lpstr>
      <vt:lpstr>LS 4.5 Angebotsvergleich_Beamer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OA</dc:creator>
  <cp:lastModifiedBy>Gorontzy, Thomas</cp:lastModifiedBy>
  <dcterms:created xsi:type="dcterms:W3CDTF">2013-08-10T09:45:53Z</dcterms:created>
  <dcterms:modified xsi:type="dcterms:W3CDTF">2025-08-20T07:42:34Z</dcterms:modified>
</cp:coreProperties>
</file>