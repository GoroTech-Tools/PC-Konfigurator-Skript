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46d0da4b5755b4d/Skripte/PC-Konfigurator K-Team v4/Datei-Vorlagen/Duisdorfer BüroKonzept KG/Lernsituationen/Lernfeld 05/"/>
    </mc:Choice>
  </mc:AlternateContent>
  <xr:revisionPtr revIDLastSave="0" documentId="13_ncr:3_{AA16FEB9-C9B7-40D8-8E8B-3B5DAF749ECC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Straßenbefragung" sheetId="1" r:id="rId1"/>
    <sheet name="Kundenbefragung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5" i="2" l="1"/>
  <c r="S15" i="2"/>
  <c r="T15" i="2"/>
  <c r="U15" i="2"/>
  <c r="V15" i="2"/>
  <c r="W15" i="2"/>
  <c r="X15" i="2"/>
  <c r="R16" i="2"/>
  <c r="S16" i="2"/>
  <c r="T16" i="2"/>
  <c r="U16" i="2"/>
  <c r="V16" i="2"/>
  <c r="W16" i="2"/>
  <c r="X16" i="2"/>
  <c r="R17" i="2"/>
  <c r="S17" i="2"/>
  <c r="T17" i="2"/>
  <c r="U17" i="2"/>
  <c r="V17" i="2"/>
  <c r="W17" i="2"/>
  <c r="X17" i="2"/>
  <c r="R18" i="2"/>
  <c r="S18" i="2"/>
  <c r="T18" i="2"/>
  <c r="U18" i="2"/>
  <c r="V18" i="2"/>
  <c r="W18" i="2"/>
  <c r="X18" i="2"/>
  <c r="R19" i="2"/>
  <c r="S19" i="2"/>
  <c r="T19" i="2"/>
  <c r="U19" i="2"/>
  <c r="V19" i="2"/>
  <c r="W19" i="2"/>
  <c r="X19" i="2"/>
  <c r="R20" i="2"/>
  <c r="S20" i="2"/>
  <c r="T20" i="2"/>
  <c r="U20" i="2"/>
  <c r="V20" i="2"/>
  <c r="W20" i="2"/>
  <c r="X20" i="2"/>
  <c r="R21" i="2"/>
  <c r="S21" i="2"/>
  <c r="T21" i="2"/>
  <c r="U21" i="2"/>
  <c r="V21" i="2"/>
  <c r="W21" i="2"/>
  <c r="X21" i="2"/>
  <c r="S14" i="2"/>
  <c r="T14" i="2"/>
  <c r="U14" i="2"/>
  <c r="V14" i="2"/>
  <c r="W14" i="2"/>
  <c r="X14" i="2"/>
  <c r="R14" i="2"/>
  <c r="G21" i="1"/>
  <c r="O41" i="2"/>
  <c r="P41" i="2"/>
  <c r="Q41" i="2"/>
  <c r="R41" i="2"/>
  <c r="S41" i="2"/>
  <c r="T41" i="2"/>
  <c r="U41" i="2"/>
  <c r="P40" i="2"/>
  <c r="Q40" i="2"/>
  <c r="R40" i="2"/>
  <c r="S40" i="2"/>
  <c r="T40" i="2"/>
  <c r="U40" i="2"/>
  <c r="O40" i="2"/>
  <c r="O34" i="2"/>
  <c r="P34" i="2"/>
  <c r="Q34" i="2"/>
  <c r="R34" i="2"/>
  <c r="S34" i="2"/>
  <c r="T34" i="2"/>
  <c r="U34" i="2"/>
  <c r="P33" i="2"/>
  <c r="Q33" i="2"/>
  <c r="R33" i="2"/>
  <c r="S33" i="2"/>
  <c r="T33" i="2"/>
  <c r="U33" i="2"/>
  <c r="O33" i="2"/>
  <c r="O27" i="2"/>
  <c r="P27" i="2"/>
  <c r="Q27" i="2"/>
  <c r="R27" i="2"/>
  <c r="S27" i="2"/>
  <c r="T27" i="2"/>
  <c r="U27" i="2"/>
  <c r="P26" i="2"/>
  <c r="Q26" i="2"/>
  <c r="R26" i="2"/>
  <c r="S26" i="2"/>
  <c r="T26" i="2"/>
  <c r="U26" i="2"/>
  <c r="O26" i="2"/>
  <c r="C8" i="2" l="1"/>
  <c r="C7" i="2"/>
  <c r="C5" i="2"/>
  <c r="L69" i="1"/>
  <c r="M69" i="1"/>
  <c r="N69" i="1"/>
  <c r="O69" i="1"/>
  <c r="P69" i="1"/>
  <c r="Q69" i="1"/>
  <c r="L70" i="1"/>
  <c r="M70" i="1"/>
  <c r="N70" i="1"/>
  <c r="O70" i="1"/>
  <c r="P70" i="1"/>
  <c r="Q70" i="1"/>
  <c r="L71" i="1"/>
  <c r="M71" i="1"/>
  <c r="N71" i="1"/>
  <c r="O71" i="1"/>
  <c r="P71" i="1"/>
  <c r="Q71" i="1"/>
  <c r="L72" i="1"/>
  <c r="M72" i="1"/>
  <c r="N72" i="1"/>
  <c r="O72" i="1"/>
  <c r="P72" i="1"/>
  <c r="Q72" i="1"/>
  <c r="L73" i="1"/>
  <c r="M73" i="1"/>
  <c r="N73" i="1"/>
  <c r="O73" i="1"/>
  <c r="P73" i="1"/>
  <c r="Q73" i="1"/>
  <c r="L59" i="1"/>
  <c r="M59" i="1"/>
  <c r="N59" i="1"/>
  <c r="O59" i="1"/>
  <c r="P59" i="1"/>
  <c r="Q59" i="1"/>
  <c r="L60" i="1"/>
  <c r="M60" i="1"/>
  <c r="N60" i="1"/>
  <c r="O60" i="1"/>
  <c r="P60" i="1"/>
  <c r="Q60" i="1"/>
  <c r="L61" i="1"/>
  <c r="M61" i="1"/>
  <c r="N61" i="1"/>
  <c r="O61" i="1"/>
  <c r="P61" i="1"/>
  <c r="Q61" i="1"/>
  <c r="L62" i="1"/>
  <c r="M62" i="1"/>
  <c r="N62" i="1"/>
  <c r="O62" i="1"/>
  <c r="P62" i="1"/>
  <c r="Q62" i="1"/>
  <c r="L63" i="1"/>
  <c r="M63" i="1"/>
  <c r="N63" i="1"/>
  <c r="O63" i="1"/>
  <c r="P63" i="1"/>
  <c r="Q63" i="1"/>
  <c r="K73" i="1"/>
  <c r="K72" i="1"/>
  <c r="K71" i="1"/>
  <c r="K70" i="1"/>
  <c r="K69" i="1"/>
  <c r="K63" i="1"/>
  <c r="K62" i="1"/>
  <c r="K61" i="1"/>
  <c r="K60" i="1"/>
  <c r="K59" i="1"/>
  <c r="L53" i="1"/>
  <c r="M53" i="1"/>
  <c r="N53" i="1"/>
  <c r="O53" i="1"/>
  <c r="P53" i="1"/>
  <c r="Q53" i="1"/>
  <c r="K53" i="1"/>
  <c r="L52" i="1"/>
  <c r="M52" i="1"/>
  <c r="N52" i="1"/>
  <c r="O52" i="1"/>
  <c r="P52" i="1"/>
  <c r="Q52" i="1"/>
  <c r="K52" i="1"/>
  <c r="L51" i="1"/>
  <c r="M51" i="1"/>
  <c r="N51" i="1"/>
  <c r="O51" i="1"/>
  <c r="P51" i="1"/>
  <c r="Q51" i="1"/>
  <c r="K51" i="1"/>
  <c r="L50" i="1"/>
  <c r="M50" i="1"/>
  <c r="N50" i="1"/>
  <c r="O50" i="1"/>
  <c r="P50" i="1"/>
  <c r="Q50" i="1"/>
  <c r="K50" i="1"/>
  <c r="L49" i="1"/>
  <c r="M49" i="1"/>
  <c r="N49" i="1"/>
  <c r="O49" i="1"/>
  <c r="P49" i="1"/>
  <c r="Q49" i="1"/>
  <c r="K49" i="1"/>
  <c r="M38" i="1"/>
  <c r="M39" i="1"/>
  <c r="M40" i="1"/>
  <c r="M41" i="1"/>
  <c r="M42" i="1"/>
  <c r="M43" i="1"/>
  <c r="M37" i="1"/>
  <c r="L38" i="1"/>
  <c r="L39" i="1"/>
  <c r="L40" i="1"/>
  <c r="L41" i="1"/>
  <c r="L42" i="1"/>
  <c r="L43" i="1"/>
  <c r="L37" i="1"/>
  <c r="K38" i="1"/>
  <c r="K39" i="1"/>
  <c r="K40" i="1"/>
  <c r="K41" i="1"/>
  <c r="K42" i="1"/>
  <c r="K43" i="1"/>
  <c r="K37" i="1"/>
  <c r="J38" i="1"/>
  <c r="J39" i="1"/>
  <c r="J40" i="1"/>
  <c r="J41" i="1"/>
  <c r="J42" i="1"/>
  <c r="J43" i="1"/>
  <c r="J37" i="1"/>
  <c r="I38" i="1"/>
  <c r="I39" i="1"/>
  <c r="I40" i="1"/>
  <c r="I41" i="1"/>
  <c r="I42" i="1"/>
  <c r="I43" i="1"/>
  <c r="I37" i="1"/>
  <c r="M28" i="1"/>
  <c r="M29" i="1"/>
  <c r="M30" i="1"/>
  <c r="M31" i="1"/>
  <c r="M32" i="1"/>
  <c r="M27" i="1"/>
  <c r="L28" i="1"/>
  <c r="L29" i="1"/>
  <c r="L30" i="1"/>
  <c r="L31" i="1"/>
  <c r="L32" i="1"/>
  <c r="L27" i="1"/>
  <c r="K28" i="1"/>
  <c r="K29" i="1"/>
  <c r="K30" i="1"/>
  <c r="K31" i="1"/>
  <c r="K32" i="1"/>
  <c r="K27" i="1"/>
  <c r="J27" i="1"/>
  <c r="H17" i="1"/>
  <c r="H16" i="1"/>
  <c r="G17" i="1"/>
  <c r="G16" i="1"/>
  <c r="H22" i="1"/>
  <c r="I22" i="1"/>
  <c r="G22" i="1"/>
  <c r="H21" i="1"/>
  <c r="I21" i="1"/>
  <c r="J28" i="1"/>
  <c r="J29" i="1"/>
  <c r="J30" i="1"/>
  <c r="J31" i="1"/>
  <c r="J32" i="1"/>
  <c r="I28" i="1"/>
  <c r="I29" i="1"/>
  <c r="I30" i="1"/>
  <c r="I31" i="1"/>
  <c r="I32" i="1"/>
  <c r="I27" i="1"/>
  <c r="C9" i="1"/>
  <c r="C10" i="1"/>
  <c r="C8" i="1"/>
  <c r="C5" i="1"/>
  <c r="C4" i="1"/>
</calcChain>
</file>

<file path=xl/sharedStrings.xml><?xml version="1.0" encoding="utf-8"?>
<sst xmlns="http://schemas.openxmlformats.org/spreadsheetml/2006/main" count="185" uniqueCount="57">
  <si>
    <t>befragte Personen</t>
  </si>
  <si>
    <t>Männer</t>
  </si>
  <si>
    <t>Frauen</t>
  </si>
  <si>
    <t>Altersstruktur</t>
  </si>
  <si>
    <t>zwischen 31 - 50</t>
  </si>
  <si>
    <t>älter als 50</t>
  </si>
  <si>
    <t>Ja</t>
  </si>
  <si>
    <t>Nein</t>
  </si>
  <si>
    <t>Design</t>
  </si>
  <si>
    <t>Alter</t>
  </si>
  <si>
    <t>Bekannte</t>
  </si>
  <si>
    <t>Internet</t>
  </si>
  <si>
    <t>Gelbe Seiten</t>
  </si>
  <si>
    <t>Printmedien</t>
  </si>
  <si>
    <t>weiß nicht</t>
  </si>
  <si>
    <t>Zusammenfassende Darstellung der Straßenbefragung</t>
  </si>
  <si>
    <t>Zusammenfassende Darstellung der Kundenbefragung (Fragebogen)</t>
  </si>
  <si>
    <t>Befragte Kunden</t>
  </si>
  <si>
    <t>Rücklauf</t>
  </si>
  <si>
    <t>Wiederverkäufer</t>
  </si>
  <si>
    <t>Endabnehmer</t>
  </si>
  <si>
    <t xml:space="preserve">Endabnehmer </t>
  </si>
  <si>
    <t>… der Erreichbarkeit?</t>
  </si>
  <si>
    <t>… der Kompetenz der Mitarbeiter?</t>
  </si>
  <si>
    <t>… der Freundlichkeit der Mitarbeiter?</t>
  </si>
  <si>
    <t>… der Termintreue?</t>
  </si>
  <si>
    <t>3. Wie beurteilen Sie das Design der Produkte der Duisdorfer Bürokonzept KG auf einer Notenskala von 1 bis 6?</t>
  </si>
  <si>
    <t>4. Wie schätzen Sie das Preis/Leistungsverhältnis ein?</t>
  </si>
  <si>
    <t>zwischen 20 - 30</t>
  </si>
  <si>
    <t>1. Wie zufrieden sind Sie mit dem Service der Careli GmbH bezüglich …</t>
  </si>
  <si>
    <t>2. Wie beurteilen Sie die Qualität der Produkte der Careli GmbH auf einer Notenskala von 1 bis 6?</t>
  </si>
  <si>
    <t>Objekt: Schul- und Freizeittasche</t>
  </si>
  <si>
    <t>zwischen 16 - 18</t>
  </si>
  <si>
    <t>zwischen 19 - 24</t>
  </si>
  <si>
    <t>älter als 24</t>
  </si>
  <si>
    <t>1. Kennen Sie die Careli GmbH?</t>
  </si>
  <si>
    <t>2. Woher kennen Sie die Careli GmbH?</t>
  </si>
  <si>
    <t>Logo</t>
  </si>
  <si>
    <t>3. Welcher der folgenden Aspekte sind für Sie beim Kauf von Schul- und Freizeittaschen besonders wichtig? Entscheiden Sie sich für zwei Kriterien.</t>
  </si>
  <si>
    <t>Vielfältige Innentaschen</t>
  </si>
  <si>
    <t>Wasserabweisende Oberfläche</t>
  </si>
  <si>
    <t>Trinkflaschenhalterung</t>
  </si>
  <si>
    <t>Schlüsselanhänger</t>
  </si>
  <si>
    <t>Handyfach</t>
  </si>
  <si>
    <t>Platz für DIN A4-Ordner/Laptop</t>
  </si>
  <si>
    <t>4. Bis zu welchem Preis würden Sie Schul- und Freizeittaschen in hoher Qualität kaufen?</t>
  </si>
  <si>
    <t>bis zu 25 €</t>
  </si>
  <si>
    <t>bis zu 35 €</t>
  </si>
  <si>
    <t>bis zu 50 €</t>
  </si>
  <si>
    <t>bis zu 65 €</t>
  </si>
  <si>
    <t>bis zu 80 €</t>
  </si>
  <si>
    <t>mehr als 80 €</t>
  </si>
  <si>
    <t>5. Wo kaufen Sie Taschen bevorzugt ein?</t>
  </si>
  <si>
    <t>6. Welche Medien konsumieren Sie regelmäßig?</t>
  </si>
  <si>
    <t>Online-Handel</t>
  </si>
  <si>
    <t>Einzelhandel</t>
  </si>
  <si>
    <t>Kaufhaus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</si>
</sst>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vertical="center"/>
    </xf>
    <xf numFmtId="10" fontId="0" fillId="3" borderId="1" xfId="0" applyNumberFormat="1" applyFill="1" applyBorder="1"/>
    <xf numFmtId="0" fontId="0" fillId="0" borderId="1" xfId="0" applyBorder="1" applyAlignment="1"/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" fillId="2" borderId="0" xfId="0" applyFont="1" applyFill="1" applyAlignment="1">
      <alignment horizontal="centerContinuous"/>
    </xf>
    <xf numFmtId="9" fontId="0" fillId="3" borderId="1" xfId="1" applyFont="1" applyFill="1" applyBorder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Woher kennen Sie …?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Straßenbefragung!$I$26</c:f>
              <c:strCache>
                <c:ptCount val="1"/>
                <c:pt idx="0">
                  <c:v>Männer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Straßenbefragung!$H$27:$H$32</c:f>
              <c:strCache>
                <c:ptCount val="6"/>
                <c:pt idx="0">
                  <c:v>Logo</c:v>
                </c:pt>
                <c:pt idx="1">
                  <c:v>Bekannte</c:v>
                </c:pt>
                <c:pt idx="2">
                  <c:v>Internet</c:v>
                </c:pt>
                <c:pt idx="3">
                  <c:v>Gelbe Seiten</c:v>
                </c:pt>
                <c:pt idx="4">
                  <c:v>Printmedien</c:v>
                </c:pt>
                <c:pt idx="5">
                  <c:v>weiß nicht</c:v>
                </c:pt>
              </c:strCache>
            </c:strRef>
          </c:cat>
          <c:val>
            <c:numRef>
              <c:f>Straßenbefragung!$I$27:$I$32</c:f>
              <c:numCache>
                <c:formatCode>0.00%</c:formatCode>
                <c:ptCount val="6"/>
                <c:pt idx="0">
                  <c:v>0.27419354838709675</c:v>
                </c:pt>
                <c:pt idx="1">
                  <c:v>0.38709677419354838</c:v>
                </c:pt>
                <c:pt idx="2">
                  <c:v>0.15161290322580645</c:v>
                </c:pt>
                <c:pt idx="3">
                  <c:v>3.870967741935484E-2</c:v>
                </c:pt>
                <c:pt idx="4">
                  <c:v>7.7419354838709681E-2</c:v>
                </c:pt>
                <c:pt idx="5">
                  <c:v>7.0967741935483872E-2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8-40AC-BDFD-32AF2CC911AD}"/>
            </c:ext>
          </c:extLst>
        </c:ser>
        <c:ser>
          <c:idx val="1"/>
          <c:order val="1"/>
          <c:tx>
            <c:strRef>
              <c:f>Straßenbefragung!$J$26</c:f>
              <c:strCache>
                <c:ptCount val="1"/>
                <c:pt idx="0">
                  <c:v>Frauen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Straßenbefragung!$H$27:$H$32</c:f>
              <c:strCache>
                <c:ptCount val="6"/>
                <c:pt idx="0">
                  <c:v>Logo</c:v>
                </c:pt>
                <c:pt idx="1">
                  <c:v>Bekannte</c:v>
                </c:pt>
                <c:pt idx="2">
                  <c:v>Internet</c:v>
                </c:pt>
                <c:pt idx="3">
                  <c:v>Gelbe Seiten</c:v>
                </c:pt>
                <c:pt idx="4">
                  <c:v>Printmedien</c:v>
                </c:pt>
                <c:pt idx="5">
                  <c:v>weiß nicht</c:v>
                </c:pt>
              </c:strCache>
            </c:strRef>
          </c:cat>
          <c:val>
            <c:numRef>
              <c:f>Straßenbefragung!$J$27:$J$32</c:f>
              <c:numCache>
                <c:formatCode>0.00%</c:formatCode>
                <c:ptCount val="6"/>
                <c:pt idx="0">
                  <c:v>0.24444444444444444</c:v>
                </c:pt>
                <c:pt idx="1">
                  <c:v>0.32444444444444442</c:v>
                </c:pt>
                <c:pt idx="2">
                  <c:v>0.17333333333333334</c:v>
                </c:pt>
                <c:pt idx="3">
                  <c:v>3.5555555555555556E-2</c:v>
                </c:pt>
                <c:pt idx="4">
                  <c:v>5.3333333333333337E-2</c:v>
                </c:pt>
                <c:pt idx="5">
                  <c:v>0.16888888888888889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8-40AC-BDFD-32AF2CC91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351952"/>
        <c:axId val="511348672"/>
      </c:barChart>
      <c:catAx>
        <c:axId val="51135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348672"/>
        <c:crosses val="autoZero"/>
        <c:auto val="1"/>
        <c:lblAlgn val="ctr"/>
        <c:lblOffset val="100"/>
        <c:noMultiLvlLbl val="0"/>
      </c:catAx>
      <c:valAx>
        <c:axId val="5113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3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Woher kennen Sie …?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Straßenbefragung!$K$26</c:f>
              <c:strCache>
                <c:ptCount val="1"/>
                <c:pt idx="0">
                  <c:v>zwischen 16 - 18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Straßenbefragung!$H$27:$H$32</c:f>
              <c:strCache>
                <c:ptCount val="6"/>
                <c:pt idx="0">
                  <c:v>Logo</c:v>
                </c:pt>
                <c:pt idx="1">
                  <c:v>Bekannte</c:v>
                </c:pt>
                <c:pt idx="2">
                  <c:v>Internet</c:v>
                </c:pt>
                <c:pt idx="3">
                  <c:v>Gelbe Seiten</c:v>
                </c:pt>
                <c:pt idx="4">
                  <c:v>Printmedien</c:v>
                </c:pt>
                <c:pt idx="5">
                  <c:v>weiß nicht</c:v>
                </c:pt>
              </c:strCache>
            </c:strRef>
          </c:cat>
          <c:val>
            <c:numRef>
              <c:f>Straßenbefragung!$K$27:$K$32</c:f>
              <c:numCache>
                <c:formatCode>0.00%</c:formatCode>
                <c:ptCount val="6"/>
                <c:pt idx="0">
                  <c:v>0.18823529411764706</c:v>
                </c:pt>
                <c:pt idx="1">
                  <c:v>0.31764705882352939</c:v>
                </c:pt>
                <c:pt idx="2">
                  <c:v>0.3411764705882353</c:v>
                </c:pt>
                <c:pt idx="3">
                  <c:v>3.5294117647058823E-2</c:v>
                </c:pt>
                <c:pt idx="4">
                  <c:v>4.7058823529411764E-2</c:v>
                </c:pt>
                <c:pt idx="5">
                  <c:v>7.0588235294117646E-2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4A-4869-A1B3-E520B89CF58D}"/>
            </c:ext>
          </c:extLst>
        </c:ser>
        <c:ser>
          <c:idx val="1"/>
          <c:order val="1"/>
          <c:tx>
            <c:strRef>
              <c:f>Straßenbefragung!$L$26</c:f>
              <c:strCache>
                <c:ptCount val="1"/>
                <c:pt idx="0">
                  <c:v>zwischen 19 - 24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Straßenbefragung!$H$27:$H$32</c:f>
              <c:strCache>
                <c:ptCount val="6"/>
                <c:pt idx="0">
                  <c:v>Logo</c:v>
                </c:pt>
                <c:pt idx="1">
                  <c:v>Bekannte</c:v>
                </c:pt>
                <c:pt idx="2">
                  <c:v>Internet</c:v>
                </c:pt>
                <c:pt idx="3">
                  <c:v>Gelbe Seiten</c:v>
                </c:pt>
                <c:pt idx="4">
                  <c:v>Printmedien</c:v>
                </c:pt>
                <c:pt idx="5">
                  <c:v>weiß nicht</c:v>
                </c:pt>
              </c:strCache>
            </c:strRef>
          </c:cat>
          <c:val>
            <c:numRef>
              <c:f>Straßenbefragung!$L$27:$L$32</c:f>
              <c:numCache>
                <c:formatCode>0.00%</c:formatCode>
                <c:ptCount val="6"/>
                <c:pt idx="0">
                  <c:v>0.25853658536585367</c:v>
                </c:pt>
                <c:pt idx="1">
                  <c:v>0.2780487804878049</c:v>
                </c:pt>
                <c:pt idx="2">
                  <c:v>0.18048780487804877</c:v>
                </c:pt>
                <c:pt idx="3">
                  <c:v>3.9024390243902439E-2</c:v>
                </c:pt>
                <c:pt idx="4">
                  <c:v>8.2926829268292687E-2</c:v>
                </c:pt>
                <c:pt idx="5">
                  <c:v>0.16097560975609757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4A-4869-A1B3-E520B89CF58D}"/>
            </c:ext>
          </c:extLst>
        </c:ser>
        <c:ser>
          <c:idx val="2"/>
          <c:order val="2"/>
          <c:tx>
            <c:strRef>
              <c:f>Straßenbefragung!$M$26</c:f>
              <c:strCache>
                <c:ptCount val="1"/>
                <c:pt idx="0">
                  <c:v>älter als 24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Straßenbefragung!$H$27:$H$32</c:f>
              <c:strCache>
                <c:ptCount val="6"/>
                <c:pt idx="0">
                  <c:v>Logo</c:v>
                </c:pt>
                <c:pt idx="1">
                  <c:v>Bekannte</c:v>
                </c:pt>
                <c:pt idx="2">
                  <c:v>Internet</c:v>
                </c:pt>
                <c:pt idx="3">
                  <c:v>Gelbe Seiten</c:v>
                </c:pt>
                <c:pt idx="4">
                  <c:v>Printmedien</c:v>
                </c:pt>
                <c:pt idx="5">
                  <c:v>weiß nicht</c:v>
                </c:pt>
              </c:strCache>
            </c:strRef>
          </c:cat>
          <c:val>
            <c:numRef>
              <c:f>Straßenbefragung!$M$27:$M$32</c:f>
              <c:numCache>
                <c:formatCode>0.00%</c:formatCode>
                <c:ptCount val="6"/>
                <c:pt idx="0">
                  <c:v>0.28979591836734692</c:v>
                </c:pt>
                <c:pt idx="1">
                  <c:v>0.44489795918367347</c:v>
                </c:pt>
                <c:pt idx="2">
                  <c:v>8.1632653061224483E-2</c:v>
                </c:pt>
                <c:pt idx="3">
                  <c:v>3.6734693877551024E-2</c:v>
                </c:pt>
                <c:pt idx="4">
                  <c:v>6.1224489795918366E-2</c:v>
                </c:pt>
                <c:pt idx="5">
                  <c:v>8.5714285714285715E-2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4A-4869-A1B3-E520B89CF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351952"/>
        <c:axId val="511348672"/>
      </c:barChart>
      <c:catAx>
        <c:axId val="51135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348672"/>
        <c:crosses val="autoZero"/>
        <c:auto val="1"/>
        <c:lblAlgn val="ctr"/>
        <c:lblOffset val="100"/>
        <c:noMultiLvlLbl val="0"/>
      </c:catAx>
      <c:valAx>
        <c:axId val="5113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3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1238250</xdr:colOff>
      <xdr:row>1</xdr:row>
      <xdr:rowOff>0</xdr:rowOff>
    </xdr:from>
    <xdr:to>
      <xdr:col>15</xdr:col>
      <xdr:colOff>0</xdr:colOff>
      <xdr:row>12</xdr:row>
      <xdr:rowOff>57150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1238250</xdr:colOff>
      <xdr:row>12</xdr:row>
      <xdr:rowOff>57150</xdr:rowOff>
    </xdr:from>
    <xdr:to>
      <xdr:col>15</xdr:col>
      <xdr:colOff>0</xdr:colOff>
      <xdr:row>23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3</xdr:row>
      <xdr:rowOff>9525</xdr:rowOff>
    </xdr:from>
    <xdr:to>
      <xdr:col>11</xdr:col>
      <xdr:colOff>0</xdr:colOff>
      <xdr:row>7</xdr:row>
      <xdr:rowOff>180975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7BBD10F3-C505-290C-F42C-5AF3ED5E4F9F}"/>
            </a:ext>
          </a:extLst>
        </xdr:cNvPr>
        <xdr:cNvSpPr txBox="1"/>
      </xdr:nvSpPr>
      <xdr:spPr>
        <a:xfrm>
          <a:off x="6657975" y="390525"/>
          <a:ext cx="3152775" cy="933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 indent="-228600">
            <a:buFont typeface="+mj-lt"/>
            <a:buAutoNum type="arabicPeriod"/>
          </a:pPr>
          <a:r>
            <a:rPr lang="de-DE" sz="1100"/>
            <a:t>Berechnen Sie die prozentualen Anteile in den blaugrün hinterlegten Zellen.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Q73"/>
  <sheetViews>
    <sheetView tabSelected="1" zoomScaleNormal="100" workbookViewId="0">
      <selection activeCell="I6" sqref="I6"/>
    </sheetView>
  </sheetViews>
  <sheetFormatPr baseColWidth="10" defaultRowHeight="15" x14ac:dyDescent="0.25"/>
  <cols>
    <col min="1" max="1" width="31.85546875" customWidth="1"/>
    <col min="2" max="7" width="15.7109375" customWidth="1"/>
    <col min="8" max="8" width="31.28515625" customWidth="1"/>
    <col min="9" max="13" width="15.7109375" customWidth="1"/>
    <col min="14" max="17" width="18.7109375" customWidth="1"/>
  </cols>
  <sheetData>
    <row r="1" spans="1:8" x14ac:dyDescent="0.25">
      <c r="A1" s="12" t="s">
        <v>15</v>
      </c>
      <c r="B1" s="12"/>
      <c r="C1" s="12"/>
      <c r="D1" s="12"/>
      <c r="E1" s="12"/>
      <c r="F1" s="12"/>
      <c r="G1" s="9"/>
    </row>
    <row r="3" spans="1:8" x14ac:dyDescent="0.25">
      <c r="A3" s="2" t="s">
        <v>0</v>
      </c>
      <c r="B3" s="2">
        <v>1350</v>
      </c>
    </row>
    <row r="4" spans="1:8" x14ac:dyDescent="0.25">
      <c r="A4" s="2" t="s">
        <v>1</v>
      </c>
      <c r="B4" s="2">
        <v>720</v>
      </c>
      <c r="C4" s="22">
        <f>B4/$B$3</f>
        <v>0.53333333333333333</v>
      </c>
    </row>
    <row r="5" spans="1:8" x14ac:dyDescent="0.25">
      <c r="A5" s="2" t="s">
        <v>2</v>
      </c>
      <c r="B5" s="2">
        <v>630</v>
      </c>
      <c r="C5" s="22">
        <f>B5/$B$3</f>
        <v>0.46666666666666667</v>
      </c>
    </row>
    <row r="7" spans="1:8" x14ac:dyDescent="0.25">
      <c r="A7" s="11" t="s">
        <v>3</v>
      </c>
      <c r="B7" s="11"/>
    </row>
    <row r="8" spans="1:8" x14ac:dyDescent="0.25">
      <c r="A8" s="2" t="s">
        <v>32</v>
      </c>
      <c r="B8" s="2">
        <v>250</v>
      </c>
      <c r="C8" s="22">
        <f>B8/$B$3</f>
        <v>0.18518518518518517</v>
      </c>
    </row>
    <row r="9" spans="1:8" x14ac:dyDescent="0.25">
      <c r="A9" s="2" t="s">
        <v>33</v>
      </c>
      <c r="B9" s="2">
        <v>575</v>
      </c>
      <c r="C9" s="22">
        <f t="shared" ref="C9:C10" si="0">B9/$B$3</f>
        <v>0.42592592592592593</v>
      </c>
    </row>
    <row r="10" spans="1:8" x14ac:dyDescent="0.25">
      <c r="A10" s="2" t="s">
        <v>34</v>
      </c>
      <c r="B10" s="2">
        <v>525</v>
      </c>
      <c r="C10" s="22">
        <f t="shared" si="0"/>
        <v>0.3888888888888889</v>
      </c>
    </row>
    <row r="13" spans="1:8" x14ac:dyDescent="0.25">
      <c r="A13" t="s">
        <v>35</v>
      </c>
    </row>
    <row r="15" spans="1:8" x14ac:dyDescent="0.25">
      <c r="B15" s="8" t="s">
        <v>1</v>
      </c>
      <c r="C15" s="8" t="s">
        <v>2</v>
      </c>
      <c r="G15" s="8" t="s">
        <v>1</v>
      </c>
      <c r="H15" s="8" t="s">
        <v>2</v>
      </c>
    </row>
    <row r="16" spans="1:8" x14ac:dyDescent="0.25">
      <c r="A16" s="2" t="s">
        <v>6</v>
      </c>
      <c r="B16" s="2">
        <v>310</v>
      </c>
      <c r="C16" s="2">
        <v>225</v>
      </c>
      <c r="F16" s="2" t="s">
        <v>6</v>
      </c>
      <c r="G16" s="15">
        <f>B16/$B$4</f>
        <v>0.43055555555555558</v>
      </c>
      <c r="H16" s="15">
        <f>C16/$B$5</f>
        <v>0.35714285714285715</v>
      </c>
    </row>
    <row r="17" spans="1:13" x14ac:dyDescent="0.25">
      <c r="A17" s="2" t="s">
        <v>7</v>
      </c>
      <c r="B17" s="2">
        <v>410</v>
      </c>
      <c r="C17" s="2">
        <v>405</v>
      </c>
      <c r="F17" s="2" t="s">
        <v>7</v>
      </c>
      <c r="G17" s="15">
        <f>B17/$B$4</f>
        <v>0.56944444444444442</v>
      </c>
      <c r="H17" s="15">
        <f>C17/$B$5</f>
        <v>0.6428571428571429</v>
      </c>
    </row>
    <row r="19" spans="1:13" x14ac:dyDescent="0.25">
      <c r="B19" s="11" t="s">
        <v>9</v>
      </c>
      <c r="C19" s="11"/>
      <c r="D19" s="11"/>
      <c r="G19" s="11" t="s">
        <v>9</v>
      </c>
      <c r="H19" s="11"/>
      <c r="I19" s="11"/>
    </row>
    <row r="20" spans="1:13" x14ac:dyDescent="0.25">
      <c r="B20" s="8" t="s">
        <v>32</v>
      </c>
      <c r="C20" s="8" t="s">
        <v>33</v>
      </c>
      <c r="D20" s="8" t="s">
        <v>34</v>
      </c>
      <c r="G20" s="8" t="s">
        <v>32</v>
      </c>
      <c r="H20" s="8" t="s">
        <v>33</v>
      </c>
      <c r="I20" s="8" t="s">
        <v>34</v>
      </c>
    </row>
    <row r="21" spans="1:13" x14ac:dyDescent="0.25">
      <c r="A21" s="2" t="s">
        <v>6</v>
      </c>
      <c r="B21" s="2">
        <v>85</v>
      </c>
      <c r="C21" s="2">
        <v>205</v>
      </c>
      <c r="D21" s="2">
        <v>245</v>
      </c>
      <c r="F21" s="2" t="s">
        <v>6</v>
      </c>
      <c r="G21" s="15">
        <f>B21/SUM($B$16:$C$16)</f>
        <v>0.15887850467289719</v>
      </c>
      <c r="H21" s="15">
        <f t="shared" ref="H21:I21" si="1">C21/SUM($B$16:$C$16)</f>
        <v>0.38317757009345793</v>
      </c>
      <c r="I21" s="15">
        <f t="shared" si="1"/>
        <v>0.45794392523364486</v>
      </c>
    </row>
    <row r="22" spans="1:13" x14ac:dyDescent="0.25">
      <c r="A22" s="2" t="s">
        <v>7</v>
      </c>
      <c r="B22" s="2">
        <v>165</v>
      </c>
      <c r="C22" s="2">
        <v>370</v>
      </c>
      <c r="D22" s="2">
        <v>280</v>
      </c>
      <c r="F22" s="2" t="s">
        <v>7</v>
      </c>
      <c r="G22" s="15">
        <f>B22/SUM($B$17:$C$17)</f>
        <v>0.20245398773006135</v>
      </c>
      <c r="H22" s="15">
        <f t="shared" ref="H22:I22" si="2">C22/SUM($B$17:$C$17)</f>
        <v>0.45398773006134968</v>
      </c>
      <c r="I22" s="15">
        <f t="shared" si="2"/>
        <v>0.34355828220858897</v>
      </c>
    </row>
    <row r="24" spans="1:13" x14ac:dyDescent="0.25">
      <c r="A24" t="s">
        <v>36</v>
      </c>
    </row>
    <row r="26" spans="1:13" x14ac:dyDescent="0.25">
      <c r="B26" s="8" t="s">
        <v>1</v>
      </c>
      <c r="C26" s="8" t="s">
        <v>2</v>
      </c>
      <c r="D26" s="8" t="s">
        <v>28</v>
      </c>
      <c r="E26" s="8" t="s">
        <v>4</v>
      </c>
      <c r="F26" s="8" t="s">
        <v>5</v>
      </c>
      <c r="G26" s="1"/>
      <c r="I26" s="8" t="s">
        <v>1</v>
      </c>
      <c r="J26" s="8" t="s">
        <v>2</v>
      </c>
      <c r="K26" s="8" t="s">
        <v>32</v>
      </c>
      <c r="L26" s="8" t="s">
        <v>33</v>
      </c>
      <c r="M26" s="8" t="s">
        <v>34</v>
      </c>
    </row>
    <row r="27" spans="1:13" x14ac:dyDescent="0.25">
      <c r="A27" s="4" t="s">
        <v>37</v>
      </c>
      <c r="B27" s="2">
        <v>85</v>
      </c>
      <c r="C27" s="2">
        <v>55</v>
      </c>
      <c r="D27" s="2">
        <v>16</v>
      </c>
      <c r="E27" s="2">
        <v>53</v>
      </c>
      <c r="F27" s="2">
        <v>71</v>
      </c>
      <c r="G27" s="1"/>
      <c r="H27" s="2" t="s">
        <v>37</v>
      </c>
      <c r="I27" s="15">
        <f>B27/$B$16</f>
        <v>0.27419354838709675</v>
      </c>
      <c r="J27" s="15">
        <f>C27/$C$16</f>
        <v>0.24444444444444444</v>
      </c>
      <c r="K27" s="15">
        <f>D27/$B$21</f>
        <v>0.18823529411764706</v>
      </c>
      <c r="L27" s="15">
        <f>E27/$C$21</f>
        <v>0.25853658536585367</v>
      </c>
      <c r="M27" s="15">
        <f>F27/$D$21</f>
        <v>0.28979591836734692</v>
      </c>
    </row>
    <row r="28" spans="1:13" x14ac:dyDescent="0.25">
      <c r="A28" s="4" t="s">
        <v>10</v>
      </c>
      <c r="B28" s="2">
        <v>120</v>
      </c>
      <c r="C28" s="2">
        <v>73</v>
      </c>
      <c r="D28" s="2">
        <v>27</v>
      </c>
      <c r="E28" s="2">
        <v>57</v>
      </c>
      <c r="F28" s="2">
        <v>109</v>
      </c>
      <c r="G28" s="1"/>
      <c r="H28" s="2" t="s">
        <v>10</v>
      </c>
      <c r="I28" s="15">
        <f t="shared" ref="I28:I32" si="3">B28/$B$16</f>
        <v>0.38709677419354838</v>
      </c>
      <c r="J28" s="15">
        <f t="shared" ref="J28:J32" si="4">C28/$C$16</f>
        <v>0.32444444444444442</v>
      </c>
      <c r="K28" s="15">
        <f t="shared" ref="K28:K32" si="5">D28/$B$21</f>
        <v>0.31764705882352939</v>
      </c>
      <c r="L28" s="15">
        <f t="shared" ref="L28:L32" si="6">E28/$C$21</f>
        <v>0.2780487804878049</v>
      </c>
      <c r="M28" s="15">
        <f t="shared" ref="M28:M32" si="7">F28/$D$21</f>
        <v>0.44489795918367347</v>
      </c>
    </row>
    <row r="29" spans="1:13" x14ac:dyDescent="0.25">
      <c r="A29" s="4" t="s">
        <v>11</v>
      </c>
      <c r="B29" s="2">
        <v>47</v>
      </c>
      <c r="C29" s="2">
        <v>39</v>
      </c>
      <c r="D29" s="2">
        <v>29</v>
      </c>
      <c r="E29" s="2">
        <v>37</v>
      </c>
      <c r="F29" s="2">
        <v>20</v>
      </c>
      <c r="G29" s="1"/>
      <c r="H29" s="2" t="s">
        <v>11</v>
      </c>
      <c r="I29" s="15">
        <f t="shared" si="3"/>
        <v>0.15161290322580645</v>
      </c>
      <c r="J29" s="15">
        <f t="shared" si="4"/>
        <v>0.17333333333333334</v>
      </c>
      <c r="K29" s="15">
        <f t="shared" si="5"/>
        <v>0.3411764705882353</v>
      </c>
      <c r="L29" s="15">
        <f t="shared" si="6"/>
        <v>0.18048780487804877</v>
      </c>
      <c r="M29" s="15">
        <f t="shared" si="7"/>
        <v>8.1632653061224483E-2</v>
      </c>
    </row>
    <row r="30" spans="1:13" x14ac:dyDescent="0.25">
      <c r="A30" s="4" t="s">
        <v>12</v>
      </c>
      <c r="B30" s="2">
        <v>12</v>
      </c>
      <c r="C30" s="2">
        <v>8</v>
      </c>
      <c r="D30" s="2">
        <v>3</v>
      </c>
      <c r="E30" s="2">
        <v>8</v>
      </c>
      <c r="F30" s="2">
        <v>9</v>
      </c>
      <c r="G30" s="1"/>
      <c r="H30" s="2" t="s">
        <v>12</v>
      </c>
      <c r="I30" s="15">
        <f t="shared" si="3"/>
        <v>3.870967741935484E-2</v>
      </c>
      <c r="J30" s="15">
        <f t="shared" si="4"/>
        <v>3.5555555555555556E-2</v>
      </c>
      <c r="K30" s="15">
        <f t="shared" si="5"/>
        <v>3.5294117647058823E-2</v>
      </c>
      <c r="L30" s="15">
        <f t="shared" si="6"/>
        <v>3.9024390243902439E-2</v>
      </c>
      <c r="M30" s="15">
        <f t="shared" si="7"/>
        <v>3.6734693877551024E-2</v>
      </c>
    </row>
    <row r="31" spans="1:13" x14ac:dyDescent="0.25">
      <c r="A31" s="4" t="s">
        <v>13</v>
      </c>
      <c r="B31" s="2">
        <v>24</v>
      </c>
      <c r="C31" s="2">
        <v>12</v>
      </c>
      <c r="D31" s="2">
        <v>4</v>
      </c>
      <c r="E31" s="2">
        <v>17</v>
      </c>
      <c r="F31" s="2">
        <v>15</v>
      </c>
      <c r="G31" s="1"/>
      <c r="H31" s="2" t="s">
        <v>13</v>
      </c>
      <c r="I31" s="15">
        <f t="shared" si="3"/>
        <v>7.7419354838709681E-2</v>
      </c>
      <c r="J31" s="15">
        <f t="shared" si="4"/>
        <v>5.3333333333333337E-2</v>
      </c>
      <c r="K31" s="15">
        <f t="shared" si="5"/>
        <v>4.7058823529411764E-2</v>
      </c>
      <c r="L31" s="15">
        <f t="shared" si="6"/>
        <v>8.2926829268292687E-2</v>
      </c>
      <c r="M31" s="15">
        <f t="shared" si="7"/>
        <v>6.1224489795918366E-2</v>
      </c>
    </row>
    <row r="32" spans="1:13" x14ac:dyDescent="0.25">
      <c r="A32" s="4" t="s">
        <v>14</v>
      </c>
      <c r="B32" s="2">
        <v>22</v>
      </c>
      <c r="C32" s="2">
        <v>38</v>
      </c>
      <c r="D32" s="2">
        <v>6</v>
      </c>
      <c r="E32" s="2">
        <v>33</v>
      </c>
      <c r="F32" s="2">
        <v>21</v>
      </c>
      <c r="G32" s="1"/>
      <c r="H32" s="2" t="s">
        <v>14</v>
      </c>
      <c r="I32" s="15">
        <f t="shared" si="3"/>
        <v>7.0967741935483872E-2</v>
      </c>
      <c r="J32" s="15">
        <f t="shared" si="4"/>
        <v>0.16888888888888889</v>
      </c>
      <c r="K32" s="15">
        <f t="shared" si="5"/>
        <v>7.0588235294117646E-2</v>
      </c>
      <c r="L32" s="15">
        <f t="shared" si="6"/>
        <v>0.16097560975609757</v>
      </c>
      <c r="M32" s="15">
        <f t="shared" si="7"/>
        <v>8.5714285714285715E-2</v>
      </c>
    </row>
    <row r="34" spans="1:17" x14ac:dyDescent="0.25">
      <c r="A34" t="s">
        <v>38</v>
      </c>
    </row>
    <row r="36" spans="1:17" x14ac:dyDescent="0.25">
      <c r="B36" s="8" t="s">
        <v>1</v>
      </c>
      <c r="C36" s="8" t="s">
        <v>2</v>
      </c>
      <c r="D36" s="8" t="s">
        <v>32</v>
      </c>
      <c r="E36" s="8" t="s">
        <v>33</v>
      </c>
      <c r="F36" s="8" t="s">
        <v>34</v>
      </c>
      <c r="G36" s="1"/>
      <c r="I36" s="8" t="s">
        <v>1</v>
      </c>
      <c r="J36" s="8" t="s">
        <v>2</v>
      </c>
      <c r="K36" s="8" t="s">
        <v>32</v>
      </c>
      <c r="L36" s="8" t="s">
        <v>33</v>
      </c>
      <c r="M36" s="8" t="s">
        <v>34</v>
      </c>
    </row>
    <row r="37" spans="1:17" x14ac:dyDescent="0.25">
      <c r="A37" s="4" t="s">
        <v>8</v>
      </c>
      <c r="B37" s="2">
        <v>181</v>
      </c>
      <c r="C37" s="2">
        <v>156</v>
      </c>
      <c r="D37" s="2">
        <v>78</v>
      </c>
      <c r="E37" s="2">
        <v>148</v>
      </c>
      <c r="F37" s="2">
        <v>111</v>
      </c>
      <c r="G37" s="1"/>
      <c r="H37" s="4" t="s">
        <v>8</v>
      </c>
      <c r="I37" s="15">
        <f>B37/$B$3</f>
        <v>0.13407407407407407</v>
      </c>
      <c r="J37" s="15">
        <f>C37/$B$5</f>
        <v>0.24761904761904763</v>
      </c>
      <c r="K37" s="15">
        <f>D37/SUM($B$21:$B$22)</f>
        <v>0.312</v>
      </c>
      <c r="L37" s="15">
        <f>E37/SUM($C$21:$C$22)</f>
        <v>0.25739130434782609</v>
      </c>
      <c r="M37" s="15">
        <f>F37/SUM($D$21:$D$22)</f>
        <v>0.21142857142857144</v>
      </c>
    </row>
    <row r="38" spans="1:17" x14ac:dyDescent="0.25">
      <c r="A38" s="4" t="s">
        <v>39</v>
      </c>
      <c r="B38" s="2">
        <v>192</v>
      </c>
      <c r="C38" s="2">
        <v>172</v>
      </c>
      <c r="D38" s="2">
        <v>58</v>
      </c>
      <c r="E38" s="3">
        <v>155</v>
      </c>
      <c r="F38" s="2">
        <v>151</v>
      </c>
      <c r="G38" s="1"/>
      <c r="H38" s="4" t="s">
        <v>39</v>
      </c>
      <c r="I38" s="15">
        <f t="shared" ref="I38:I43" si="8">B38/$B$3</f>
        <v>0.14222222222222222</v>
      </c>
      <c r="J38" s="15">
        <f t="shared" ref="J38:J43" si="9">C38/$B$5</f>
        <v>0.27301587301587299</v>
      </c>
      <c r="K38" s="15">
        <f t="shared" ref="K38:K43" si="10">D38/SUM($B$21:$B$22)</f>
        <v>0.23200000000000001</v>
      </c>
      <c r="L38" s="15">
        <f t="shared" ref="L38:L43" si="11">E38/SUM($C$21:$C$22)</f>
        <v>0.26956521739130435</v>
      </c>
      <c r="M38" s="15">
        <f t="shared" ref="M38:M43" si="12">F38/SUM($D$21:$D$22)</f>
        <v>0.28761904761904761</v>
      </c>
    </row>
    <row r="39" spans="1:17" x14ac:dyDescent="0.25">
      <c r="A39" s="4" t="s">
        <v>40</v>
      </c>
      <c r="B39" s="2">
        <v>68</v>
      </c>
      <c r="C39" s="2">
        <v>52</v>
      </c>
      <c r="D39" s="2">
        <v>18</v>
      </c>
      <c r="E39" s="3">
        <v>49</v>
      </c>
      <c r="F39" s="2">
        <v>53</v>
      </c>
      <c r="G39" s="1"/>
      <c r="H39" s="4" t="s">
        <v>40</v>
      </c>
      <c r="I39" s="15">
        <f t="shared" si="8"/>
        <v>5.0370370370370371E-2</v>
      </c>
      <c r="J39" s="15">
        <f t="shared" si="9"/>
        <v>8.2539682539682538E-2</v>
      </c>
      <c r="K39" s="15">
        <f t="shared" si="10"/>
        <v>7.1999999999999995E-2</v>
      </c>
      <c r="L39" s="15">
        <f t="shared" si="11"/>
        <v>8.5217391304347828E-2</v>
      </c>
      <c r="M39" s="15">
        <f t="shared" si="12"/>
        <v>0.10095238095238095</v>
      </c>
    </row>
    <row r="40" spans="1:17" x14ac:dyDescent="0.25">
      <c r="A40" s="4" t="s">
        <v>41</v>
      </c>
      <c r="B40" s="2">
        <v>115</v>
      </c>
      <c r="C40" s="2">
        <v>104</v>
      </c>
      <c r="D40" s="2">
        <v>42</v>
      </c>
      <c r="E40" s="3">
        <v>98</v>
      </c>
      <c r="F40" s="2">
        <v>79</v>
      </c>
      <c r="G40" s="1"/>
      <c r="H40" s="4" t="s">
        <v>41</v>
      </c>
      <c r="I40" s="15">
        <f t="shared" si="8"/>
        <v>8.5185185185185183E-2</v>
      </c>
      <c r="J40" s="15">
        <f t="shared" si="9"/>
        <v>0.16507936507936508</v>
      </c>
      <c r="K40" s="15">
        <f t="shared" si="10"/>
        <v>0.16800000000000001</v>
      </c>
      <c r="L40" s="15">
        <f t="shared" si="11"/>
        <v>0.17043478260869566</v>
      </c>
      <c r="M40" s="15">
        <f t="shared" si="12"/>
        <v>0.15047619047619049</v>
      </c>
    </row>
    <row r="41" spans="1:17" x14ac:dyDescent="0.25">
      <c r="A41" s="4" t="s">
        <v>42</v>
      </c>
      <c r="B41" s="2">
        <v>61</v>
      </c>
      <c r="C41" s="2">
        <v>55</v>
      </c>
      <c r="D41" s="2">
        <v>21</v>
      </c>
      <c r="E41" s="3">
        <v>52</v>
      </c>
      <c r="F41" s="2">
        <v>43</v>
      </c>
      <c r="G41" s="1"/>
      <c r="H41" s="4" t="s">
        <v>42</v>
      </c>
      <c r="I41" s="15">
        <f t="shared" si="8"/>
        <v>4.5185185185185182E-2</v>
      </c>
      <c r="J41" s="15">
        <f t="shared" si="9"/>
        <v>8.7301587301587297E-2</v>
      </c>
      <c r="K41" s="15">
        <f t="shared" si="10"/>
        <v>8.4000000000000005E-2</v>
      </c>
      <c r="L41" s="15">
        <f t="shared" si="11"/>
        <v>9.0434782608695655E-2</v>
      </c>
      <c r="M41" s="15">
        <f t="shared" si="12"/>
        <v>8.1904761904761911E-2</v>
      </c>
    </row>
    <row r="42" spans="1:17" x14ac:dyDescent="0.25">
      <c r="A42" s="4" t="s">
        <v>43</v>
      </c>
      <c r="B42" s="2">
        <v>40</v>
      </c>
      <c r="C42" s="2">
        <v>37</v>
      </c>
      <c r="D42" s="2">
        <v>19</v>
      </c>
      <c r="E42" s="3">
        <v>34</v>
      </c>
      <c r="F42" s="2">
        <v>24</v>
      </c>
      <c r="G42" s="1"/>
      <c r="H42" s="4" t="s">
        <v>43</v>
      </c>
      <c r="I42" s="15">
        <f t="shared" si="8"/>
        <v>2.9629629629629631E-2</v>
      </c>
      <c r="J42" s="15">
        <f t="shared" si="9"/>
        <v>5.873015873015873E-2</v>
      </c>
      <c r="K42" s="15">
        <f t="shared" si="10"/>
        <v>7.5999999999999998E-2</v>
      </c>
      <c r="L42" s="15">
        <f t="shared" si="11"/>
        <v>5.9130434782608696E-2</v>
      </c>
      <c r="M42" s="15">
        <f t="shared" si="12"/>
        <v>4.5714285714285714E-2</v>
      </c>
    </row>
    <row r="43" spans="1:17" x14ac:dyDescent="0.25">
      <c r="A43" s="4" t="s">
        <v>44</v>
      </c>
      <c r="B43" s="2">
        <v>63</v>
      </c>
      <c r="C43" s="2">
        <v>54</v>
      </c>
      <c r="D43" s="2">
        <v>14</v>
      </c>
      <c r="E43" s="2">
        <v>39</v>
      </c>
      <c r="F43" s="2">
        <v>64</v>
      </c>
      <c r="G43" s="1"/>
      <c r="H43" s="4" t="s">
        <v>44</v>
      </c>
      <c r="I43" s="15">
        <f t="shared" si="8"/>
        <v>4.6666666666666669E-2</v>
      </c>
      <c r="J43" s="15">
        <f t="shared" si="9"/>
        <v>8.5714285714285715E-2</v>
      </c>
      <c r="K43" s="15">
        <f t="shared" si="10"/>
        <v>5.6000000000000001E-2</v>
      </c>
      <c r="L43" s="15">
        <f t="shared" si="11"/>
        <v>6.7826086956521744E-2</v>
      </c>
      <c r="M43" s="15">
        <f t="shared" si="12"/>
        <v>0.1219047619047619</v>
      </c>
    </row>
    <row r="46" spans="1:17" x14ac:dyDescent="0.25">
      <c r="A46" t="s">
        <v>45</v>
      </c>
    </row>
    <row r="48" spans="1:17" x14ac:dyDescent="0.25">
      <c r="B48" s="5" t="s">
        <v>46</v>
      </c>
      <c r="C48" s="5" t="s">
        <v>47</v>
      </c>
      <c r="D48" s="5" t="s">
        <v>48</v>
      </c>
      <c r="E48" s="5" t="s">
        <v>49</v>
      </c>
      <c r="F48" s="5" t="s">
        <v>50</v>
      </c>
      <c r="G48" s="5" t="s">
        <v>51</v>
      </c>
      <c r="H48" s="8" t="s">
        <v>14</v>
      </c>
      <c r="K48" s="5" t="s">
        <v>46</v>
      </c>
      <c r="L48" s="5" t="s">
        <v>47</v>
      </c>
      <c r="M48" s="5" t="s">
        <v>48</v>
      </c>
      <c r="N48" s="5" t="s">
        <v>49</v>
      </c>
      <c r="O48" s="5" t="s">
        <v>50</v>
      </c>
      <c r="P48" s="5" t="s">
        <v>51</v>
      </c>
      <c r="Q48" s="8" t="s">
        <v>14</v>
      </c>
    </row>
    <row r="49" spans="1:17" x14ac:dyDescent="0.25">
      <c r="A49" s="4" t="s">
        <v>1</v>
      </c>
      <c r="B49" s="2">
        <v>24</v>
      </c>
      <c r="C49" s="2">
        <v>47</v>
      </c>
      <c r="D49" s="2">
        <v>73</v>
      </c>
      <c r="E49" s="2">
        <v>29</v>
      </c>
      <c r="F49" s="2">
        <v>8</v>
      </c>
      <c r="G49" s="2">
        <v>3</v>
      </c>
      <c r="H49" s="2">
        <v>126</v>
      </c>
      <c r="J49" s="4" t="s">
        <v>1</v>
      </c>
      <c r="K49" s="15">
        <f>B49/$B$16</f>
        <v>7.7419354838709681E-2</v>
      </c>
      <c r="L49" s="15">
        <f t="shared" ref="L49:Q49" si="13">C49/$B$16</f>
        <v>0.15161290322580645</v>
      </c>
      <c r="M49" s="15">
        <f t="shared" si="13"/>
        <v>0.23548387096774193</v>
      </c>
      <c r="N49" s="15">
        <f t="shared" si="13"/>
        <v>9.3548387096774197E-2</v>
      </c>
      <c r="O49" s="15">
        <f t="shared" si="13"/>
        <v>2.5806451612903226E-2</v>
      </c>
      <c r="P49" s="15">
        <f t="shared" si="13"/>
        <v>9.6774193548387101E-3</v>
      </c>
      <c r="Q49" s="15">
        <f t="shared" si="13"/>
        <v>0.40645161290322579</v>
      </c>
    </row>
    <row r="50" spans="1:17" x14ac:dyDescent="0.25">
      <c r="A50" s="4" t="s">
        <v>2</v>
      </c>
      <c r="B50" s="2">
        <v>19</v>
      </c>
      <c r="C50" s="2">
        <v>37</v>
      </c>
      <c r="D50" s="2">
        <v>62</v>
      </c>
      <c r="E50" s="2">
        <v>21</v>
      </c>
      <c r="F50" s="2">
        <v>4</v>
      </c>
      <c r="G50" s="2">
        <v>2</v>
      </c>
      <c r="H50" s="2">
        <v>80</v>
      </c>
      <c r="J50" s="4" t="s">
        <v>2</v>
      </c>
      <c r="K50" s="15">
        <f>B50/$C$16</f>
        <v>8.4444444444444447E-2</v>
      </c>
      <c r="L50" s="15">
        <f t="shared" ref="L50:Q50" si="14">C50/$C$16</f>
        <v>0.16444444444444445</v>
      </c>
      <c r="M50" s="15">
        <f t="shared" si="14"/>
        <v>0.27555555555555555</v>
      </c>
      <c r="N50" s="15">
        <f t="shared" si="14"/>
        <v>9.3333333333333338E-2</v>
      </c>
      <c r="O50" s="15">
        <f t="shared" si="14"/>
        <v>1.7777777777777778E-2</v>
      </c>
      <c r="P50" s="15">
        <f t="shared" si="14"/>
        <v>8.8888888888888889E-3</v>
      </c>
      <c r="Q50" s="15">
        <f t="shared" si="14"/>
        <v>0.35555555555555557</v>
      </c>
    </row>
    <row r="51" spans="1:17" x14ac:dyDescent="0.25">
      <c r="A51" s="4" t="s">
        <v>32</v>
      </c>
      <c r="B51" s="2">
        <v>7</v>
      </c>
      <c r="C51" s="2">
        <v>13</v>
      </c>
      <c r="D51" s="2">
        <v>16</v>
      </c>
      <c r="E51" s="2">
        <v>7</v>
      </c>
      <c r="F51" s="2">
        <v>3</v>
      </c>
      <c r="G51" s="2">
        <v>2</v>
      </c>
      <c r="H51" s="2">
        <v>37</v>
      </c>
      <c r="J51" s="4" t="s">
        <v>32</v>
      </c>
      <c r="K51" s="15">
        <f>B51/$B$21</f>
        <v>8.2352941176470587E-2</v>
      </c>
      <c r="L51" s="15">
        <f t="shared" ref="L51:Q51" si="15">C51/$B$21</f>
        <v>0.15294117647058825</v>
      </c>
      <c r="M51" s="15">
        <f t="shared" si="15"/>
        <v>0.18823529411764706</v>
      </c>
      <c r="N51" s="15">
        <f t="shared" si="15"/>
        <v>8.2352941176470587E-2</v>
      </c>
      <c r="O51" s="15">
        <f t="shared" si="15"/>
        <v>3.5294117647058823E-2</v>
      </c>
      <c r="P51" s="15">
        <f t="shared" si="15"/>
        <v>2.3529411764705882E-2</v>
      </c>
      <c r="Q51" s="15">
        <f t="shared" si="15"/>
        <v>0.43529411764705883</v>
      </c>
    </row>
    <row r="52" spans="1:17" x14ac:dyDescent="0.25">
      <c r="A52" s="4" t="s">
        <v>33</v>
      </c>
      <c r="B52" s="2">
        <v>12</v>
      </c>
      <c r="C52" s="2">
        <v>31</v>
      </c>
      <c r="D52" s="2">
        <v>43</v>
      </c>
      <c r="E52" s="2">
        <v>17</v>
      </c>
      <c r="F52" s="2">
        <v>5</v>
      </c>
      <c r="G52" s="2">
        <v>2</v>
      </c>
      <c r="H52" s="2">
        <v>95</v>
      </c>
      <c r="J52" s="4" t="s">
        <v>33</v>
      </c>
      <c r="K52" s="15">
        <f>B52/$C$21</f>
        <v>5.8536585365853662E-2</v>
      </c>
      <c r="L52" s="15">
        <f t="shared" ref="L52:Q52" si="16">C52/$C$21</f>
        <v>0.15121951219512195</v>
      </c>
      <c r="M52" s="15">
        <f t="shared" si="16"/>
        <v>0.2097560975609756</v>
      </c>
      <c r="N52" s="15">
        <f t="shared" si="16"/>
        <v>8.2926829268292687E-2</v>
      </c>
      <c r="O52" s="15">
        <f t="shared" si="16"/>
        <v>2.4390243902439025E-2</v>
      </c>
      <c r="P52" s="15">
        <f t="shared" si="16"/>
        <v>9.7560975609756097E-3</v>
      </c>
      <c r="Q52" s="15">
        <f t="shared" si="16"/>
        <v>0.46341463414634149</v>
      </c>
    </row>
    <row r="53" spans="1:17" x14ac:dyDescent="0.25">
      <c r="A53" s="4" t="s">
        <v>34</v>
      </c>
      <c r="B53" s="2">
        <v>24</v>
      </c>
      <c r="C53" s="2">
        <v>40</v>
      </c>
      <c r="D53" s="2">
        <v>76</v>
      </c>
      <c r="E53" s="2">
        <v>26</v>
      </c>
      <c r="F53" s="2">
        <v>4</v>
      </c>
      <c r="G53" s="2">
        <v>1</v>
      </c>
      <c r="H53" s="2">
        <v>74</v>
      </c>
      <c r="J53" s="4" t="s">
        <v>34</v>
      </c>
      <c r="K53" s="15">
        <f>B53/$D$21</f>
        <v>9.7959183673469383E-2</v>
      </c>
      <c r="L53" s="15">
        <f t="shared" ref="L53:Q53" si="17">C53/$D$21</f>
        <v>0.16326530612244897</v>
      </c>
      <c r="M53" s="15">
        <f t="shared" si="17"/>
        <v>0.31020408163265306</v>
      </c>
      <c r="N53" s="15">
        <f t="shared" si="17"/>
        <v>0.10612244897959183</v>
      </c>
      <c r="O53" s="15">
        <f t="shared" si="17"/>
        <v>1.6326530612244899E-2</v>
      </c>
      <c r="P53" s="15">
        <f t="shared" si="17"/>
        <v>4.0816326530612249E-3</v>
      </c>
      <c r="Q53" s="15">
        <f t="shared" si="17"/>
        <v>0.30204081632653063</v>
      </c>
    </row>
    <row r="56" spans="1:17" x14ac:dyDescent="0.25">
      <c r="A56" t="s">
        <v>52</v>
      </c>
    </row>
    <row r="58" spans="1:17" x14ac:dyDescent="0.25">
      <c r="B58" s="5" t="s">
        <v>54</v>
      </c>
      <c r="C58" s="5" t="s">
        <v>55</v>
      </c>
      <c r="D58" s="5" t="s">
        <v>56</v>
      </c>
      <c r="E58" s="5">
        <v>4</v>
      </c>
      <c r="F58" s="5">
        <v>5</v>
      </c>
      <c r="G58" s="5">
        <v>6</v>
      </c>
      <c r="H58" s="8" t="s">
        <v>14</v>
      </c>
      <c r="K58" s="5">
        <v>1</v>
      </c>
      <c r="L58" s="5">
        <v>2</v>
      </c>
      <c r="M58" s="5">
        <v>3</v>
      </c>
      <c r="N58" s="5">
        <v>4</v>
      </c>
      <c r="O58" s="5">
        <v>5</v>
      </c>
      <c r="P58" s="5">
        <v>6</v>
      </c>
      <c r="Q58" s="8" t="s">
        <v>14</v>
      </c>
    </row>
    <row r="59" spans="1:17" x14ac:dyDescent="0.25">
      <c r="A59" s="4" t="s">
        <v>1</v>
      </c>
      <c r="B59" s="2">
        <v>4</v>
      </c>
      <c r="C59" s="2">
        <v>14</v>
      </c>
      <c r="D59" s="2">
        <v>93</v>
      </c>
      <c r="E59" s="2">
        <v>69</v>
      </c>
      <c r="F59" s="2">
        <v>17</v>
      </c>
      <c r="G59" s="2">
        <v>7</v>
      </c>
      <c r="H59" s="2">
        <v>106</v>
      </c>
      <c r="J59" s="4" t="s">
        <v>1</v>
      </c>
      <c r="K59" s="15">
        <f>B59/$B$16</f>
        <v>1.2903225806451613E-2</v>
      </c>
      <c r="L59" s="15">
        <f t="shared" ref="L59:Q59" si="18">C59/$B$16</f>
        <v>4.5161290322580643E-2</v>
      </c>
      <c r="M59" s="15">
        <f t="shared" si="18"/>
        <v>0.3</v>
      </c>
      <c r="N59" s="15">
        <f t="shared" si="18"/>
        <v>0.22258064516129034</v>
      </c>
      <c r="O59" s="15">
        <f t="shared" si="18"/>
        <v>5.4838709677419356E-2</v>
      </c>
      <c r="P59" s="15">
        <f t="shared" si="18"/>
        <v>2.2580645161290321E-2</v>
      </c>
      <c r="Q59" s="15">
        <f t="shared" si="18"/>
        <v>0.34193548387096773</v>
      </c>
    </row>
    <row r="60" spans="1:17" x14ac:dyDescent="0.25">
      <c r="A60" s="4" t="s">
        <v>2</v>
      </c>
      <c r="B60" s="2">
        <v>2</v>
      </c>
      <c r="C60" s="2">
        <v>9</v>
      </c>
      <c r="D60" s="2">
        <v>72</v>
      </c>
      <c r="E60" s="2">
        <v>41</v>
      </c>
      <c r="F60" s="2">
        <v>13</v>
      </c>
      <c r="G60" s="2">
        <v>7</v>
      </c>
      <c r="H60" s="2">
        <v>81</v>
      </c>
      <c r="J60" s="4" t="s">
        <v>2</v>
      </c>
      <c r="K60" s="15">
        <f>B60/$C$16</f>
        <v>8.8888888888888889E-3</v>
      </c>
      <c r="L60" s="15">
        <f t="shared" ref="L60:Q60" si="19">C60/$C$16</f>
        <v>0.04</v>
      </c>
      <c r="M60" s="15">
        <f t="shared" si="19"/>
        <v>0.32</v>
      </c>
      <c r="N60" s="15">
        <f t="shared" si="19"/>
        <v>0.18222222222222223</v>
      </c>
      <c r="O60" s="15">
        <f t="shared" si="19"/>
        <v>5.7777777777777775E-2</v>
      </c>
      <c r="P60" s="15">
        <f t="shared" si="19"/>
        <v>3.111111111111111E-2</v>
      </c>
      <c r="Q60" s="15">
        <f t="shared" si="19"/>
        <v>0.36</v>
      </c>
    </row>
    <row r="61" spans="1:17" x14ac:dyDescent="0.25">
      <c r="A61" s="4" t="s">
        <v>32</v>
      </c>
      <c r="B61" s="2">
        <v>1</v>
      </c>
      <c r="C61" s="2">
        <v>4</v>
      </c>
      <c r="D61" s="2">
        <v>24</v>
      </c>
      <c r="E61" s="2">
        <v>15</v>
      </c>
      <c r="F61" s="2">
        <v>6</v>
      </c>
      <c r="G61" s="2">
        <v>6</v>
      </c>
      <c r="H61" s="2">
        <v>29</v>
      </c>
      <c r="J61" s="4" t="s">
        <v>32</v>
      </c>
      <c r="K61" s="15">
        <f>B61/$B$21</f>
        <v>1.1764705882352941E-2</v>
      </c>
      <c r="L61" s="15">
        <f t="shared" ref="L61:Q61" si="20">C61/$B$21</f>
        <v>4.7058823529411764E-2</v>
      </c>
      <c r="M61" s="15">
        <f t="shared" si="20"/>
        <v>0.28235294117647058</v>
      </c>
      <c r="N61" s="15">
        <f t="shared" si="20"/>
        <v>0.17647058823529413</v>
      </c>
      <c r="O61" s="15">
        <f t="shared" si="20"/>
        <v>7.0588235294117646E-2</v>
      </c>
      <c r="P61" s="15">
        <f t="shared" si="20"/>
        <v>7.0588235294117646E-2</v>
      </c>
      <c r="Q61" s="15">
        <f t="shared" si="20"/>
        <v>0.3411764705882353</v>
      </c>
    </row>
    <row r="62" spans="1:17" x14ac:dyDescent="0.25">
      <c r="A62" s="4" t="s">
        <v>33</v>
      </c>
      <c r="B62" s="2">
        <v>2</v>
      </c>
      <c r="C62" s="2">
        <v>8</v>
      </c>
      <c r="D62" s="2">
        <v>48</v>
      </c>
      <c r="E62" s="2">
        <v>46</v>
      </c>
      <c r="F62" s="2">
        <v>13</v>
      </c>
      <c r="G62" s="2">
        <v>4</v>
      </c>
      <c r="H62" s="2">
        <v>84</v>
      </c>
      <c r="J62" s="4" t="s">
        <v>33</v>
      </c>
      <c r="K62" s="15">
        <f>B62/$C$21</f>
        <v>9.7560975609756097E-3</v>
      </c>
      <c r="L62" s="15">
        <f t="shared" ref="L62:Q62" si="21">C62/$C$21</f>
        <v>3.9024390243902439E-2</v>
      </c>
      <c r="M62" s="15">
        <f t="shared" si="21"/>
        <v>0.23414634146341465</v>
      </c>
      <c r="N62" s="15">
        <f t="shared" si="21"/>
        <v>0.22439024390243903</v>
      </c>
      <c r="O62" s="15">
        <f t="shared" si="21"/>
        <v>6.3414634146341464E-2</v>
      </c>
      <c r="P62" s="15">
        <f t="shared" si="21"/>
        <v>1.9512195121951219E-2</v>
      </c>
      <c r="Q62" s="15">
        <f t="shared" si="21"/>
        <v>0.40975609756097559</v>
      </c>
    </row>
    <row r="63" spans="1:17" x14ac:dyDescent="0.25">
      <c r="A63" s="4" t="s">
        <v>34</v>
      </c>
      <c r="B63" s="2">
        <v>3</v>
      </c>
      <c r="C63" s="2">
        <v>11</v>
      </c>
      <c r="D63" s="2">
        <v>93</v>
      </c>
      <c r="E63" s="2">
        <v>49</v>
      </c>
      <c r="F63" s="2">
        <v>11</v>
      </c>
      <c r="G63" s="2">
        <v>4</v>
      </c>
      <c r="H63" s="2">
        <v>74</v>
      </c>
      <c r="J63" s="4" t="s">
        <v>34</v>
      </c>
      <c r="K63" s="15">
        <f>B63/$D$21</f>
        <v>1.2244897959183673E-2</v>
      </c>
      <c r="L63" s="15">
        <f t="shared" ref="L63:Q63" si="22">C63/$D$21</f>
        <v>4.4897959183673466E-2</v>
      </c>
      <c r="M63" s="15">
        <f t="shared" si="22"/>
        <v>0.37959183673469388</v>
      </c>
      <c r="N63" s="15">
        <f t="shared" si="22"/>
        <v>0.2</v>
      </c>
      <c r="O63" s="15">
        <f t="shared" si="22"/>
        <v>4.4897959183673466E-2</v>
      </c>
      <c r="P63" s="15">
        <f t="shared" si="22"/>
        <v>1.6326530612244899E-2</v>
      </c>
      <c r="Q63" s="15">
        <f t="shared" si="22"/>
        <v>0.30204081632653063</v>
      </c>
    </row>
    <row r="66" spans="1:17" x14ac:dyDescent="0.25">
      <c r="A66" t="s">
        <v>53</v>
      </c>
    </row>
    <row r="68" spans="1:17" x14ac:dyDescent="0.25">
      <c r="B68" s="5">
        <v>1</v>
      </c>
      <c r="C68" s="5">
        <v>2</v>
      </c>
      <c r="D68" s="5">
        <v>3</v>
      </c>
      <c r="E68" s="5">
        <v>4</v>
      </c>
      <c r="F68" s="5">
        <v>5</v>
      </c>
      <c r="G68" s="5">
        <v>6</v>
      </c>
      <c r="H68" s="8" t="s">
        <v>14</v>
      </c>
      <c r="K68" s="5">
        <v>1</v>
      </c>
      <c r="L68" s="5">
        <v>2</v>
      </c>
      <c r="M68" s="5">
        <v>3</v>
      </c>
      <c r="N68" s="5">
        <v>4</v>
      </c>
      <c r="O68" s="5">
        <v>5</v>
      </c>
      <c r="P68" s="5">
        <v>6</v>
      </c>
      <c r="Q68" s="8" t="s">
        <v>14</v>
      </c>
    </row>
    <row r="69" spans="1:17" x14ac:dyDescent="0.25">
      <c r="A69" s="4" t="s">
        <v>1</v>
      </c>
      <c r="B69" s="2">
        <v>13</v>
      </c>
      <c r="C69" s="2">
        <v>28</v>
      </c>
      <c r="D69" s="2">
        <v>81</v>
      </c>
      <c r="E69" s="2">
        <v>53</v>
      </c>
      <c r="F69" s="2">
        <v>13</v>
      </c>
      <c r="G69" s="2">
        <v>4</v>
      </c>
      <c r="H69" s="2">
        <v>118</v>
      </c>
      <c r="J69" s="4" t="s">
        <v>1</v>
      </c>
      <c r="K69" s="15">
        <f>B69/$B$16</f>
        <v>4.1935483870967745E-2</v>
      </c>
      <c r="L69" s="15">
        <f t="shared" ref="L69:Q69" si="23">C69/$B$16</f>
        <v>9.0322580645161285E-2</v>
      </c>
      <c r="M69" s="15">
        <f t="shared" si="23"/>
        <v>0.26129032258064516</v>
      </c>
      <c r="N69" s="15">
        <f t="shared" si="23"/>
        <v>0.17096774193548386</v>
      </c>
      <c r="O69" s="15">
        <f t="shared" si="23"/>
        <v>4.1935483870967745E-2</v>
      </c>
      <c r="P69" s="15">
        <f t="shared" si="23"/>
        <v>1.2903225806451613E-2</v>
      </c>
      <c r="Q69" s="15">
        <f t="shared" si="23"/>
        <v>0.38064516129032255</v>
      </c>
    </row>
    <row r="70" spans="1:17" x14ac:dyDescent="0.25">
      <c r="A70" s="4" t="s">
        <v>2</v>
      </c>
      <c r="B70" s="2">
        <v>8</v>
      </c>
      <c r="C70" s="2">
        <v>21</v>
      </c>
      <c r="D70" s="2">
        <v>69</v>
      </c>
      <c r="E70" s="2">
        <v>31</v>
      </c>
      <c r="F70" s="2">
        <v>8</v>
      </c>
      <c r="G70" s="2">
        <v>5</v>
      </c>
      <c r="H70" s="2">
        <v>83</v>
      </c>
      <c r="J70" s="4" t="s">
        <v>2</v>
      </c>
      <c r="K70" s="15">
        <f>B70/$C$16</f>
        <v>3.5555555555555556E-2</v>
      </c>
      <c r="L70" s="15">
        <f t="shared" ref="L70:Q70" si="24">C70/$C$16</f>
        <v>9.3333333333333338E-2</v>
      </c>
      <c r="M70" s="15">
        <f t="shared" si="24"/>
        <v>0.30666666666666664</v>
      </c>
      <c r="N70" s="15">
        <f t="shared" si="24"/>
        <v>0.13777777777777778</v>
      </c>
      <c r="O70" s="15">
        <f t="shared" si="24"/>
        <v>3.5555555555555556E-2</v>
      </c>
      <c r="P70" s="15">
        <f t="shared" si="24"/>
        <v>2.2222222222222223E-2</v>
      </c>
      <c r="Q70" s="15">
        <f t="shared" si="24"/>
        <v>0.36888888888888888</v>
      </c>
    </row>
    <row r="71" spans="1:17" x14ac:dyDescent="0.25">
      <c r="A71" s="4" t="s">
        <v>28</v>
      </c>
      <c r="B71" s="2">
        <v>3</v>
      </c>
      <c r="C71" s="2">
        <v>10</v>
      </c>
      <c r="D71" s="2">
        <v>23</v>
      </c>
      <c r="E71" s="2">
        <v>13</v>
      </c>
      <c r="F71" s="2">
        <v>3</v>
      </c>
      <c r="G71" s="2">
        <v>2</v>
      </c>
      <c r="H71" s="2">
        <v>31</v>
      </c>
      <c r="J71" s="4" t="s">
        <v>28</v>
      </c>
      <c r="K71" s="15">
        <f>B71/$B$21</f>
        <v>3.5294117647058823E-2</v>
      </c>
      <c r="L71" s="15">
        <f t="shared" ref="L71:Q71" si="25">C71/$B$21</f>
        <v>0.11764705882352941</v>
      </c>
      <c r="M71" s="15">
        <f t="shared" si="25"/>
        <v>0.27058823529411763</v>
      </c>
      <c r="N71" s="15">
        <f t="shared" si="25"/>
        <v>0.15294117647058825</v>
      </c>
      <c r="O71" s="15">
        <f t="shared" si="25"/>
        <v>3.5294117647058823E-2</v>
      </c>
      <c r="P71" s="15">
        <f t="shared" si="25"/>
        <v>2.3529411764705882E-2</v>
      </c>
      <c r="Q71" s="15">
        <f t="shared" si="25"/>
        <v>0.36470588235294116</v>
      </c>
    </row>
    <row r="72" spans="1:17" x14ac:dyDescent="0.25">
      <c r="A72" s="4" t="s">
        <v>4</v>
      </c>
      <c r="B72" s="2">
        <v>7</v>
      </c>
      <c r="C72" s="2">
        <v>12</v>
      </c>
      <c r="D72" s="2">
        <v>53</v>
      </c>
      <c r="E72" s="2">
        <v>41</v>
      </c>
      <c r="F72" s="2">
        <v>4</v>
      </c>
      <c r="G72" s="2">
        <v>1</v>
      </c>
      <c r="H72" s="2">
        <v>87</v>
      </c>
      <c r="J72" s="4" t="s">
        <v>4</v>
      </c>
      <c r="K72" s="15">
        <f>B72/$C$21</f>
        <v>3.4146341463414637E-2</v>
      </c>
      <c r="L72" s="15">
        <f t="shared" ref="L72:Q72" si="26">C72/$C$21</f>
        <v>5.8536585365853662E-2</v>
      </c>
      <c r="M72" s="15">
        <f t="shared" si="26"/>
        <v>0.25853658536585367</v>
      </c>
      <c r="N72" s="15">
        <f t="shared" si="26"/>
        <v>0.2</v>
      </c>
      <c r="O72" s="15">
        <f t="shared" si="26"/>
        <v>1.9512195121951219E-2</v>
      </c>
      <c r="P72" s="15">
        <f t="shared" si="26"/>
        <v>4.8780487804878049E-3</v>
      </c>
      <c r="Q72" s="15">
        <f t="shared" si="26"/>
        <v>0.42439024390243901</v>
      </c>
    </row>
    <row r="73" spans="1:17" x14ac:dyDescent="0.25">
      <c r="A73" s="4" t="s">
        <v>5</v>
      </c>
      <c r="B73" s="2">
        <v>11</v>
      </c>
      <c r="C73" s="2">
        <v>27</v>
      </c>
      <c r="D73" s="2">
        <v>74</v>
      </c>
      <c r="E73" s="2">
        <v>30</v>
      </c>
      <c r="F73" s="2">
        <v>14</v>
      </c>
      <c r="G73" s="2">
        <v>6</v>
      </c>
      <c r="H73" s="2">
        <v>83</v>
      </c>
      <c r="J73" s="4" t="s">
        <v>5</v>
      </c>
      <c r="K73" s="15">
        <f>B73/$D$21</f>
        <v>4.4897959183673466E-2</v>
      </c>
      <c r="L73" s="15">
        <f t="shared" ref="L73:Q73" si="27">C73/$D$21</f>
        <v>0.11020408163265306</v>
      </c>
      <c r="M73" s="15">
        <f t="shared" si="27"/>
        <v>0.30204081632653063</v>
      </c>
      <c r="N73" s="15">
        <f t="shared" si="27"/>
        <v>0.12244897959183673</v>
      </c>
      <c r="O73" s="15">
        <f t="shared" si="27"/>
        <v>5.7142857142857141E-2</v>
      </c>
      <c r="P73" s="15">
        <f t="shared" si="27"/>
        <v>2.4489795918367346E-2</v>
      </c>
      <c r="Q73" s="15">
        <f t="shared" si="27"/>
        <v>0.33877551020408164</v>
      </c>
    </row>
  </sheetData>
  <mergeCells count="4">
    <mergeCell ref="A7:B7"/>
    <mergeCell ref="B19:D19"/>
    <mergeCell ref="A1:F1"/>
    <mergeCell ref="G19:I19"/>
  </mergeCells>
  <pageMargins left="0.7" right="0.7" top="0.78740157499999996" bottom="0.78740157499999996" header="0.3" footer="0.3"/>
  <pageSetup paperSize="9" orientation="portrait" horizontalDpi="4294967293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X41"/>
  <sheetViews>
    <sheetView zoomScaleNormal="100" workbookViewId="0">
      <selection activeCell="A3" sqref="A3"/>
    </sheetView>
  </sheetViews>
  <sheetFormatPr baseColWidth="10" defaultRowHeight="15" x14ac:dyDescent="0.25"/>
  <cols>
    <col min="1" max="1" width="28.5703125" customWidth="1"/>
    <col min="2" max="11" width="11.85546875" customWidth="1"/>
    <col min="12" max="13" width="5.7109375" bestFit="1" customWidth="1"/>
    <col min="14" max="14" width="23.140625" customWidth="1"/>
    <col min="15" max="24" width="11.7109375" customWidth="1"/>
  </cols>
  <sheetData>
    <row r="1" spans="1:24" x14ac:dyDescent="0.25">
      <c r="A1" s="21" t="s">
        <v>16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24" x14ac:dyDescent="0.25">
      <c r="A2" s="21" t="s">
        <v>31</v>
      </c>
      <c r="B2" s="21"/>
      <c r="C2" s="21"/>
      <c r="D2" s="21"/>
      <c r="E2" s="21"/>
      <c r="F2" s="21"/>
      <c r="G2" s="21"/>
      <c r="H2" s="21"/>
      <c r="I2" s="21"/>
      <c r="J2" s="21"/>
      <c r="K2" s="21"/>
    </row>
    <row r="4" spans="1:24" x14ac:dyDescent="0.25">
      <c r="A4" s="2" t="s">
        <v>17</v>
      </c>
      <c r="B4" s="2">
        <v>375</v>
      </c>
    </row>
    <row r="5" spans="1:24" x14ac:dyDescent="0.25">
      <c r="A5" s="2" t="s">
        <v>18</v>
      </c>
      <c r="B5" s="2">
        <v>243</v>
      </c>
      <c r="C5" s="15">
        <f>B5/B4</f>
        <v>0.64800000000000002</v>
      </c>
    </row>
    <row r="7" spans="1:24" x14ac:dyDescent="0.25">
      <c r="A7" s="2" t="s">
        <v>19</v>
      </c>
      <c r="B7" s="2">
        <v>198</v>
      </c>
      <c r="C7" s="15">
        <f>B7/$B$5</f>
        <v>0.81481481481481477</v>
      </c>
    </row>
    <row r="8" spans="1:24" x14ac:dyDescent="0.25">
      <c r="A8" s="2" t="s">
        <v>20</v>
      </c>
      <c r="B8" s="2">
        <v>45</v>
      </c>
      <c r="C8" s="15">
        <f>B8/$B$5</f>
        <v>0.18518518518518517</v>
      </c>
    </row>
    <row r="9" spans="1:24" x14ac:dyDescent="0.25">
      <c r="A9" s="1"/>
      <c r="B9" s="1"/>
    </row>
    <row r="10" spans="1:24" x14ac:dyDescent="0.25">
      <c r="A10" s="1"/>
      <c r="B10" s="1"/>
    </row>
    <row r="11" spans="1:24" x14ac:dyDescent="0.25">
      <c r="A11" s="1" t="s">
        <v>29</v>
      </c>
      <c r="B11" s="1"/>
    </row>
    <row r="12" spans="1:24" x14ac:dyDescent="0.25">
      <c r="A12" s="1"/>
      <c r="B12" s="1"/>
    </row>
    <row r="13" spans="1:24" x14ac:dyDescent="0.25">
      <c r="A13" s="1"/>
      <c r="B13" s="1"/>
      <c r="E13" s="7">
        <v>1</v>
      </c>
      <c r="F13" s="7">
        <v>2</v>
      </c>
      <c r="G13" s="7">
        <v>3</v>
      </c>
      <c r="H13" s="7">
        <v>4</v>
      </c>
      <c r="I13" s="7">
        <v>5</v>
      </c>
      <c r="J13" s="7">
        <v>6</v>
      </c>
      <c r="K13" s="10" t="s">
        <v>14</v>
      </c>
      <c r="N13" s="1"/>
      <c r="O13" s="1"/>
      <c r="R13" s="7">
        <v>1</v>
      </c>
      <c r="S13" s="7">
        <v>2</v>
      </c>
      <c r="T13" s="7">
        <v>3</v>
      </c>
      <c r="U13" s="7">
        <v>4</v>
      </c>
      <c r="V13" s="7">
        <v>5</v>
      </c>
      <c r="W13" s="7">
        <v>6</v>
      </c>
      <c r="X13" s="10" t="s">
        <v>14</v>
      </c>
    </row>
    <row r="14" spans="1:24" x14ac:dyDescent="0.25">
      <c r="A14" s="17" t="s">
        <v>23</v>
      </c>
      <c r="B14" s="18"/>
      <c r="C14" s="16" t="s">
        <v>19</v>
      </c>
      <c r="D14" s="16"/>
      <c r="E14" s="2">
        <v>78</v>
      </c>
      <c r="F14" s="2">
        <v>69</v>
      </c>
      <c r="G14" s="2">
        <v>38</v>
      </c>
      <c r="H14" s="2">
        <v>5</v>
      </c>
      <c r="I14" s="2">
        <v>1</v>
      </c>
      <c r="J14" s="2">
        <v>0</v>
      </c>
      <c r="K14" s="2">
        <v>7</v>
      </c>
      <c r="N14" s="14" t="s">
        <v>23</v>
      </c>
      <c r="O14" s="14"/>
      <c r="P14" s="13" t="s">
        <v>19</v>
      </c>
      <c r="Q14" s="13"/>
      <c r="R14" s="15">
        <f>E14/SUM($E14:$K14)</f>
        <v>0.39393939393939392</v>
      </c>
      <c r="S14" s="15">
        <f t="shared" ref="S14:X14" si="0">F14/SUM($E14:$K14)</f>
        <v>0.34848484848484851</v>
      </c>
      <c r="T14" s="15">
        <f t="shared" si="0"/>
        <v>0.19191919191919191</v>
      </c>
      <c r="U14" s="15">
        <f t="shared" si="0"/>
        <v>2.5252525252525252E-2</v>
      </c>
      <c r="V14" s="15">
        <f t="shared" si="0"/>
        <v>5.0505050505050509E-3</v>
      </c>
      <c r="W14" s="15">
        <f t="shared" si="0"/>
        <v>0</v>
      </c>
      <c r="X14" s="15">
        <f t="shared" si="0"/>
        <v>3.5353535353535352E-2</v>
      </c>
    </row>
    <row r="15" spans="1:24" x14ac:dyDescent="0.25">
      <c r="A15" s="19"/>
      <c r="B15" s="20"/>
      <c r="C15" s="16" t="s">
        <v>21</v>
      </c>
      <c r="D15" s="16"/>
      <c r="E15" s="2">
        <v>10</v>
      </c>
      <c r="F15" s="2">
        <v>8</v>
      </c>
      <c r="G15" s="2">
        <v>11</v>
      </c>
      <c r="H15" s="2">
        <v>4</v>
      </c>
      <c r="I15" s="2">
        <v>0</v>
      </c>
      <c r="J15" s="2">
        <v>0</v>
      </c>
      <c r="K15" s="2">
        <v>12</v>
      </c>
      <c r="N15" s="14"/>
      <c r="O15" s="14"/>
      <c r="P15" s="13" t="s">
        <v>21</v>
      </c>
      <c r="Q15" s="13"/>
      <c r="R15" s="15">
        <f t="shared" ref="R15:R21" si="1">E15/SUM($E15:$K15)</f>
        <v>0.22222222222222221</v>
      </c>
      <c r="S15" s="15">
        <f t="shared" ref="S15:S21" si="2">F15/SUM($E15:$K15)</f>
        <v>0.17777777777777778</v>
      </c>
      <c r="T15" s="15">
        <f t="shared" ref="T15:T21" si="3">G15/SUM($E15:$K15)</f>
        <v>0.24444444444444444</v>
      </c>
      <c r="U15" s="15">
        <f t="shared" ref="U15:U21" si="4">H15/SUM($E15:$K15)</f>
        <v>8.8888888888888892E-2</v>
      </c>
      <c r="V15" s="15">
        <f t="shared" ref="V15:V21" si="5">I15/SUM($E15:$K15)</f>
        <v>0</v>
      </c>
      <c r="W15" s="15">
        <f t="shared" ref="W15:W21" si="6">J15/SUM($E15:$K15)</f>
        <v>0</v>
      </c>
      <c r="X15" s="15">
        <f t="shared" ref="X15:X21" si="7">K15/SUM($E15:$K15)</f>
        <v>0.26666666666666666</v>
      </c>
    </row>
    <row r="16" spans="1:24" x14ac:dyDescent="0.25">
      <c r="A16" s="17" t="s">
        <v>22</v>
      </c>
      <c r="B16" s="18"/>
      <c r="C16" s="16" t="s">
        <v>19</v>
      </c>
      <c r="D16" s="16"/>
      <c r="E16" s="2">
        <v>88</v>
      </c>
      <c r="F16" s="2">
        <v>67</v>
      </c>
      <c r="G16" s="2">
        <v>30</v>
      </c>
      <c r="H16" s="2">
        <v>3</v>
      </c>
      <c r="I16" s="2">
        <v>0</v>
      </c>
      <c r="J16" s="2">
        <v>0</v>
      </c>
      <c r="K16" s="2">
        <v>10</v>
      </c>
      <c r="N16" s="14" t="s">
        <v>22</v>
      </c>
      <c r="O16" s="14"/>
      <c r="P16" s="13" t="s">
        <v>19</v>
      </c>
      <c r="Q16" s="13"/>
      <c r="R16" s="15">
        <f t="shared" si="1"/>
        <v>0.44444444444444442</v>
      </c>
      <c r="S16" s="15">
        <f t="shared" si="2"/>
        <v>0.3383838383838384</v>
      </c>
      <c r="T16" s="15">
        <f t="shared" si="3"/>
        <v>0.15151515151515152</v>
      </c>
      <c r="U16" s="15">
        <f t="shared" si="4"/>
        <v>1.5151515151515152E-2</v>
      </c>
      <c r="V16" s="15">
        <f t="shared" si="5"/>
        <v>0</v>
      </c>
      <c r="W16" s="15">
        <f t="shared" si="6"/>
        <v>0</v>
      </c>
      <c r="X16" s="15">
        <f t="shared" si="7"/>
        <v>5.0505050505050504E-2</v>
      </c>
    </row>
    <row r="17" spans="1:24" x14ac:dyDescent="0.25">
      <c r="A17" s="19"/>
      <c r="B17" s="20"/>
      <c r="C17" s="16" t="s">
        <v>21</v>
      </c>
      <c r="D17" s="16"/>
      <c r="E17" s="2">
        <v>7</v>
      </c>
      <c r="F17" s="2">
        <v>15</v>
      </c>
      <c r="G17" s="2">
        <v>7</v>
      </c>
      <c r="H17" s="2">
        <v>1</v>
      </c>
      <c r="I17" s="2">
        <v>1</v>
      </c>
      <c r="J17" s="2">
        <v>0</v>
      </c>
      <c r="K17" s="2">
        <v>14</v>
      </c>
      <c r="N17" s="14"/>
      <c r="O17" s="14"/>
      <c r="P17" s="13" t="s">
        <v>21</v>
      </c>
      <c r="Q17" s="13"/>
      <c r="R17" s="15">
        <f t="shared" si="1"/>
        <v>0.15555555555555556</v>
      </c>
      <c r="S17" s="15">
        <f t="shared" si="2"/>
        <v>0.33333333333333331</v>
      </c>
      <c r="T17" s="15">
        <f t="shared" si="3"/>
        <v>0.15555555555555556</v>
      </c>
      <c r="U17" s="15">
        <f t="shared" si="4"/>
        <v>2.2222222222222223E-2</v>
      </c>
      <c r="V17" s="15">
        <f t="shared" si="5"/>
        <v>2.2222222222222223E-2</v>
      </c>
      <c r="W17" s="15">
        <f t="shared" si="6"/>
        <v>0</v>
      </c>
      <c r="X17" s="15">
        <f t="shared" si="7"/>
        <v>0.31111111111111112</v>
      </c>
    </row>
    <row r="18" spans="1:24" x14ac:dyDescent="0.25">
      <c r="A18" s="17" t="s">
        <v>24</v>
      </c>
      <c r="B18" s="18"/>
      <c r="C18" s="16" t="s">
        <v>19</v>
      </c>
      <c r="D18" s="16"/>
      <c r="E18" s="2">
        <v>83</v>
      </c>
      <c r="F18" s="2">
        <v>76</v>
      </c>
      <c r="G18" s="2">
        <v>22</v>
      </c>
      <c r="H18" s="2">
        <v>6</v>
      </c>
      <c r="I18" s="2">
        <v>0</v>
      </c>
      <c r="J18" s="2">
        <v>2</v>
      </c>
      <c r="K18" s="2">
        <v>9</v>
      </c>
      <c r="N18" s="14" t="s">
        <v>24</v>
      </c>
      <c r="O18" s="14"/>
      <c r="P18" s="13" t="s">
        <v>19</v>
      </c>
      <c r="Q18" s="13"/>
      <c r="R18" s="15">
        <f t="shared" si="1"/>
        <v>0.41919191919191917</v>
      </c>
      <c r="S18" s="15">
        <f t="shared" si="2"/>
        <v>0.38383838383838381</v>
      </c>
      <c r="T18" s="15">
        <f t="shared" si="3"/>
        <v>0.1111111111111111</v>
      </c>
      <c r="U18" s="15">
        <f t="shared" si="4"/>
        <v>3.0303030303030304E-2</v>
      </c>
      <c r="V18" s="15">
        <f t="shared" si="5"/>
        <v>0</v>
      </c>
      <c r="W18" s="15">
        <f t="shared" si="6"/>
        <v>1.0101010101010102E-2</v>
      </c>
      <c r="X18" s="15">
        <f t="shared" si="7"/>
        <v>4.5454545454545456E-2</v>
      </c>
    </row>
    <row r="19" spans="1:24" x14ac:dyDescent="0.25">
      <c r="A19" s="19"/>
      <c r="B19" s="20"/>
      <c r="C19" s="16" t="s">
        <v>21</v>
      </c>
      <c r="D19" s="16"/>
      <c r="E19" s="2">
        <v>9</v>
      </c>
      <c r="F19" s="2">
        <v>10</v>
      </c>
      <c r="G19" s="2">
        <v>9</v>
      </c>
      <c r="H19" s="2">
        <v>4</v>
      </c>
      <c r="I19" s="2">
        <v>1</v>
      </c>
      <c r="J19" s="2">
        <v>1</v>
      </c>
      <c r="K19" s="2">
        <v>11</v>
      </c>
      <c r="N19" s="14"/>
      <c r="O19" s="14"/>
      <c r="P19" s="13" t="s">
        <v>21</v>
      </c>
      <c r="Q19" s="13"/>
      <c r="R19" s="15">
        <f t="shared" si="1"/>
        <v>0.2</v>
      </c>
      <c r="S19" s="15">
        <f t="shared" si="2"/>
        <v>0.22222222222222221</v>
      </c>
      <c r="T19" s="15">
        <f t="shared" si="3"/>
        <v>0.2</v>
      </c>
      <c r="U19" s="15">
        <f t="shared" si="4"/>
        <v>8.8888888888888892E-2</v>
      </c>
      <c r="V19" s="15">
        <f t="shared" si="5"/>
        <v>2.2222222222222223E-2</v>
      </c>
      <c r="W19" s="15">
        <f t="shared" si="6"/>
        <v>2.2222222222222223E-2</v>
      </c>
      <c r="X19" s="15">
        <f t="shared" si="7"/>
        <v>0.24444444444444444</v>
      </c>
    </row>
    <row r="20" spans="1:24" x14ac:dyDescent="0.25">
      <c r="A20" s="17" t="s">
        <v>25</v>
      </c>
      <c r="B20" s="18"/>
      <c r="C20" s="16" t="s">
        <v>19</v>
      </c>
      <c r="D20" s="16"/>
      <c r="E20" s="2">
        <v>40</v>
      </c>
      <c r="F20" s="2">
        <v>64</v>
      </c>
      <c r="G20" s="2">
        <v>53</v>
      </c>
      <c r="H20" s="2">
        <v>30</v>
      </c>
      <c r="I20" s="2">
        <v>4</v>
      </c>
      <c r="J20" s="2">
        <v>0</v>
      </c>
      <c r="K20" s="2">
        <v>7</v>
      </c>
      <c r="N20" s="14" t="s">
        <v>25</v>
      </c>
      <c r="O20" s="14"/>
      <c r="P20" s="13" t="s">
        <v>19</v>
      </c>
      <c r="Q20" s="13"/>
      <c r="R20" s="15">
        <f t="shared" si="1"/>
        <v>0.20202020202020202</v>
      </c>
      <c r="S20" s="15">
        <f t="shared" si="2"/>
        <v>0.32323232323232326</v>
      </c>
      <c r="T20" s="15">
        <f t="shared" si="3"/>
        <v>0.26767676767676768</v>
      </c>
      <c r="U20" s="15">
        <f t="shared" si="4"/>
        <v>0.15151515151515152</v>
      </c>
      <c r="V20" s="15">
        <f t="shared" si="5"/>
        <v>2.0202020202020204E-2</v>
      </c>
      <c r="W20" s="15">
        <f t="shared" si="6"/>
        <v>0</v>
      </c>
      <c r="X20" s="15">
        <f t="shared" si="7"/>
        <v>3.5353535353535352E-2</v>
      </c>
    </row>
    <row r="21" spans="1:24" x14ac:dyDescent="0.25">
      <c r="A21" s="19"/>
      <c r="B21" s="20"/>
      <c r="C21" s="16" t="s">
        <v>21</v>
      </c>
      <c r="D21" s="16"/>
      <c r="E21" s="2">
        <v>5</v>
      </c>
      <c r="F21" s="2">
        <v>10</v>
      </c>
      <c r="G21" s="2">
        <v>10</v>
      </c>
      <c r="H21" s="2">
        <v>4</v>
      </c>
      <c r="I21" s="2">
        <v>2</v>
      </c>
      <c r="J21" s="2">
        <v>1</v>
      </c>
      <c r="K21" s="2">
        <v>13</v>
      </c>
      <c r="N21" s="14"/>
      <c r="O21" s="14"/>
      <c r="P21" s="13" t="s">
        <v>21</v>
      </c>
      <c r="Q21" s="13"/>
      <c r="R21" s="15">
        <f t="shared" si="1"/>
        <v>0.1111111111111111</v>
      </c>
      <c r="S21" s="15">
        <f t="shared" si="2"/>
        <v>0.22222222222222221</v>
      </c>
      <c r="T21" s="15">
        <f t="shared" si="3"/>
        <v>0.22222222222222221</v>
      </c>
      <c r="U21" s="15">
        <f t="shared" si="4"/>
        <v>8.8888888888888892E-2</v>
      </c>
      <c r="V21" s="15">
        <f t="shared" si="5"/>
        <v>4.4444444444444446E-2</v>
      </c>
      <c r="W21" s="15">
        <f t="shared" si="6"/>
        <v>2.2222222222222223E-2</v>
      </c>
      <c r="X21" s="15">
        <f t="shared" si="7"/>
        <v>0.28888888888888886</v>
      </c>
    </row>
    <row r="23" spans="1:24" x14ac:dyDescent="0.25">
      <c r="A23" t="s">
        <v>30</v>
      </c>
    </row>
    <row r="25" spans="1:24" x14ac:dyDescent="0.25">
      <c r="B25" s="7">
        <v>1</v>
      </c>
      <c r="C25" s="7">
        <v>2</v>
      </c>
      <c r="D25" s="7">
        <v>3</v>
      </c>
      <c r="E25" s="7">
        <v>4</v>
      </c>
      <c r="F25" s="7">
        <v>5</v>
      </c>
      <c r="G25" s="7">
        <v>6</v>
      </c>
      <c r="H25" s="10" t="s">
        <v>14</v>
      </c>
      <c r="O25" s="7">
        <v>1</v>
      </c>
      <c r="P25" s="7">
        <v>2</v>
      </c>
      <c r="Q25" s="7">
        <v>3</v>
      </c>
      <c r="R25" s="7">
        <v>4</v>
      </c>
      <c r="S25" s="7">
        <v>5</v>
      </c>
      <c r="T25" s="7">
        <v>6</v>
      </c>
      <c r="U25" s="10" t="s">
        <v>14</v>
      </c>
    </row>
    <row r="26" spans="1:24" x14ac:dyDescent="0.25">
      <c r="A26" s="2" t="s">
        <v>19</v>
      </c>
      <c r="B26" s="2">
        <v>33</v>
      </c>
      <c r="C26" s="2">
        <v>80</v>
      </c>
      <c r="D26" s="2">
        <v>62</v>
      </c>
      <c r="E26" s="2">
        <v>15</v>
      </c>
      <c r="F26" s="2">
        <v>2</v>
      </c>
      <c r="G26" s="2">
        <v>0</v>
      </c>
      <c r="H26" s="2">
        <v>6</v>
      </c>
      <c r="K26" s="6"/>
      <c r="L26" s="6"/>
      <c r="M26" s="6"/>
      <c r="N26" s="2" t="s">
        <v>19</v>
      </c>
      <c r="O26" s="15">
        <f>B26/$B7</f>
        <v>0.16666666666666666</v>
      </c>
      <c r="P26" s="15">
        <f t="shared" ref="P26:U26" si="8">C26/$B7</f>
        <v>0.40404040404040403</v>
      </c>
      <c r="Q26" s="15">
        <f t="shared" si="8"/>
        <v>0.31313131313131315</v>
      </c>
      <c r="R26" s="15">
        <f t="shared" si="8"/>
        <v>7.575757575757576E-2</v>
      </c>
      <c r="S26" s="15">
        <f t="shared" si="8"/>
        <v>1.0101010101010102E-2</v>
      </c>
      <c r="T26" s="15">
        <f t="shared" si="8"/>
        <v>0</v>
      </c>
      <c r="U26" s="15">
        <f t="shared" si="8"/>
        <v>3.0303030303030304E-2</v>
      </c>
    </row>
    <row r="27" spans="1:24" x14ac:dyDescent="0.25">
      <c r="A27" s="2" t="s">
        <v>21</v>
      </c>
      <c r="B27" s="2">
        <v>9</v>
      </c>
      <c r="C27" s="2">
        <v>21</v>
      </c>
      <c r="D27" s="2">
        <v>8</v>
      </c>
      <c r="E27" s="2">
        <v>2</v>
      </c>
      <c r="F27" s="2">
        <v>0</v>
      </c>
      <c r="G27" s="2">
        <v>1</v>
      </c>
      <c r="H27" s="2">
        <v>4</v>
      </c>
      <c r="N27" s="2" t="s">
        <v>21</v>
      </c>
      <c r="O27" s="15">
        <f>B27/$B8</f>
        <v>0.2</v>
      </c>
      <c r="P27" s="15">
        <f t="shared" ref="P27" si="9">C27/$B8</f>
        <v>0.46666666666666667</v>
      </c>
      <c r="Q27" s="15">
        <f t="shared" ref="Q27" si="10">D27/$B8</f>
        <v>0.17777777777777778</v>
      </c>
      <c r="R27" s="15">
        <f t="shared" ref="R27" si="11">E27/$B8</f>
        <v>4.4444444444444446E-2</v>
      </c>
      <c r="S27" s="15">
        <f t="shared" ref="S27" si="12">F27/$B8</f>
        <v>0</v>
      </c>
      <c r="T27" s="15">
        <f t="shared" ref="T27" si="13">G27/$B8</f>
        <v>2.2222222222222223E-2</v>
      </c>
      <c r="U27" s="15">
        <f t="shared" ref="U27" si="14">H27/$B8</f>
        <v>8.8888888888888892E-2</v>
      </c>
    </row>
    <row r="30" spans="1:24" x14ac:dyDescent="0.25">
      <c r="A30" t="s">
        <v>26</v>
      </c>
    </row>
    <row r="32" spans="1:24" x14ac:dyDescent="0.25">
      <c r="B32" s="7">
        <v>1</v>
      </c>
      <c r="C32" s="7">
        <v>2</v>
      </c>
      <c r="D32" s="7">
        <v>3</v>
      </c>
      <c r="E32" s="7">
        <v>4</v>
      </c>
      <c r="F32" s="7">
        <v>5</v>
      </c>
      <c r="G32" s="7">
        <v>6</v>
      </c>
      <c r="H32" s="10" t="s">
        <v>14</v>
      </c>
      <c r="O32" s="7">
        <v>1</v>
      </c>
      <c r="P32" s="7">
        <v>2</v>
      </c>
      <c r="Q32" s="7">
        <v>3</v>
      </c>
      <c r="R32" s="7">
        <v>4</v>
      </c>
      <c r="S32" s="7">
        <v>5</v>
      </c>
      <c r="T32" s="7">
        <v>6</v>
      </c>
      <c r="U32" s="10" t="s">
        <v>14</v>
      </c>
    </row>
    <row r="33" spans="1:21" x14ac:dyDescent="0.25">
      <c r="A33" s="2" t="s">
        <v>19</v>
      </c>
      <c r="B33" s="2">
        <v>13</v>
      </c>
      <c r="C33" s="2">
        <v>30</v>
      </c>
      <c r="D33" s="2">
        <v>58</v>
      </c>
      <c r="E33" s="2">
        <v>72</v>
      </c>
      <c r="F33" s="2">
        <v>12</v>
      </c>
      <c r="G33" s="2">
        <v>3</v>
      </c>
      <c r="H33" s="2">
        <v>10</v>
      </c>
      <c r="N33" s="2" t="s">
        <v>19</v>
      </c>
      <c r="O33" s="15">
        <f>B33/$B7</f>
        <v>6.5656565656565663E-2</v>
      </c>
      <c r="P33" s="15">
        <f t="shared" ref="P33:U33" si="15">C33/$B7</f>
        <v>0.15151515151515152</v>
      </c>
      <c r="Q33" s="15">
        <f t="shared" si="15"/>
        <v>0.29292929292929293</v>
      </c>
      <c r="R33" s="15">
        <f t="shared" si="15"/>
        <v>0.36363636363636365</v>
      </c>
      <c r="S33" s="15">
        <f t="shared" si="15"/>
        <v>6.0606060606060608E-2</v>
      </c>
      <c r="T33" s="15">
        <f t="shared" si="15"/>
        <v>1.5151515151515152E-2</v>
      </c>
      <c r="U33" s="15">
        <f t="shared" si="15"/>
        <v>5.0505050505050504E-2</v>
      </c>
    </row>
    <row r="34" spans="1:21" x14ac:dyDescent="0.25">
      <c r="A34" s="2" t="s">
        <v>21</v>
      </c>
      <c r="B34" s="2">
        <v>4</v>
      </c>
      <c r="C34" s="2">
        <v>10</v>
      </c>
      <c r="D34" s="2">
        <v>16</v>
      </c>
      <c r="E34" s="2">
        <v>9</v>
      </c>
      <c r="F34" s="2">
        <v>1</v>
      </c>
      <c r="G34" s="2">
        <v>0</v>
      </c>
      <c r="H34" s="2">
        <v>5</v>
      </c>
      <c r="N34" s="2" t="s">
        <v>21</v>
      </c>
      <c r="O34" s="15">
        <f>B34/$B8</f>
        <v>8.8888888888888892E-2</v>
      </c>
      <c r="P34" s="15">
        <f t="shared" ref="P34" si="16">C34/$B8</f>
        <v>0.22222222222222221</v>
      </c>
      <c r="Q34" s="15">
        <f t="shared" ref="Q34" si="17">D34/$B8</f>
        <v>0.35555555555555557</v>
      </c>
      <c r="R34" s="15">
        <f t="shared" ref="R34" si="18">E34/$B8</f>
        <v>0.2</v>
      </c>
      <c r="S34" s="15">
        <f t="shared" ref="S34" si="19">F34/$B8</f>
        <v>2.2222222222222223E-2</v>
      </c>
      <c r="T34" s="15">
        <f t="shared" ref="T34" si="20">G34/$B8</f>
        <v>0</v>
      </c>
      <c r="U34" s="15">
        <f t="shared" ref="U34" si="21">H34/$B8</f>
        <v>0.1111111111111111</v>
      </c>
    </row>
    <row r="37" spans="1:21" x14ac:dyDescent="0.25">
      <c r="A37" t="s">
        <v>27</v>
      </c>
    </row>
    <row r="39" spans="1:21" x14ac:dyDescent="0.25">
      <c r="B39" s="7">
        <v>1</v>
      </c>
      <c r="C39" s="7">
        <v>2</v>
      </c>
      <c r="D39" s="7">
        <v>3</v>
      </c>
      <c r="E39" s="7">
        <v>4</v>
      </c>
      <c r="F39" s="7">
        <v>5</v>
      </c>
      <c r="G39" s="7">
        <v>6</v>
      </c>
      <c r="H39" s="10" t="s">
        <v>14</v>
      </c>
      <c r="O39" s="7">
        <v>1</v>
      </c>
      <c r="P39" s="7">
        <v>2</v>
      </c>
      <c r="Q39" s="7">
        <v>3</v>
      </c>
      <c r="R39" s="7">
        <v>4</v>
      </c>
      <c r="S39" s="7">
        <v>5</v>
      </c>
      <c r="T39" s="7">
        <v>6</v>
      </c>
      <c r="U39" s="10" t="s">
        <v>14</v>
      </c>
    </row>
    <row r="40" spans="1:21" x14ac:dyDescent="0.25">
      <c r="A40" s="2" t="s">
        <v>19</v>
      </c>
      <c r="B40" s="2">
        <v>25</v>
      </c>
      <c r="C40" s="2">
        <v>62</v>
      </c>
      <c r="D40" s="2">
        <v>61</v>
      </c>
      <c r="E40" s="2">
        <v>35</v>
      </c>
      <c r="F40" s="2">
        <v>7</v>
      </c>
      <c r="G40" s="2">
        <v>0</v>
      </c>
      <c r="H40" s="2">
        <v>8</v>
      </c>
      <c r="N40" s="2" t="s">
        <v>19</v>
      </c>
      <c r="O40" s="15">
        <f>B40/$B7</f>
        <v>0.12626262626262627</v>
      </c>
      <c r="P40" s="15">
        <f t="shared" ref="P40:U40" si="22">C40/$B7</f>
        <v>0.31313131313131315</v>
      </c>
      <c r="Q40" s="15">
        <f t="shared" si="22"/>
        <v>0.30808080808080807</v>
      </c>
      <c r="R40" s="15">
        <f t="shared" si="22"/>
        <v>0.17676767676767677</v>
      </c>
      <c r="S40" s="15">
        <f t="shared" si="22"/>
        <v>3.5353535353535352E-2</v>
      </c>
      <c r="T40" s="15">
        <f t="shared" si="22"/>
        <v>0</v>
      </c>
      <c r="U40" s="15">
        <f t="shared" si="22"/>
        <v>4.0404040404040407E-2</v>
      </c>
    </row>
    <row r="41" spans="1:21" x14ac:dyDescent="0.25">
      <c r="A41" s="2" t="s">
        <v>21</v>
      </c>
      <c r="B41" s="2">
        <v>7</v>
      </c>
      <c r="C41" s="2">
        <v>13</v>
      </c>
      <c r="D41" s="2">
        <v>14</v>
      </c>
      <c r="E41" s="2">
        <v>6</v>
      </c>
      <c r="F41" s="2">
        <v>0</v>
      </c>
      <c r="G41" s="2">
        <v>1</v>
      </c>
      <c r="H41" s="2">
        <v>4</v>
      </c>
      <c r="N41" s="2" t="s">
        <v>21</v>
      </c>
      <c r="O41" s="15">
        <f>B41/$B8</f>
        <v>0.15555555555555556</v>
      </c>
      <c r="P41" s="15">
        <f t="shared" ref="P41" si="23">C41/$B8</f>
        <v>0.28888888888888886</v>
      </c>
      <c r="Q41" s="15">
        <f t="shared" ref="Q41" si="24">D41/$B8</f>
        <v>0.31111111111111112</v>
      </c>
      <c r="R41" s="15">
        <f t="shared" ref="R41" si="25">E41/$B8</f>
        <v>0.13333333333333333</v>
      </c>
      <c r="S41" s="15">
        <f t="shared" ref="S41" si="26">F41/$B8</f>
        <v>0</v>
      </c>
      <c r="T41" s="15">
        <f t="shared" ref="T41" si="27">G41/$B8</f>
        <v>2.2222222222222223E-2</v>
      </c>
      <c r="U41" s="15">
        <f t="shared" ref="U41" si="28">H41/$B8</f>
        <v>8.8888888888888892E-2</v>
      </c>
    </row>
  </sheetData>
  <mergeCells count="16">
    <mergeCell ref="N18:O19"/>
    <mergeCell ref="P18:Q18"/>
    <mergeCell ref="P19:Q19"/>
    <mergeCell ref="N20:O21"/>
    <mergeCell ref="P20:Q20"/>
    <mergeCell ref="P21:Q21"/>
    <mergeCell ref="N14:O15"/>
    <mergeCell ref="P14:Q14"/>
    <mergeCell ref="P15:Q15"/>
    <mergeCell ref="N16:O17"/>
    <mergeCell ref="P16:Q16"/>
    <mergeCell ref="P17:Q17"/>
    <mergeCell ref="A14:B15"/>
    <mergeCell ref="A16:B17"/>
    <mergeCell ref="A18:B19"/>
    <mergeCell ref="A20:B21"/>
  </mergeCells>
  <pageMargins left="0.7" right="0.7" top="0.78740157499999996" bottom="0.78740157499999996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Straßenbefragung</vt:lpstr>
      <vt:lpstr>Kundenbefragung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Tom Gorontzy</cp:lastModifiedBy>
  <dcterms:created xsi:type="dcterms:W3CDTF">2013-08-26T18:00:30Z</dcterms:created>
  <dcterms:modified xsi:type="dcterms:W3CDTF">2025-09-15T09:26:45Z</dcterms:modified>
</cp:coreProperties>
</file>