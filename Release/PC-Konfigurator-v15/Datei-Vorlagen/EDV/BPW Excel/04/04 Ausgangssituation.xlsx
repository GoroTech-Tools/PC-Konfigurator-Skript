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26630C0C-77DD-40E9-80BC-A644AE9E3DFA}" xr6:coauthVersionLast="47" xr6:coauthVersionMax="47" xr10:uidLastSave="{00000000-0000-0000-0000-000000000000}"/>
  <bookViews>
    <workbookView xWindow="40920" yWindow="-120" windowWidth="29040" windowHeight="15840" activeTab="1" xr2:uid="{00000000-000D-0000-FFFF-FFFF00000000}"/>
  </bookViews>
  <sheets>
    <sheet name="Vorlage" sheetId="11" r:id="rId1"/>
    <sheet name="03" sheetId="12" r:id="rId2"/>
    <sheet name="04" sheetId="13" r:id="rId3"/>
    <sheet name="10" sheetId="14" r:id="rId4"/>
    <sheet name="15_16" sheetId="15" r:id="rId5"/>
    <sheet name="18" sheetId="1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9" i="12" l="1"/>
  <c r="F39" i="16" l="1"/>
  <c r="F39" i="14" l="1"/>
  <c r="F40" i="16" l="1"/>
  <c r="F41" i="16"/>
  <c r="F42" i="16"/>
  <c r="H55" i="16"/>
  <c r="F40" i="15"/>
  <c r="F41" i="15"/>
  <c r="F42" i="15"/>
  <c r="F39" i="15"/>
  <c r="H55" i="15"/>
  <c r="F40" i="14"/>
  <c r="F41" i="14"/>
  <c r="F42" i="14"/>
  <c r="H23" i="14"/>
  <c r="F40" i="12"/>
  <c r="F41" i="12"/>
  <c r="F42" i="12"/>
  <c r="F42" i="13"/>
  <c r="G42" i="13" s="1"/>
  <c r="H42" i="13" s="1"/>
  <c r="F41" i="13"/>
  <c r="G41" i="13" s="1"/>
  <c r="H41" i="13" s="1"/>
  <c r="F40" i="13"/>
  <c r="G40" i="13" s="1"/>
  <c r="H40" i="13" s="1"/>
  <c r="F39" i="13"/>
  <c r="G39" i="13" s="1"/>
  <c r="H39" i="13" s="1"/>
  <c r="J39" i="13" s="1"/>
  <c r="H23" i="13"/>
  <c r="H55" i="12"/>
  <c r="H23" i="12"/>
  <c r="H56" i="16" l="1"/>
  <c r="H57" i="16" s="1"/>
  <c r="H56" i="15"/>
  <c r="H57" i="15" s="1"/>
  <c r="J41" i="13"/>
  <c r="H56" i="12"/>
  <c r="H57" i="12" s="1"/>
  <c r="H55" i="13" l="1"/>
  <c r="H56" i="13" s="1"/>
  <c r="H57" i="13" s="1"/>
  <c r="H55" i="14"/>
  <c r="J40" i="13"/>
  <c r="J42" i="13"/>
  <c r="H56" i="14" l="1"/>
  <c r="H57" i="14" s="1"/>
</calcChain>
</file>

<file path=xl/sharedStrings.xml><?xml version="1.0" encoding="utf-8"?>
<sst xmlns="http://schemas.openxmlformats.org/spreadsheetml/2006/main" count="258" uniqueCount="47">
  <si>
    <t>Rechnung</t>
  </si>
  <si>
    <t>Ausschnitt aus der Tabelle Rechnungsformular</t>
  </si>
  <si>
    <t>Ausschnitt aus der Tabelle Rabattsätze</t>
  </si>
  <si>
    <t>Menge 
ab ...</t>
  </si>
  <si>
    <t>Rabattsatz
(%)</t>
  </si>
  <si>
    <t>Anmerkung</t>
  </si>
  <si>
    <t>Ihre Bestellung vom</t>
  </si>
  <si>
    <t>Datum</t>
  </si>
  <si>
    <t>Ausstattung und Beratung für das Büro</t>
  </si>
  <si>
    <r>
      <t xml:space="preserve">Duisdorfer Bürokonzept KG </t>
    </r>
    <r>
      <rPr>
        <u/>
        <sz val="8"/>
        <rFont val="Wingdings 2"/>
        <family val="1"/>
        <charset val="2"/>
      </rPr>
      <t></t>
    </r>
    <r>
      <rPr>
        <u/>
        <sz val="6"/>
        <rFont val="Arial"/>
        <family val="2"/>
      </rPr>
      <t xml:space="preserve"> </t>
    </r>
    <r>
      <rPr>
        <u/>
        <sz val="8"/>
        <rFont val="Arial"/>
        <family val="2"/>
      </rPr>
      <t xml:space="preserve">Rochusstraße 30 </t>
    </r>
    <r>
      <rPr>
        <u/>
        <sz val="8"/>
        <rFont val="Wingdings 2"/>
        <family val="1"/>
        <charset val="2"/>
      </rPr>
      <t></t>
    </r>
    <r>
      <rPr>
        <u/>
        <sz val="8"/>
        <rFont val="Arial"/>
        <family val="2"/>
      </rPr>
      <t xml:space="preserve"> 53123 Bonn</t>
    </r>
  </si>
  <si>
    <t>Neuhoff KG</t>
  </si>
  <si>
    <t>RaumDesign</t>
  </si>
  <si>
    <t>Brunnenstraße 3</t>
  </si>
  <si>
    <t>Ihr Zeichen</t>
  </si>
  <si>
    <t>Unser Zeichen</t>
  </si>
  <si>
    <t>Telefon</t>
  </si>
  <si>
    <t>Name</t>
  </si>
  <si>
    <t>VK Br</t>
  </si>
  <si>
    <t>0228 98765-17</t>
  </si>
  <si>
    <t>Frank Bremer</t>
  </si>
  <si>
    <t>Kunden-Nr.:</t>
  </si>
  <si>
    <t>Rechnungs-Nr.:</t>
  </si>
  <si>
    <t>Lieferschein-Nr.:</t>
  </si>
  <si>
    <t>Versanddatum:</t>
  </si>
  <si>
    <t>Pos.</t>
  </si>
  <si>
    <t>Artikel-Nr.</t>
  </si>
  <si>
    <t>Artikel-Bezeichnung</t>
  </si>
  <si>
    <t>Menge</t>
  </si>
  <si>
    <t>Einzelpreis €</t>
  </si>
  <si>
    <t>Rabattbetrag €</t>
  </si>
  <si>
    <t>Gesamtpreis €</t>
  </si>
  <si>
    <t>Schreibtisch Ökostar</t>
  </si>
  <si>
    <t>Nettobetrag €</t>
  </si>
  <si>
    <t>Rechnungsbetrag</t>
  </si>
  <si>
    <t xml:space="preserve"> €</t>
  </si>
  <si>
    <t>Amtsgericht Bonn HRA 1221</t>
  </si>
  <si>
    <t>Geschäftsführerung:</t>
  </si>
  <si>
    <t>USt Id: DE 244 111 855</t>
  </si>
  <si>
    <t>Sebastian Falo</t>
  </si>
  <si>
    <t>Katharina Niester</t>
  </si>
  <si>
    <t>Rabatt in %</t>
  </si>
  <si>
    <t>Konferenztischelement lichtgrau</t>
  </si>
  <si>
    <t>Bürostuhl Comfort</t>
  </si>
  <si>
    <t>38700 Hannover</t>
  </si>
  <si>
    <r>
      <t xml:space="preserve">Duisdorfer BüroKonzept KG </t>
    </r>
    <r>
      <rPr>
        <u/>
        <sz val="8"/>
        <rFont val="Wingdings 2"/>
        <family val="1"/>
        <charset val="2"/>
      </rPr>
      <t></t>
    </r>
    <r>
      <rPr>
        <u/>
        <sz val="6"/>
        <rFont val="Arial"/>
        <family val="2"/>
      </rPr>
      <t xml:space="preserve"> </t>
    </r>
    <r>
      <rPr>
        <u/>
        <sz val="8"/>
        <rFont val="Arial"/>
        <family val="2"/>
      </rPr>
      <t xml:space="preserve">Rochusstraße 30 </t>
    </r>
    <r>
      <rPr>
        <u/>
        <sz val="8"/>
        <rFont val="Wingdings 2"/>
        <family val="1"/>
        <charset val="2"/>
      </rPr>
      <t></t>
    </r>
    <r>
      <rPr>
        <u/>
        <sz val="8"/>
        <rFont val="Arial"/>
        <family val="2"/>
      </rPr>
      <t xml:space="preserve"> 53123 Bonn</t>
    </r>
  </si>
  <si>
    <t>27.06.20..</t>
  </si>
  <si>
    <t>Bürosessel Tenno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</si>
</sst>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* #,##0.00\ [$€-1]_-;\-* #,##0.00\ [$€-1]_-;_-* &quot;-&quot;??\ [$€-1]_-"/>
    <numFmt numFmtId="165" formatCode="#,##0.00\ &quot;€&quot;"/>
    <numFmt numFmtId="166" formatCode="yyyy\-mm\-dd"/>
    <numFmt numFmtId="167" formatCode="&quot;Umsatzsteuer &quot;#0.0\ &quot;% €&quot;"/>
  </numFmts>
  <fonts count="1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u/>
      <sz val="8"/>
      <name val="Arial"/>
      <family val="2"/>
    </font>
    <font>
      <u/>
      <sz val="8"/>
      <name val="Wingdings 2"/>
      <family val="1"/>
      <charset val="2"/>
    </font>
    <font>
      <u/>
      <sz val="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</cellStyleXfs>
  <cellXfs count="10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0" fillId="0" borderId="1" xfId="0" applyNumberFormat="1" applyBorder="1"/>
    <xf numFmtId="165" fontId="0" fillId="2" borderId="1" xfId="0" applyNumberFormat="1" applyFill="1" applyBorder="1"/>
    <xf numFmtId="165" fontId="0" fillId="0" borderId="1" xfId="1" applyNumberFormat="1" applyFont="1" applyBorder="1"/>
    <xf numFmtId="0" fontId="3" fillId="0" borderId="2" xfId="0" applyFont="1" applyBorder="1"/>
    <xf numFmtId="0" fontId="4" fillId="3" borderId="0" xfId="4" applyFill="1"/>
    <xf numFmtId="0" fontId="4" fillId="0" borderId="0" xfId="4"/>
    <xf numFmtId="0" fontId="6" fillId="3" borderId="0" xfId="4" applyFont="1" applyFill="1"/>
    <xf numFmtId="0" fontId="9" fillId="3" borderId="0" xfId="4" applyFont="1" applyFill="1"/>
    <xf numFmtId="0" fontId="10" fillId="3" borderId="0" xfId="4" applyFont="1" applyFill="1"/>
    <xf numFmtId="0" fontId="5" fillId="0" borderId="0" xfId="4" applyFont="1"/>
    <xf numFmtId="0" fontId="5" fillId="0" borderId="0" xfId="4" applyFont="1" applyAlignment="1">
      <alignment horizontal="left"/>
    </xf>
    <xf numFmtId="0" fontId="11" fillId="3" borderId="0" xfId="4" applyFont="1" applyFill="1"/>
    <xf numFmtId="166" fontId="11" fillId="3" borderId="0" xfId="4" applyNumberFormat="1" applyFont="1" applyFill="1" applyAlignment="1">
      <alignment horizontal="left"/>
    </xf>
    <xf numFmtId="14" fontId="11" fillId="3" borderId="0" xfId="4" applyNumberFormat="1" applyFont="1" applyFill="1" applyAlignment="1">
      <alignment horizontal="left"/>
    </xf>
    <xf numFmtId="0" fontId="12" fillId="3" borderId="0" xfId="4" applyFont="1" applyFill="1"/>
    <xf numFmtId="0" fontId="13" fillId="3" borderId="0" xfId="4" applyFont="1" applyFill="1"/>
    <xf numFmtId="0" fontId="14" fillId="3" borderId="0" xfId="4" applyFont="1" applyFill="1"/>
    <xf numFmtId="0" fontId="5" fillId="3" borderId="0" xfId="4" applyFont="1" applyFill="1" applyAlignment="1">
      <alignment horizontal="left"/>
    </xf>
    <xf numFmtId="0" fontId="14" fillId="3" borderId="0" xfId="4" applyFont="1" applyFill="1" applyAlignment="1">
      <alignment horizontal="left"/>
    </xf>
    <xf numFmtId="14" fontId="5" fillId="3" borderId="0" xfId="4" applyNumberFormat="1" applyFont="1" applyFill="1"/>
    <xf numFmtId="14" fontId="4" fillId="3" borderId="0" xfId="4" applyNumberFormat="1" applyFill="1" applyAlignment="1">
      <alignment horizontal="left"/>
    </xf>
    <xf numFmtId="166" fontId="5" fillId="3" borderId="0" xfId="4" applyNumberFormat="1" applyFont="1" applyFill="1" applyAlignment="1">
      <alignment horizontal="left"/>
    </xf>
    <xf numFmtId="0" fontId="14" fillId="0" borderId="12" xfId="4" applyFont="1" applyBorder="1" applyAlignment="1">
      <alignment horizontal="center"/>
    </xf>
    <xf numFmtId="0" fontId="14" fillId="0" borderId="12" xfId="4" applyFont="1" applyBorder="1" applyAlignment="1">
      <alignment horizontal="left"/>
    </xf>
    <xf numFmtId="2" fontId="14" fillId="0" borderId="12" xfId="4" applyNumberFormat="1" applyFont="1" applyBorder="1" applyAlignment="1">
      <alignment horizontal="right"/>
    </xf>
    <xf numFmtId="0" fontId="14" fillId="0" borderId="10" xfId="4" applyFont="1" applyBorder="1" applyAlignment="1">
      <alignment horizontal="center"/>
    </xf>
    <xf numFmtId="0" fontId="14" fillId="0" borderId="10" xfId="4" applyFont="1" applyBorder="1" applyAlignment="1">
      <alignment horizontal="left"/>
    </xf>
    <xf numFmtId="0" fontId="14" fillId="0" borderId="0" xfId="4" applyFont="1"/>
    <xf numFmtId="0" fontId="14" fillId="0" borderId="11" xfId="4" applyFont="1" applyBorder="1"/>
    <xf numFmtId="0" fontId="14" fillId="0" borderId="16" xfId="4" applyFont="1" applyBorder="1"/>
    <xf numFmtId="2" fontId="14" fillId="0" borderId="1" xfId="4" applyNumberFormat="1" applyFont="1" applyBorder="1"/>
    <xf numFmtId="0" fontId="15" fillId="0" borderId="11" xfId="4" applyFont="1" applyBorder="1"/>
    <xf numFmtId="2" fontId="15" fillId="0" borderId="1" xfId="4" applyNumberFormat="1" applyFont="1" applyBorder="1"/>
    <xf numFmtId="0" fontId="4" fillId="3" borderId="0" xfId="4" applyFill="1" applyAlignment="1">
      <alignment horizontal="center" wrapText="1"/>
    </xf>
    <xf numFmtId="0" fontId="4" fillId="3" borderId="0" xfId="4" applyFill="1" applyAlignment="1">
      <alignment horizontal="left" wrapText="1"/>
    </xf>
    <xf numFmtId="2" fontId="14" fillId="0" borderId="10" xfId="4" applyNumberFormat="1" applyFont="1" applyBorder="1" applyAlignment="1">
      <alignment horizontal="right"/>
    </xf>
    <xf numFmtId="2" fontId="16" fillId="4" borderId="12" xfId="4" applyNumberFormat="1" applyFont="1" applyFill="1" applyBorder="1"/>
    <xf numFmtId="0" fontId="14" fillId="3" borderId="2" xfId="4" applyFont="1" applyFill="1" applyBorder="1"/>
    <xf numFmtId="0" fontId="4" fillId="3" borderId="3" xfId="4" applyFill="1" applyBorder="1"/>
    <xf numFmtId="0" fontId="4" fillId="0" borderId="3" xfId="4" applyBorder="1"/>
    <xf numFmtId="0" fontId="4" fillId="0" borderId="4" xfId="4" applyBorder="1"/>
    <xf numFmtId="0" fontId="4" fillId="3" borderId="6" xfId="4" applyFill="1" applyBorder="1"/>
    <xf numFmtId="0" fontId="4" fillId="0" borderId="5" xfId="4" applyBorder="1"/>
    <xf numFmtId="0" fontId="14" fillId="0" borderId="6" xfId="4" applyFont="1" applyBorder="1"/>
    <xf numFmtId="0" fontId="14" fillId="3" borderId="6" xfId="4" applyFont="1" applyFill="1" applyBorder="1"/>
    <xf numFmtId="0" fontId="4" fillId="0" borderId="6" xfId="4" applyBorder="1"/>
    <xf numFmtId="0" fontId="4" fillId="3" borderId="7" xfId="4" applyFill="1" applyBorder="1"/>
    <xf numFmtId="0" fontId="4" fillId="3" borderId="8" xfId="4" applyFill="1" applyBorder="1"/>
    <xf numFmtId="0" fontId="4" fillId="0" borderId="8" xfId="4" applyBorder="1"/>
    <xf numFmtId="0" fontId="4" fillId="0" borderId="9" xfId="4" applyBorder="1"/>
    <xf numFmtId="2" fontId="14" fillId="4" borderId="12" xfId="4" applyNumberFormat="1" applyFont="1" applyFill="1" applyBorder="1" applyAlignment="1">
      <alignment horizontal="right"/>
    </xf>
    <xf numFmtId="4" fontId="14" fillId="0" borderId="12" xfId="4" applyNumberFormat="1" applyFont="1" applyBorder="1" applyAlignment="1">
      <alignment horizontal="right"/>
    </xf>
    <xf numFmtId="0" fontId="15" fillId="5" borderId="13" xfId="4" applyFont="1" applyFill="1" applyBorder="1" applyAlignment="1">
      <alignment horizontal="center"/>
    </xf>
    <xf numFmtId="0" fontId="15" fillId="5" borderId="14" xfId="4" applyFont="1" applyFill="1" applyBorder="1" applyAlignment="1">
      <alignment horizontal="center"/>
    </xf>
    <xf numFmtId="0" fontId="15" fillId="5" borderId="15" xfId="4" applyFont="1" applyFill="1" applyBorder="1" applyAlignment="1">
      <alignment horizontal="center"/>
    </xf>
    <xf numFmtId="0" fontId="14" fillId="5" borderId="12" xfId="4" applyFont="1" applyFill="1" applyBorder="1" applyAlignment="1">
      <alignment horizontal="center"/>
    </xf>
    <xf numFmtId="0" fontId="14" fillId="5" borderId="12" xfId="4" applyFont="1" applyFill="1" applyBorder="1" applyAlignment="1">
      <alignment horizontal="left"/>
    </xf>
    <xf numFmtId="2" fontId="14" fillId="5" borderId="12" xfId="4" applyNumberFormat="1" applyFont="1" applyFill="1" applyBorder="1" applyAlignment="1">
      <alignment horizontal="right"/>
    </xf>
    <xf numFmtId="0" fontId="14" fillId="5" borderId="10" xfId="4" applyFont="1" applyFill="1" applyBorder="1" applyAlignment="1">
      <alignment horizontal="center"/>
    </xf>
    <xf numFmtId="0" fontId="14" fillId="5" borderId="10" xfId="4" applyFont="1" applyFill="1" applyBorder="1" applyAlignment="1">
      <alignment horizontal="left"/>
    </xf>
    <xf numFmtId="2" fontId="14" fillId="5" borderId="10" xfId="4" applyNumberFormat="1" applyFont="1" applyFill="1" applyBorder="1" applyAlignment="1">
      <alignment horizontal="right"/>
    </xf>
    <xf numFmtId="4" fontId="14" fillId="5" borderId="12" xfId="4" applyNumberFormat="1" applyFont="1" applyFill="1" applyBorder="1" applyAlignment="1">
      <alignment horizontal="right"/>
    </xf>
    <xf numFmtId="0" fontId="4" fillId="3" borderId="2" xfId="4" applyFill="1" applyBorder="1"/>
    <xf numFmtId="0" fontId="6" fillId="3" borderId="6" xfId="4" applyFont="1" applyFill="1" applyBorder="1"/>
    <xf numFmtId="0" fontId="5" fillId="0" borderId="6" xfId="4" applyFont="1" applyBorder="1"/>
    <xf numFmtId="0" fontId="5" fillId="0" borderId="6" xfId="4" applyFont="1" applyBorder="1" applyAlignment="1">
      <alignment horizontal="left"/>
    </xf>
    <xf numFmtId="0" fontId="11" fillId="3" borderId="6" xfId="4" applyFont="1" applyFill="1" applyBorder="1"/>
    <xf numFmtId="0" fontId="12" fillId="3" borderId="6" xfId="4" applyFont="1" applyFill="1" applyBorder="1"/>
    <xf numFmtId="0" fontId="13" fillId="3" borderId="6" xfId="4" applyFont="1" applyFill="1" applyBorder="1"/>
    <xf numFmtId="0" fontId="14" fillId="3" borderId="6" xfId="4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wrapText="1"/>
    </xf>
    <xf numFmtId="0" fontId="14" fillId="0" borderId="1" xfId="0" applyFont="1" applyBorder="1"/>
    <xf numFmtId="0" fontId="17" fillId="0" borderId="0" xfId="0" applyFont="1"/>
    <xf numFmtId="0" fontId="15" fillId="0" borderId="2" xfId="0" applyFont="1" applyBorder="1"/>
    <xf numFmtId="0" fontId="14" fillId="0" borderId="0" xfId="0" applyFont="1"/>
    <xf numFmtId="0" fontId="14" fillId="0" borderId="3" xfId="0" applyFont="1" applyBorder="1"/>
    <xf numFmtId="2" fontId="14" fillId="0" borderId="1" xfId="0" applyNumberFormat="1" applyFont="1" applyBorder="1"/>
    <xf numFmtId="0" fontId="17" fillId="3" borderId="0" xfId="4" applyFont="1" applyFill="1"/>
    <xf numFmtId="0" fontId="18" fillId="0" borderId="0" xfId="0" applyFont="1"/>
    <xf numFmtId="0" fontId="5" fillId="0" borderId="0" xfId="0" applyFont="1"/>
    <xf numFmtId="0" fontId="5" fillId="0" borderId="3" xfId="0" applyFont="1" applyBorder="1"/>
    <xf numFmtId="0" fontId="3" fillId="2" borderId="1" xfId="0" applyFont="1" applyFill="1" applyBorder="1" applyAlignment="1">
      <alignment horizontal="center" wrapText="1"/>
    </xf>
    <xf numFmtId="0" fontId="5" fillId="0" borderId="1" xfId="0" applyFont="1" applyBorder="1"/>
    <xf numFmtId="2" fontId="5" fillId="0" borderId="1" xfId="0" applyNumberFormat="1" applyFont="1" applyBorder="1"/>
    <xf numFmtId="0" fontId="2" fillId="3" borderId="0" xfId="4" applyFont="1" applyFill="1"/>
    <xf numFmtId="4" fontId="14" fillId="0" borderId="1" xfId="4" applyNumberFormat="1" applyFont="1" applyBorder="1"/>
    <xf numFmtId="4" fontId="15" fillId="0" borderId="1" xfId="4" applyNumberFormat="1" applyFont="1" applyBorder="1"/>
    <xf numFmtId="165" fontId="14" fillId="2" borderId="1" xfId="0" applyNumberFormat="1" applyFont="1" applyFill="1" applyBorder="1"/>
    <xf numFmtId="14" fontId="2" fillId="3" borderId="0" xfId="4" applyNumberFormat="1" applyFont="1" applyFill="1" applyAlignment="1">
      <alignment horizontal="left"/>
    </xf>
    <xf numFmtId="0" fontId="4" fillId="3" borderId="0" xfId="4" applyFill="1" applyAlignment="1">
      <alignment horizontal="center"/>
    </xf>
    <xf numFmtId="0" fontId="5" fillId="3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167" fontId="14" fillId="0" borderId="11" xfId="4" applyNumberFormat="1" applyFont="1" applyBorder="1" applyAlignment="1">
      <alignment horizontal="left"/>
    </xf>
    <xf numFmtId="167" fontId="14" fillId="0" borderId="17" xfId="4" applyNumberFormat="1" applyFont="1" applyBorder="1" applyAlignment="1">
      <alignment horizontal="left"/>
    </xf>
    <xf numFmtId="0" fontId="5" fillId="3" borderId="0" xfId="4" applyFont="1" applyFill="1" applyAlignment="1">
      <alignment horizontal="center" vertical="center"/>
    </xf>
    <xf numFmtId="0" fontId="5" fillId="0" borderId="6" xfId="4" applyFont="1" applyBorder="1" applyAlignment="1">
      <alignment horizontal="center"/>
    </xf>
  </cellXfs>
  <cellStyles count="6">
    <cellStyle name="Euro" xfId="1" xr:uid="{00000000-0005-0000-0000-000000000000}"/>
    <cellStyle name="Euro 2" xfId="5" xr:uid="{00000000-0005-0000-0000-000001000000}"/>
    <cellStyle name="Standard" xfId="0" builtinId="0"/>
    <cellStyle name="Standard 2" xfId="4" xr:uid="{00000000-0005-0000-0000-000003000000}"/>
    <cellStyle name="Standard 3" xfId="2" xr:uid="{00000000-0005-0000-0000-000004000000}"/>
    <cellStyle name="Währung 2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168900" y="17907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5988050" y="1790700"/>
          <a:ext cx="22860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 editAs="oneCell">
    <xdr:from>
      <xdr:col>2</xdr:col>
      <xdr:colOff>1905000</xdr:colOff>
      <xdr:row>0</xdr:row>
      <xdr:rowOff>0</xdr:rowOff>
    </xdr:from>
    <xdr:to>
      <xdr:col>5</xdr:col>
      <xdr:colOff>93350</xdr:colOff>
      <xdr:row>6</xdr:row>
      <xdr:rowOff>133920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85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17907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1790700"/>
          <a:ext cx="24384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4</xdr:col>
      <xdr:colOff>1226825</xdr:colOff>
      <xdr:row>6</xdr:row>
      <xdr:rowOff>133920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0"/>
          <a:ext cx="7524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0"/>
          <a:ext cx="2438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1557612</xdr:colOff>
      <xdr:row>0</xdr:row>
      <xdr:rowOff>11201</xdr:rowOff>
    </xdr:from>
    <xdr:to>
      <xdr:col>5</xdr:col>
      <xdr:colOff>3137</xdr:colOff>
      <xdr:row>6</xdr:row>
      <xdr:rowOff>145121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4877" y="11201"/>
          <a:ext cx="2378789" cy="10752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0"/>
          <a:ext cx="7524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0"/>
          <a:ext cx="2438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1676400</xdr:colOff>
      <xdr:row>0</xdr:row>
      <xdr:rowOff>0</xdr:rowOff>
    </xdr:from>
    <xdr:to>
      <xdr:col>5</xdr:col>
      <xdr:colOff>150500</xdr:colOff>
      <xdr:row>6</xdr:row>
      <xdr:rowOff>133920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9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17907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1790700"/>
          <a:ext cx="2438400" cy="1619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1943100</xdr:colOff>
      <xdr:row>0</xdr:row>
      <xdr:rowOff>0</xdr:rowOff>
    </xdr:from>
    <xdr:to>
      <xdr:col>5</xdr:col>
      <xdr:colOff>131450</xdr:colOff>
      <xdr:row>6</xdr:row>
      <xdr:rowOff>133920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5" y="0"/>
          <a:ext cx="2379350" cy="11054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196850</xdr:colOff>
      <xdr:row>10</xdr:row>
      <xdr:rowOff>142875</xdr:rowOff>
    </xdr:from>
    <xdr:to>
      <xdr:col>5</xdr:col>
      <xdr:colOff>949325</xdr:colOff>
      <xdr:row>17</xdr:row>
      <xdr:rowOff>85725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5921375" y="495300"/>
          <a:ext cx="7524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Anschrift: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Telefon:</a:t>
          </a: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Telefax:</a:t>
          </a:r>
        </a:p>
        <a:p>
          <a:pPr algn="l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Banken: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5</xdr:col>
      <xdr:colOff>1016000</xdr:colOff>
      <xdr:row>10</xdr:row>
      <xdr:rowOff>142875</xdr:rowOff>
    </xdr:from>
    <xdr:to>
      <xdr:col>7</xdr:col>
      <xdr:colOff>1035050</xdr:colOff>
      <xdr:row>19</xdr:row>
      <xdr:rowOff>104775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6740525" y="495300"/>
          <a:ext cx="2438400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Rochusstraße 30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53123 Bonn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Telefon: 0228 98765-0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Telefax:  0228 98765-80</a:t>
          </a:r>
        </a:p>
        <a:p>
          <a:pPr algn="l" rtl="0">
            <a:defRPr sz="1000"/>
          </a:pPr>
          <a:endParaRPr lang="de-DE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Volksbank Bonn/Rhein-Sieg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380 601 86) 24012345678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Postbank Köln</a:t>
          </a:r>
        </a:p>
        <a:p>
          <a:pPr algn="l" rtl="0">
            <a:defRPr sz="1000"/>
          </a:pPr>
          <a:r>
            <a:rPr lang="de-DE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(BLZ 370 100 50) 8884441234</a:t>
          </a:r>
          <a:endParaRPr lang="de-DE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de-DE"/>
        </a:p>
      </xdr:txBody>
    </xdr:sp>
    <xdr:clientData/>
  </xdr:twoCellAnchor>
  <xdr:twoCellAnchor>
    <xdr:from>
      <xdr:col>2</xdr:col>
      <xdr:colOff>1924050</xdr:colOff>
      <xdr:row>0</xdr:row>
      <xdr:rowOff>0</xdr:rowOff>
    </xdr:from>
    <xdr:to>
      <xdr:col>5</xdr:col>
      <xdr:colOff>112400</xdr:colOff>
      <xdr:row>6</xdr:row>
      <xdr:rowOff>133920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0"/>
          <a:ext cx="2379350" cy="1105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8"/>
  <sheetViews>
    <sheetView showGridLines="0" zoomScaleNormal="100" workbookViewId="0">
      <selection activeCell="F39" sqref="F39"/>
    </sheetView>
  </sheetViews>
  <sheetFormatPr baseColWidth="10" defaultColWidth="11.46484375" defaultRowHeight="12.75"/>
  <cols>
    <col min="1" max="1" width="8.46484375" style="11" customWidth="1"/>
    <col min="2" max="2" width="14.53125" style="11" customWidth="1"/>
    <col min="3" max="3" width="30.73046875" style="11" customWidth="1"/>
    <col min="4" max="4" width="16" style="11" customWidth="1"/>
    <col min="5" max="5" width="16.19921875" style="11" customWidth="1"/>
    <col min="6" max="6" width="20.19921875" style="11" bestFit="1" customWidth="1"/>
    <col min="7" max="7" width="16.19921875" style="11" customWidth="1"/>
    <col min="8" max="8" width="16.265625" style="11" customWidth="1"/>
    <col min="9" max="16384" width="11.46484375" style="11"/>
  </cols>
  <sheetData>
    <row r="1" spans="1:8">
      <c r="A1" s="10"/>
      <c r="B1" s="10"/>
      <c r="C1" s="10"/>
      <c r="D1" s="10"/>
      <c r="E1" s="10"/>
      <c r="F1" s="10"/>
      <c r="G1" s="10"/>
    </row>
    <row r="2" spans="1:8">
      <c r="A2" s="10"/>
      <c r="B2" s="10"/>
      <c r="C2" s="10"/>
      <c r="D2" s="10"/>
      <c r="E2" s="10"/>
      <c r="F2" s="10"/>
      <c r="G2" s="10"/>
    </row>
    <row r="3" spans="1:8">
      <c r="A3" s="10"/>
      <c r="B3" s="10"/>
      <c r="C3" s="10"/>
      <c r="D3" s="10"/>
      <c r="E3" s="10"/>
      <c r="F3" s="10"/>
      <c r="G3" s="10"/>
    </row>
    <row r="4" spans="1:8">
      <c r="A4" s="10"/>
      <c r="B4" s="10"/>
      <c r="C4" s="10"/>
      <c r="D4" s="10"/>
      <c r="E4" s="10"/>
      <c r="F4" s="10"/>
      <c r="G4" s="10"/>
    </row>
    <row r="5" spans="1:8">
      <c r="A5" s="10"/>
      <c r="B5" s="10"/>
      <c r="C5" s="10"/>
      <c r="D5" s="10"/>
      <c r="E5" s="10"/>
      <c r="F5" s="10"/>
      <c r="G5" s="10"/>
    </row>
    <row r="6" spans="1:8">
      <c r="A6" s="95"/>
      <c r="B6" s="95"/>
      <c r="C6" s="95"/>
      <c r="D6" s="95"/>
      <c r="E6" s="95"/>
      <c r="F6" s="95"/>
      <c r="G6" s="95"/>
    </row>
    <row r="7" spans="1:8">
      <c r="A7" s="10"/>
      <c r="B7" s="10"/>
      <c r="C7" s="10"/>
      <c r="D7" s="10"/>
      <c r="E7" s="10"/>
      <c r="F7" s="10"/>
      <c r="G7" s="10"/>
    </row>
    <row r="8" spans="1:8" ht="15">
      <c r="A8" s="96" t="s">
        <v>8</v>
      </c>
      <c r="B8" s="96"/>
      <c r="C8" s="96"/>
      <c r="D8" s="96"/>
      <c r="E8" s="96"/>
      <c r="F8" s="96"/>
      <c r="G8" s="96"/>
      <c r="H8" s="96"/>
    </row>
    <row r="9" spans="1:8">
      <c r="A9" s="10"/>
      <c r="B9" s="10"/>
      <c r="C9" s="10"/>
      <c r="D9" s="10"/>
      <c r="E9" s="10"/>
      <c r="F9" s="10"/>
      <c r="G9" s="10"/>
    </row>
    <row r="10" spans="1:8">
      <c r="A10" s="10"/>
      <c r="B10" s="10"/>
      <c r="C10" s="10"/>
      <c r="D10" s="10"/>
      <c r="E10" s="10"/>
      <c r="F10" s="10"/>
      <c r="G10" s="10"/>
    </row>
    <row r="11" spans="1:8">
      <c r="A11" s="12" t="s">
        <v>44</v>
      </c>
      <c r="B11" s="10"/>
      <c r="C11" s="10"/>
      <c r="D11" s="10"/>
      <c r="E11" s="13"/>
      <c r="F11" s="13"/>
      <c r="G11" s="14"/>
    </row>
    <row r="12" spans="1:8">
      <c r="A12" s="10"/>
      <c r="B12" s="10"/>
      <c r="C12" s="10"/>
      <c r="D12" s="10"/>
      <c r="E12" s="13"/>
      <c r="F12" s="13"/>
      <c r="G12" s="14"/>
    </row>
    <row r="13" spans="1:8" ht="15">
      <c r="A13" s="15"/>
      <c r="C13" s="10"/>
      <c r="D13" s="10"/>
      <c r="E13" s="13"/>
      <c r="F13" s="13"/>
      <c r="G13" s="14"/>
    </row>
    <row r="14" spans="1:8" ht="15">
      <c r="A14" s="16" t="s">
        <v>10</v>
      </c>
      <c r="B14" s="16"/>
      <c r="C14" s="10"/>
      <c r="D14" s="10"/>
      <c r="E14" s="13"/>
      <c r="F14" s="13"/>
      <c r="G14" s="14"/>
    </row>
    <row r="15" spans="1:8" ht="15">
      <c r="A15" s="16" t="s">
        <v>11</v>
      </c>
      <c r="B15" s="16"/>
      <c r="C15" s="10"/>
      <c r="D15" s="10"/>
      <c r="E15" s="13"/>
      <c r="F15" s="13"/>
      <c r="G15" s="14"/>
    </row>
    <row r="16" spans="1:8" ht="15">
      <c r="A16" s="16" t="s">
        <v>12</v>
      </c>
      <c r="B16" s="16"/>
      <c r="C16" s="10"/>
      <c r="D16" s="10"/>
      <c r="E16" s="13"/>
      <c r="F16" s="13"/>
      <c r="G16" s="14"/>
    </row>
    <row r="17" spans="1:8" ht="15">
      <c r="A17" s="16" t="s">
        <v>43</v>
      </c>
      <c r="B17" s="16"/>
      <c r="C17" s="10"/>
      <c r="D17" s="10"/>
      <c r="E17" s="13"/>
      <c r="F17" s="13"/>
      <c r="G17" s="14"/>
    </row>
    <row r="18" spans="1:8" ht="15">
      <c r="A18" s="97"/>
      <c r="B18" s="97"/>
      <c r="C18" s="10"/>
      <c r="D18" s="10"/>
      <c r="E18" s="14"/>
      <c r="F18" s="14"/>
      <c r="G18" s="14"/>
    </row>
    <row r="19" spans="1:8" ht="15">
      <c r="A19" s="97"/>
      <c r="B19" s="97"/>
      <c r="C19" s="10"/>
      <c r="D19" s="10"/>
      <c r="E19" s="14"/>
      <c r="F19" s="14"/>
      <c r="G19" s="14"/>
    </row>
    <row r="20" spans="1:8">
      <c r="A20" s="10"/>
      <c r="B20" s="10"/>
      <c r="C20" s="10"/>
      <c r="D20" s="10"/>
      <c r="E20" s="14"/>
      <c r="F20" s="14"/>
      <c r="G20" s="14"/>
    </row>
    <row r="21" spans="1:8">
      <c r="A21" s="10"/>
      <c r="B21" s="10"/>
      <c r="C21" s="10"/>
      <c r="D21" s="10"/>
      <c r="E21" s="10"/>
      <c r="F21" s="10"/>
      <c r="G21" s="10"/>
    </row>
    <row r="22" spans="1:8">
      <c r="A22" s="17" t="s">
        <v>13</v>
      </c>
      <c r="B22" s="17" t="s">
        <v>6</v>
      </c>
      <c r="C22" s="17" t="s">
        <v>14</v>
      </c>
      <c r="D22" s="17" t="s">
        <v>15</v>
      </c>
      <c r="F22" s="17" t="s">
        <v>16</v>
      </c>
      <c r="H22" s="17" t="s">
        <v>7</v>
      </c>
    </row>
    <row r="23" spans="1:8" ht="12.75" customHeight="1">
      <c r="A23" s="10"/>
      <c r="B23" s="10"/>
      <c r="C23" s="10" t="s">
        <v>17</v>
      </c>
      <c r="D23" s="40" t="s">
        <v>18</v>
      </c>
      <c r="F23" s="11" t="s">
        <v>19</v>
      </c>
      <c r="H23" s="94" t="s">
        <v>45</v>
      </c>
    </row>
    <row r="24" spans="1:8">
      <c r="A24" s="17"/>
      <c r="B24" s="17"/>
      <c r="C24" s="17"/>
      <c r="D24" s="39"/>
      <c r="E24" s="10"/>
      <c r="F24" s="18"/>
      <c r="G24" s="10"/>
    </row>
    <row r="25" spans="1:8">
      <c r="A25" s="17"/>
      <c r="B25" s="17"/>
      <c r="C25" s="17"/>
      <c r="D25" s="17"/>
      <c r="E25" s="10"/>
      <c r="F25" s="10"/>
      <c r="G25" s="19"/>
    </row>
    <row r="26" spans="1:8" ht="22.5">
      <c r="A26" s="20" t="s">
        <v>0</v>
      </c>
      <c r="B26" s="10"/>
      <c r="C26" s="17"/>
      <c r="D26" s="17"/>
      <c r="E26" s="10"/>
      <c r="F26" s="10"/>
      <c r="G26" s="19"/>
    </row>
    <row r="27" spans="1:8" ht="17.649999999999999">
      <c r="A27" s="21"/>
      <c r="B27" s="10"/>
      <c r="C27" s="17"/>
      <c r="D27" s="17"/>
      <c r="E27" s="10"/>
      <c r="F27" s="10"/>
      <c r="G27" s="19"/>
    </row>
    <row r="28" spans="1:8">
      <c r="A28" s="10"/>
      <c r="B28" s="10"/>
      <c r="C28" s="10"/>
      <c r="D28" s="10"/>
      <c r="E28" s="10"/>
      <c r="F28" s="10"/>
      <c r="G28" s="10"/>
    </row>
    <row r="29" spans="1:8">
      <c r="A29" s="10"/>
      <c r="B29" s="10"/>
      <c r="C29" s="10"/>
      <c r="D29" s="10"/>
      <c r="E29" s="10"/>
      <c r="F29" s="10"/>
      <c r="G29" s="10"/>
    </row>
    <row r="30" spans="1:8" ht="15">
      <c r="A30" s="22" t="s">
        <v>20</v>
      </c>
      <c r="C30" s="23">
        <v>2401</v>
      </c>
      <c r="D30" s="10"/>
      <c r="E30" s="10"/>
      <c r="F30" s="10"/>
      <c r="G30" s="10"/>
    </row>
    <row r="31" spans="1:8" ht="15">
      <c r="A31" s="24" t="s">
        <v>21</v>
      </c>
      <c r="C31" s="23">
        <v>50215</v>
      </c>
      <c r="D31" s="10"/>
      <c r="E31" s="10"/>
      <c r="F31" s="10"/>
      <c r="G31" s="10"/>
    </row>
    <row r="32" spans="1:8" ht="15">
      <c r="A32" s="24" t="s">
        <v>22</v>
      </c>
      <c r="B32" s="23"/>
      <c r="D32" s="10"/>
      <c r="E32" s="10"/>
      <c r="F32" s="10"/>
      <c r="G32" s="10"/>
    </row>
    <row r="33" spans="1:8" ht="15">
      <c r="A33" s="24" t="s">
        <v>23</v>
      </c>
      <c r="B33" s="27"/>
      <c r="D33" s="10"/>
      <c r="E33" s="10"/>
      <c r="F33" s="10"/>
      <c r="G33" s="10"/>
    </row>
    <row r="34" spans="1:8" ht="15">
      <c r="A34" s="10"/>
      <c r="B34" s="24"/>
      <c r="C34" s="25"/>
      <c r="D34" s="10"/>
      <c r="E34" s="10"/>
      <c r="F34" s="10"/>
      <c r="G34" s="10"/>
    </row>
    <row r="35" spans="1:8">
      <c r="A35" s="10"/>
      <c r="B35" s="10"/>
      <c r="C35" s="10"/>
      <c r="D35" s="10"/>
      <c r="E35" s="10"/>
      <c r="F35" s="10"/>
      <c r="G35" s="10"/>
    </row>
    <row r="36" spans="1:8" ht="13.5">
      <c r="A36" s="22"/>
      <c r="B36" s="10"/>
      <c r="C36" s="10"/>
      <c r="D36" s="10"/>
      <c r="E36" s="10"/>
      <c r="F36" s="10"/>
      <c r="G36" s="10"/>
    </row>
    <row r="37" spans="1:8" ht="13.15" thickBot="1">
      <c r="A37" s="10"/>
      <c r="B37" s="10"/>
      <c r="C37" s="10"/>
      <c r="D37" s="10"/>
      <c r="E37" s="10"/>
      <c r="F37" s="10"/>
      <c r="G37" s="10"/>
    </row>
    <row r="38" spans="1:8" ht="14.25" thickBot="1">
      <c r="A38" s="58" t="s">
        <v>24</v>
      </c>
      <c r="B38" s="59" t="s">
        <v>25</v>
      </c>
      <c r="C38" s="59" t="s">
        <v>26</v>
      </c>
      <c r="D38" s="59" t="s">
        <v>27</v>
      </c>
      <c r="E38" s="59" t="s">
        <v>28</v>
      </c>
      <c r="F38" s="59" t="s">
        <v>40</v>
      </c>
      <c r="G38" s="59" t="s">
        <v>29</v>
      </c>
      <c r="H38" s="60" t="s">
        <v>30</v>
      </c>
    </row>
    <row r="39" spans="1:8" ht="13.5">
      <c r="A39" s="28">
        <v>1</v>
      </c>
      <c r="B39" s="28">
        <v>101111</v>
      </c>
      <c r="C39" s="29" t="s">
        <v>31</v>
      </c>
      <c r="D39" s="28">
        <v>10</v>
      </c>
      <c r="E39" s="30">
        <v>489</v>
      </c>
      <c r="F39" s="42"/>
      <c r="G39" s="30"/>
      <c r="H39" s="30"/>
    </row>
    <row r="40" spans="1:8" ht="13.5">
      <c r="A40" s="61">
        <v>2</v>
      </c>
      <c r="B40" s="61">
        <v>101114</v>
      </c>
      <c r="C40" s="62" t="s">
        <v>41</v>
      </c>
      <c r="D40" s="61">
        <v>25</v>
      </c>
      <c r="E40" s="63">
        <v>98</v>
      </c>
      <c r="F40" s="63"/>
      <c r="G40" s="63"/>
      <c r="H40" s="63"/>
    </row>
    <row r="41" spans="1:8" ht="13.5">
      <c r="A41" s="28">
        <v>3</v>
      </c>
      <c r="B41" s="28">
        <v>202111</v>
      </c>
      <c r="C41" s="29" t="s">
        <v>42</v>
      </c>
      <c r="D41" s="28">
        <v>20</v>
      </c>
      <c r="E41" s="30">
        <v>228</v>
      </c>
      <c r="F41" s="30"/>
      <c r="G41" s="30"/>
      <c r="H41" s="30"/>
    </row>
    <row r="42" spans="1:8" ht="13.5">
      <c r="A42" s="61">
        <v>4</v>
      </c>
      <c r="B42" s="61">
        <v>202114</v>
      </c>
      <c r="C42" s="62" t="s">
        <v>46</v>
      </c>
      <c r="D42" s="61">
        <v>15</v>
      </c>
      <c r="E42" s="63">
        <v>349</v>
      </c>
      <c r="F42" s="63"/>
      <c r="G42" s="63"/>
      <c r="H42" s="63"/>
    </row>
    <row r="43" spans="1:8" ht="13.5">
      <c r="A43" s="28"/>
      <c r="B43" s="28"/>
      <c r="C43" s="29"/>
      <c r="D43" s="28"/>
      <c r="E43" s="30"/>
      <c r="F43" s="30"/>
      <c r="G43" s="30"/>
      <c r="H43" s="30"/>
    </row>
    <row r="44" spans="1:8" ht="13.5">
      <c r="A44" s="61"/>
      <c r="B44" s="61"/>
      <c r="C44" s="62"/>
      <c r="D44" s="61"/>
      <c r="E44" s="63"/>
      <c r="F44" s="63"/>
      <c r="G44" s="63"/>
      <c r="H44" s="63"/>
    </row>
    <row r="45" spans="1:8" ht="13.5">
      <c r="A45" s="28"/>
      <c r="B45" s="28"/>
      <c r="C45" s="29"/>
      <c r="D45" s="28"/>
      <c r="E45" s="30"/>
      <c r="F45" s="30"/>
      <c r="G45" s="30"/>
      <c r="H45" s="30"/>
    </row>
    <row r="46" spans="1:8" ht="13.5">
      <c r="A46" s="61"/>
      <c r="B46" s="61"/>
      <c r="C46" s="62"/>
      <c r="D46" s="61"/>
      <c r="E46" s="63"/>
      <c r="F46" s="63"/>
      <c r="G46" s="63"/>
      <c r="H46" s="63"/>
    </row>
    <row r="47" spans="1:8" ht="13.5">
      <c r="A47" s="28"/>
      <c r="B47" s="28"/>
      <c r="C47" s="29"/>
      <c r="D47" s="28"/>
      <c r="E47" s="30"/>
      <c r="F47" s="30"/>
      <c r="G47" s="30"/>
      <c r="H47" s="30"/>
    </row>
    <row r="48" spans="1:8" ht="13.5">
      <c r="A48" s="61"/>
      <c r="B48" s="61"/>
      <c r="C48" s="62"/>
      <c r="D48" s="61"/>
      <c r="E48" s="63"/>
      <c r="F48" s="63"/>
      <c r="G48" s="63"/>
      <c r="H48" s="63"/>
    </row>
    <row r="49" spans="1:8" ht="13.5">
      <c r="A49" s="28"/>
      <c r="B49" s="28"/>
      <c r="C49" s="29"/>
      <c r="D49" s="28"/>
      <c r="E49" s="30"/>
      <c r="F49" s="30"/>
      <c r="G49" s="30"/>
      <c r="H49" s="30"/>
    </row>
    <row r="50" spans="1:8" ht="13.5">
      <c r="A50" s="61"/>
      <c r="B50" s="61"/>
      <c r="C50" s="62"/>
      <c r="D50" s="61"/>
      <c r="E50" s="63"/>
      <c r="F50" s="63"/>
      <c r="G50" s="63"/>
      <c r="H50" s="63"/>
    </row>
    <row r="51" spans="1:8" ht="13.5">
      <c r="A51" s="28"/>
      <c r="B51" s="28"/>
      <c r="C51" s="29"/>
      <c r="D51" s="28"/>
      <c r="E51" s="30"/>
      <c r="F51" s="30"/>
      <c r="G51" s="30"/>
      <c r="H51" s="30"/>
    </row>
    <row r="52" spans="1:8" ht="13.5">
      <c r="A52" s="61"/>
      <c r="B52" s="61"/>
      <c r="C52" s="62"/>
      <c r="D52" s="61"/>
      <c r="E52" s="63"/>
      <c r="F52" s="63"/>
      <c r="G52" s="63"/>
      <c r="H52" s="63"/>
    </row>
    <row r="53" spans="1:8" ht="13.5">
      <c r="A53" s="28"/>
      <c r="B53" s="28"/>
      <c r="C53" s="29"/>
      <c r="D53" s="28"/>
      <c r="E53" s="30"/>
      <c r="F53" s="30"/>
      <c r="G53" s="30"/>
      <c r="H53" s="30"/>
    </row>
    <row r="54" spans="1:8" ht="13.5">
      <c r="A54" s="64"/>
      <c r="B54" s="64"/>
      <c r="C54" s="65"/>
      <c r="D54" s="64"/>
      <c r="E54" s="66"/>
      <c r="F54" s="63"/>
      <c r="G54" s="63"/>
      <c r="H54" s="63"/>
    </row>
    <row r="55" spans="1:8" ht="13.5">
      <c r="A55" s="33"/>
      <c r="B55" s="33"/>
      <c r="C55" s="33"/>
      <c r="D55" s="33"/>
      <c r="F55" s="34" t="s">
        <v>32</v>
      </c>
      <c r="G55" s="35"/>
      <c r="H55" s="36"/>
    </row>
    <row r="56" spans="1:8" ht="13.5">
      <c r="A56" s="33"/>
      <c r="B56" s="33"/>
      <c r="C56" s="33"/>
      <c r="D56" s="33"/>
      <c r="F56" s="98">
        <v>19</v>
      </c>
      <c r="G56" s="99"/>
      <c r="H56" s="36"/>
    </row>
    <row r="57" spans="1:8" ht="13.9">
      <c r="A57" s="33"/>
      <c r="B57" s="33"/>
      <c r="C57" s="33"/>
      <c r="D57" s="33"/>
      <c r="F57" s="37" t="s">
        <v>33</v>
      </c>
      <c r="G57" s="35" t="s">
        <v>34</v>
      </c>
      <c r="H57" s="38"/>
    </row>
    <row r="58" spans="1:8" ht="13.5">
      <c r="A58" s="22"/>
      <c r="B58" s="22"/>
      <c r="C58" s="22"/>
      <c r="D58" s="22"/>
      <c r="E58" s="22"/>
      <c r="F58" s="22"/>
      <c r="G58" s="22"/>
    </row>
    <row r="59" spans="1:8" ht="13.5">
      <c r="A59" s="22"/>
      <c r="B59" s="22"/>
      <c r="C59" s="22"/>
      <c r="D59" s="22"/>
      <c r="E59" s="22"/>
    </row>
    <row r="60" spans="1:8" ht="13.5">
      <c r="A60" s="11" t="s">
        <v>35</v>
      </c>
      <c r="C60" s="22"/>
      <c r="D60" s="22"/>
      <c r="F60" s="22" t="s">
        <v>36</v>
      </c>
    </row>
    <row r="61" spans="1:8">
      <c r="A61" s="10" t="s">
        <v>37</v>
      </c>
      <c r="B61" s="10"/>
      <c r="C61" s="10"/>
      <c r="D61" s="10"/>
      <c r="F61" s="10" t="s">
        <v>38</v>
      </c>
    </row>
    <row r="62" spans="1:8">
      <c r="A62" s="10"/>
      <c r="B62" s="10"/>
      <c r="C62" s="10"/>
      <c r="D62" s="10"/>
      <c r="F62" s="10" t="s">
        <v>39</v>
      </c>
      <c r="G62" s="10"/>
    </row>
    <row r="63" spans="1:8">
      <c r="A63" s="10"/>
      <c r="B63" s="10"/>
      <c r="C63" s="10"/>
      <c r="D63" s="10"/>
      <c r="F63" s="10"/>
      <c r="G63" s="10"/>
    </row>
    <row r="64" spans="1:8">
      <c r="A64" s="10"/>
      <c r="B64" s="10"/>
      <c r="C64" s="10"/>
      <c r="D64" s="10"/>
      <c r="E64" s="10"/>
      <c r="F64" s="10"/>
      <c r="G64" s="10"/>
    </row>
    <row r="65" spans="1:7">
      <c r="A65" s="10"/>
      <c r="B65" s="10"/>
      <c r="C65" s="10"/>
      <c r="D65" s="10"/>
      <c r="E65" s="10"/>
      <c r="F65" s="10"/>
      <c r="G65" s="10"/>
    </row>
    <row r="66" spans="1:7">
      <c r="A66" s="10"/>
      <c r="B66" s="10"/>
      <c r="C66" s="10"/>
      <c r="D66" s="10"/>
      <c r="E66" s="10"/>
      <c r="F66" s="10"/>
      <c r="G66" s="10"/>
    </row>
    <row r="67" spans="1:7">
      <c r="A67" s="10"/>
      <c r="B67" s="10"/>
      <c r="C67" s="10"/>
      <c r="D67" s="10"/>
      <c r="E67" s="10"/>
      <c r="F67" s="10"/>
      <c r="G67" s="10"/>
    </row>
    <row r="68" spans="1:7">
      <c r="A68" s="10"/>
      <c r="B68" s="10"/>
      <c r="C68" s="10"/>
      <c r="D68" s="10"/>
      <c r="E68" s="10"/>
      <c r="F68" s="10"/>
      <c r="G68" s="10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73"/>
  <sheetViews>
    <sheetView showGridLines="0" tabSelected="1" topLeftCell="A35" zoomScaleNormal="100" workbookViewId="0">
      <selection activeCell="F39" sqref="F39"/>
    </sheetView>
  </sheetViews>
  <sheetFormatPr baseColWidth="10" defaultColWidth="11.46484375" defaultRowHeight="12.75"/>
  <cols>
    <col min="1" max="1" width="8.46484375" style="11" customWidth="1"/>
    <col min="2" max="2" width="14.53125" style="11" customWidth="1"/>
    <col min="3" max="3" width="30.73046875" style="11" customWidth="1"/>
    <col min="4" max="4" width="11.73046875" style="11" customWidth="1"/>
    <col min="5" max="5" width="19.53125" style="11" customWidth="1"/>
    <col min="6" max="6" width="14.265625" style="11" customWidth="1"/>
    <col min="7" max="7" width="16.19921875" style="11" customWidth="1"/>
    <col min="8" max="8" width="16.265625" style="11" customWidth="1"/>
    <col min="9" max="9" width="3.19921875" style="11" customWidth="1"/>
    <col min="10" max="16384" width="11.46484375" style="11"/>
  </cols>
  <sheetData>
    <row r="1" spans="1:8" hidden="1">
      <c r="A1" s="10"/>
      <c r="B1" s="10"/>
      <c r="C1" s="10"/>
      <c r="D1" s="10"/>
      <c r="E1" s="10"/>
      <c r="F1" s="10"/>
      <c r="G1" s="10"/>
    </row>
    <row r="2" spans="1:8" hidden="1">
      <c r="A2" s="10"/>
      <c r="B2" s="10"/>
      <c r="C2" s="10"/>
      <c r="D2" s="10"/>
      <c r="E2" s="10"/>
      <c r="F2" s="10"/>
      <c r="G2" s="10"/>
    </row>
    <row r="3" spans="1:8" hidden="1">
      <c r="A3" s="10"/>
      <c r="B3" s="10"/>
      <c r="C3" s="10"/>
      <c r="D3" s="10"/>
      <c r="E3" s="10"/>
      <c r="F3" s="10"/>
      <c r="G3" s="10"/>
    </row>
    <row r="4" spans="1:8" hidden="1">
      <c r="A4" s="10"/>
      <c r="B4" s="10"/>
      <c r="C4" s="10"/>
      <c r="D4" s="10"/>
      <c r="E4" s="10"/>
      <c r="F4" s="10"/>
      <c r="G4" s="10"/>
    </row>
    <row r="5" spans="1:8" hidden="1">
      <c r="A5" s="10"/>
      <c r="B5" s="10"/>
      <c r="C5" s="10"/>
      <c r="D5" s="10"/>
      <c r="E5" s="10"/>
      <c r="F5" s="10"/>
      <c r="G5" s="10"/>
    </row>
    <row r="6" spans="1:8" hidden="1">
      <c r="A6" s="95"/>
      <c r="B6" s="95"/>
      <c r="C6" s="95"/>
      <c r="D6" s="95"/>
      <c r="E6" s="95"/>
      <c r="F6" s="95"/>
      <c r="G6" s="95"/>
    </row>
    <row r="7" spans="1:8" hidden="1">
      <c r="A7" s="10"/>
      <c r="B7" s="10"/>
      <c r="C7" s="10"/>
      <c r="D7" s="10"/>
      <c r="E7" s="10"/>
      <c r="F7" s="10"/>
      <c r="G7" s="10"/>
    </row>
    <row r="8" spans="1:8" ht="15" hidden="1">
      <c r="A8" s="96" t="s">
        <v>8</v>
      </c>
      <c r="B8" s="96"/>
      <c r="C8" s="96"/>
      <c r="D8" s="96"/>
      <c r="E8" s="96"/>
      <c r="F8" s="96"/>
      <c r="G8" s="96"/>
      <c r="H8" s="96"/>
    </row>
    <row r="9" spans="1:8" hidden="1">
      <c r="A9" s="10"/>
      <c r="B9" s="10"/>
      <c r="C9" s="10"/>
      <c r="D9" s="10"/>
      <c r="E9" s="10"/>
      <c r="F9" s="10"/>
      <c r="G9" s="10"/>
    </row>
    <row r="10" spans="1:8" hidden="1">
      <c r="A10" s="10"/>
      <c r="B10" s="10"/>
      <c r="C10" s="10"/>
      <c r="D10" s="10"/>
      <c r="E10" s="10"/>
      <c r="F10" s="10"/>
      <c r="G10" s="10"/>
    </row>
    <row r="11" spans="1:8" hidden="1">
      <c r="A11" s="12" t="s">
        <v>9</v>
      </c>
      <c r="B11" s="10"/>
      <c r="C11" s="10"/>
      <c r="D11" s="10"/>
      <c r="E11" s="13"/>
      <c r="F11" s="13"/>
      <c r="G11" s="14"/>
    </row>
    <row r="12" spans="1:8" hidden="1">
      <c r="A12" s="10"/>
      <c r="B12" s="10"/>
      <c r="C12" s="10"/>
      <c r="D12" s="10"/>
      <c r="E12" s="13"/>
      <c r="F12" s="13"/>
      <c r="G12" s="14"/>
    </row>
    <row r="13" spans="1:8" ht="15" hidden="1">
      <c r="A13" s="15"/>
      <c r="C13" s="10"/>
      <c r="D13" s="10"/>
      <c r="E13" s="13"/>
      <c r="F13" s="13"/>
      <c r="G13" s="14"/>
    </row>
    <row r="14" spans="1:8" ht="15" hidden="1">
      <c r="A14" s="16" t="s">
        <v>10</v>
      </c>
      <c r="B14" s="16"/>
      <c r="C14" s="10"/>
      <c r="D14" s="10"/>
      <c r="E14" s="13"/>
      <c r="F14" s="13"/>
      <c r="G14" s="14"/>
    </row>
    <row r="15" spans="1:8" ht="15" hidden="1">
      <c r="A15" s="16" t="s">
        <v>11</v>
      </c>
      <c r="B15" s="16"/>
      <c r="C15" s="10"/>
      <c r="D15" s="10"/>
      <c r="E15" s="13"/>
      <c r="F15" s="13"/>
      <c r="G15" s="14"/>
    </row>
    <row r="16" spans="1:8" ht="15" hidden="1">
      <c r="A16" s="16" t="s">
        <v>12</v>
      </c>
      <c r="B16" s="16"/>
      <c r="C16" s="10"/>
      <c r="D16" s="10"/>
      <c r="E16" s="13"/>
      <c r="F16" s="13"/>
      <c r="G16" s="14"/>
    </row>
    <row r="17" spans="1:8" ht="15" hidden="1">
      <c r="A17" s="16" t="s">
        <v>43</v>
      </c>
      <c r="B17" s="16"/>
      <c r="C17" s="10"/>
      <c r="D17" s="10"/>
      <c r="E17" s="13"/>
      <c r="F17" s="13"/>
      <c r="G17" s="14"/>
    </row>
    <row r="18" spans="1:8" ht="15" hidden="1">
      <c r="A18" s="97"/>
      <c r="B18" s="97"/>
      <c r="C18" s="10"/>
      <c r="D18" s="10"/>
      <c r="E18" s="14"/>
      <c r="F18" s="14"/>
      <c r="G18" s="14"/>
    </row>
    <row r="19" spans="1:8" ht="15" hidden="1">
      <c r="A19" s="97"/>
      <c r="B19" s="97"/>
      <c r="C19" s="10"/>
      <c r="D19" s="10"/>
      <c r="E19" s="14"/>
      <c r="F19" s="14"/>
      <c r="G19" s="14"/>
    </row>
    <row r="20" spans="1:8" hidden="1">
      <c r="A20" s="10"/>
      <c r="B20" s="10"/>
      <c r="C20" s="10"/>
      <c r="D20" s="10"/>
      <c r="E20" s="14"/>
      <c r="F20" s="14"/>
      <c r="G20" s="14"/>
    </row>
    <row r="21" spans="1:8" hidden="1">
      <c r="A21" s="10"/>
      <c r="B21" s="10"/>
      <c r="C21" s="10"/>
      <c r="D21" s="10"/>
      <c r="E21" s="10"/>
      <c r="F21" s="10"/>
      <c r="G21" s="10"/>
    </row>
    <row r="22" spans="1:8" hidden="1">
      <c r="A22" s="17" t="s">
        <v>13</v>
      </c>
      <c r="B22" s="17" t="s">
        <v>6</v>
      </c>
      <c r="C22" s="17" t="s">
        <v>14</v>
      </c>
      <c r="D22" s="17" t="s">
        <v>15</v>
      </c>
      <c r="F22" s="17" t="s">
        <v>16</v>
      </c>
      <c r="H22" s="17" t="s">
        <v>7</v>
      </c>
    </row>
    <row r="23" spans="1:8" ht="12.75" hidden="1" customHeight="1">
      <c r="A23" s="10"/>
      <c r="B23" s="10"/>
      <c r="C23" s="10" t="s">
        <v>17</v>
      </c>
      <c r="D23" s="40" t="s">
        <v>18</v>
      </c>
      <c r="F23" s="11" t="s">
        <v>19</v>
      </c>
      <c r="H23" s="26">
        <f ca="1">TODAY()</f>
        <v>45512</v>
      </c>
    </row>
    <row r="24" spans="1:8" hidden="1">
      <c r="A24" s="17"/>
      <c r="B24" s="17"/>
      <c r="C24" s="17"/>
      <c r="D24" s="39"/>
      <c r="E24" s="10"/>
      <c r="F24" s="18"/>
      <c r="G24" s="10"/>
    </row>
    <row r="25" spans="1:8" hidden="1">
      <c r="A25" s="17"/>
      <c r="B25" s="17"/>
      <c r="C25" s="17"/>
      <c r="D25" s="17"/>
      <c r="E25" s="10"/>
      <c r="F25" s="10"/>
      <c r="G25" s="19"/>
    </row>
    <row r="26" spans="1:8" ht="22.5" hidden="1">
      <c r="A26" s="20" t="s">
        <v>0</v>
      </c>
      <c r="B26" s="10"/>
      <c r="C26" s="17"/>
      <c r="D26" s="17"/>
      <c r="E26" s="10"/>
      <c r="F26" s="10"/>
      <c r="G26" s="19"/>
    </row>
    <row r="27" spans="1:8" ht="17.649999999999999" hidden="1">
      <c r="A27" s="21"/>
      <c r="B27" s="10"/>
      <c r="C27" s="17"/>
      <c r="D27" s="17"/>
      <c r="E27" s="10"/>
      <c r="F27" s="10"/>
      <c r="G27" s="19"/>
    </row>
    <row r="28" spans="1:8" hidden="1">
      <c r="A28" s="10"/>
      <c r="B28" s="10"/>
      <c r="C28" s="10"/>
      <c r="D28" s="10"/>
      <c r="E28" s="10"/>
      <c r="F28" s="10"/>
      <c r="G28" s="10"/>
    </row>
    <row r="29" spans="1:8" hidden="1">
      <c r="A29" s="10"/>
      <c r="B29" s="10"/>
      <c r="C29" s="10"/>
      <c r="D29" s="10"/>
      <c r="E29" s="10"/>
      <c r="F29" s="10"/>
      <c r="G29" s="10"/>
    </row>
    <row r="30" spans="1:8" ht="15" hidden="1">
      <c r="A30" s="22" t="s">
        <v>20</v>
      </c>
      <c r="C30" s="23">
        <v>2401</v>
      </c>
      <c r="D30" s="10"/>
      <c r="E30" s="10"/>
      <c r="F30" s="10"/>
      <c r="G30" s="10"/>
    </row>
    <row r="31" spans="1:8" ht="15" hidden="1">
      <c r="A31" s="24" t="s">
        <v>21</v>
      </c>
      <c r="C31" s="23">
        <v>50215</v>
      </c>
      <c r="D31" s="10"/>
      <c r="E31" s="10"/>
      <c r="F31" s="10"/>
      <c r="G31" s="10"/>
    </row>
    <row r="32" spans="1:8" ht="15" hidden="1">
      <c r="A32" s="24" t="s">
        <v>22</v>
      </c>
      <c r="B32" s="23"/>
      <c r="D32" s="10"/>
      <c r="E32" s="10"/>
      <c r="F32" s="10"/>
      <c r="G32" s="10"/>
    </row>
    <row r="33" spans="1:9" ht="15" hidden="1">
      <c r="A33" s="24" t="s">
        <v>23</v>
      </c>
      <c r="B33" s="27"/>
      <c r="D33" s="10"/>
      <c r="E33" s="10"/>
      <c r="F33" s="10"/>
      <c r="G33" s="10"/>
    </row>
    <row r="34" spans="1:9" ht="15" hidden="1">
      <c r="B34" s="24"/>
      <c r="C34" s="25"/>
      <c r="D34" s="10"/>
      <c r="E34" s="10"/>
      <c r="F34" s="10"/>
      <c r="G34" s="10"/>
    </row>
    <row r="35" spans="1:9" ht="13.9">
      <c r="A35" s="83" t="s">
        <v>1</v>
      </c>
      <c r="B35" s="10"/>
      <c r="C35" s="10"/>
      <c r="D35" s="10"/>
      <c r="E35" s="10"/>
      <c r="F35" s="10"/>
      <c r="G35" s="10"/>
    </row>
    <row r="36" spans="1:9" ht="13.5">
      <c r="A36" s="43"/>
      <c r="B36" s="44"/>
      <c r="C36" s="44"/>
      <c r="D36" s="44"/>
      <c r="E36" s="44"/>
      <c r="F36" s="44"/>
      <c r="G36" s="44"/>
      <c r="H36" s="45"/>
      <c r="I36" s="46"/>
    </row>
    <row r="37" spans="1:9" ht="13.15" thickBot="1">
      <c r="A37" s="47"/>
      <c r="B37" s="10"/>
      <c r="C37" s="10"/>
      <c r="D37" s="10"/>
      <c r="E37" s="10"/>
      <c r="F37" s="10"/>
      <c r="G37" s="10"/>
      <c r="I37" s="48"/>
    </row>
    <row r="38" spans="1:9" ht="14.25" thickBot="1">
      <c r="A38" s="59" t="s">
        <v>24</v>
      </c>
      <c r="B38" s="59" t="s">
        <v>25</v>
      </c>
      <c r="C38" s="59" t="s">
        <v>26</v>
      </c>
      <c r="D38" s="59" t="s">
        <v>27</v>
      </c>
      <c r="E38" s="59" t="s">
        <v>28</v>
      </c>
      <c r="F38" s="59" t="s">
        <v>40</v>
      </c>
      <c r="G38" s="59" t="s">
        <v>29</v>
      </c>
      <c r="H38" s="60" t="s">
        <v>30</v>
      </c>
      <c r="I38" s="48"/>
    </row>
    <row r="39" spans="1:9" ht="13.5">
      <c r="A39" s="28">
        <v>1</v>
      </c>
      <c r="B39" s="28">
        <v>101111</v>
      </c>
      <c r="C39" s="29" t="s">
        <v>31</v>
      </c>
      <c r="D39" s="28">
        <v>10</v>
      </c>
      <c r="E39" s="57">
        <v>489</v>
      </c>
      <c r="F39" s="56">
        <f>IF(D39&gt;=$A$71,$B$71,$B$70)</f>
        <v>0</v>
      </c>
      <c r="G39" s="57"/>
      <c r="H39" s="57"/>
      <c r="I39" s="48"/>
    </row>
    <row r="40" spans="1:9" ht="13.5">
      <c r="A40" s="61">
        <v>2</v>
      </c>
      <c r="B40" s="61">
        <v>101114</v>
      </c>
      <c r="C40" s="62" t="s">
        <v>41</v>
      </c>
      <c r="D40" s="61">
        <v>25</v>
      </c>
      <c r="E40" s="67">
        <v>98</v>
      </c>
      <c r="F40" s="63">
        <f t="shared" ref="F40:F42" si="0">IF(D40&gt;=$A$71,$B$71,$B$70)</f>
        <v>10</v>
      </c>
      <c r="G40" s="67"/>
      <c r="H40" s="67"/>
      <c r="I40" s="48"/>
    </row>
    <row r="41" spans="1:9" ht="13.5">
      <c r="A41" s="28">
        <v>3</v>
      </c>
      <c r="B41" s="28">
        <v>202111</v>
      </c>
      <c r="C41" s="29" t="s">
        <v>42</v>
      </c>
      <c r="D41" s="28">
        <v>20</v>
      </c>
      <c r="E41" s="57">
        <v>228</v>
      </c>
      <c r="F41" s="30">
        <f t="shared" si="0"/>
        <v>10</v>
      </c>
      <c r="G41" s="57"/>
      <c r="H41" s="57"/>
      <c r="I41" s="48"/>
    </row>
    <row r="42" spans="1:9" ht="13.5">
      <c r="A42" s="61">
        <v>4</v>
      </c>
      <c r="B42" s="61">
        <v>202114</v>
      </c>
      <c r="C42" s="62" t="s">
        <v>46</v>
      </c>
      <c r="D42" s="61">
        <v>15</v>
      </c>
      <c r="E42" s="67">
        <v>349</v>
      </c>
      <c r="F42" s="63">
        <f t="shared" si="0"/>
        <v>0</v>
      </c>
      <c r="G42" s="67"/>
      <c r="H42" s="67"/>
      <c r="I42" s="48"/>
    </row>
    <row r="43" spans="1:9" ht="13.5">
      <c r="A43" s="28"/>
      <c r="B43" s="28"/>
      <c r="C43" s="29"/>
      <c r="D43" s="28"/>
      <c r="E43" s="57"/>
      <c r="F43" s="30"/>
      <c r="G43" s="57"/>
      <c r="H43" s="57"/>
      <c r="I43" s="48"/>
    </row>
    <row r="44" spans="1:9" ht="13.5" hidden="1">
      <c r="A44" s="28"/>
      <c r="B44" s="28"/>
      <c r="C44" s="29"/>
      <c r="D44" s="28"/>
      <c r="E44" s="30"/>
      <c r="F44" s="30"/>
      <c r="G44" s="30"/>
      <c r="H44" s="30"/>
      <c r="I44" s="48"/>
    </row>
    <row r="45" spans="1:9" ht="13.5" hidden="1">
      <c r="A45" s="28"/>
      <c r="B45" s="28"/>
      <c r="C45" s="29"/>
      <c r="D45" s="28"/>
      <c r="E45" s="30"/>
      <c r="F45" s="30"/>
      <c r="G45" s="30"/>
      <c r="H45" s="30"/>
      <c r="I45" s="48"/>
    </row>
    <row r="46" spans="1:9" ht="13.5" hidden="1">
      <c r="A46" s="28"/>
      <c r="B46" s="28"/>
      <c r="C46" s="29"/>
      <c r="D46" s="28"/>
      <c r="E46" s="30"/>
      <c r="F46" s="30"/>
      <c r="G46" s="30"/>
      <c r="H46" s="30"/>
      <c r="I46" s="48"/>
    </row>
    <row r="47" spans="1:9" ht="13.5" hidden="1">
      <c r="A47" s="28"/>
      <c r="B47" s="28"/>
      <c r="C47" s="29"/>
      <c r="D47" s="28"/>
      <c r="E47" s="30"/>
      <c r="F47" s="30"/>
      <c r="G47" s="30"/>
      <c r="H47" s="30"/>
      <c r="I47" s="48"/>
    </row>
    <row r="48" spans="1:9" ht="13.5" hidden="1">
      <c r="A48" s="28"/>
      <c r="B48" s="28"/>
      <c r="C48" s="29"/>
      <c r="D48" s="28"/>
      <c r="E48" s="30"/>
      <c r="F48" s="30"/>
      <c r="G48" s="30"/>
      <c r="H48" s="30"/>
      <c r="I48" s="48"/>
    </row>
    <row r="49" spans="1:9" ht="13.5" hidden="1">
      <c r="A49" s="28"/>
      <c r="B49" s="28"/>
      <c r="C49" s="29"/>
      <c r="D49" s="28"/>
      <c r="E49" s="30"/>
      <c r="F49" s="30"/>
      <c r="G49" s="30"/>
      <c r="H49" s="30"/>
      <c r="I49" s="48"/>
    </row>
    <row r="50" spans="1:9" ht="13.5" hidden="1">
      <c r="A50" s="28"/>
      <c r="B50" s="28"/>
      <c r="C50" s="29"/>
      <c r="D50" s="28"/>
      <c r="E50" s="30"/>
      <c r="F50" s="30"/>
      <c r="G50" s="30"/>
      <c r="H50" s="30"/>
      <c r="I50" s="48"/>
    </row>
    <row r="51" spans="1:9" ht="13.5" hidden="1">
      <c r="A51" s="28"/>
      <c r="B51" s="28"/>
      <c r="C51" s="29"/>
      <c r="D51" s="28"/>
      <c r="E51" s="30"/>
      <c r="F51" s="30"/>
      <c r="G51" s="30"/>
      <c r="H51" s="30"/>
      <c r="I51" s="48"/>
    </row>
    <row r="52" spans="1:9" ht="13.5" hidden="1">
      <c r="A52" s="28"/>
      <c r="B52" s="28"/>
      <c r="C52" s="29"/>
      <c r="D52" s="28"/>
      <c r="E52" s="30"/>
      <c r="F52" s="30"/>
      <c r="G52" s="30"/>
      <c r="H52" s="30"/>
      <c r="I52" s="48"/>
    </row>
    <row r="53" spans="1:9" ht="13.5" hidden="1">
      <c r="A53" s="28"/>
      <c r="B53" s="28"/>
      <c r="C53" s="29"/>
      <c r="D53" s="28"/>
      <c r="E53" s="30"/>
      <c r="F53" s="30"/>
      <c r="G53" s="30"/>
      <c r="H53" s="30"/>
      <c r="I53" s="48"/>
    </row>
    <row r="54" spans="1:9" ht="13.5" hidden="1">
      <c r="A54" s="31"/>
      <c r="B54" s="31"/>
      <c r="C54" s="32"/>
      <c r="D54" s="31"/>
      <c r="E54" s="41"/>
      <c r="F54" s="30"/>
      <c r="G54" s="30"/>
      <c r="H54" s="30"/>
      <c r="I54" s="48"/>
    </row>
    <row r="55" spans="1:9" ht="13.5" hidden="1">
      <c r="A55" s="49"/>
      <c r="B55" s="33"/>
      <c r="C55" s="33"/>
      <c r="D55" s="33"/>
      <c r="F55" s="34" t="s">
        <v>32</v>
      </c>
      <c r="G55" s="35"/>
      <c r="H55" s="36">
        <f>SUM(H39:H54)</f>
        <v>0</v>
      </c>
      <c r="I55" s="48"/>
    </row>
    <row r="56" spans="1:9" ht="13.5" hidden="1">
      <c r="A56" s="49"/>
      <c r="B56" s="33"/>
      <c r="C56" s="33"/>
      <c r="D56" s="33"/>
      <c r="F56" s="98">
        <v>19</v>
      </c>
      <c r="G56" s="99"/>
      <c r="H56" s="36">
        <f>H55*F56/100</f>
        <v>0</v>
      </c>
      <c r="I56" s="48"/>
    </row>
    <row r="57" spans="1:9" ht="13.9" hidden="1">
      <c r="A57" s="49"/>
      <c r="B57" s="33"/>
      <c r="C57" s="33"/>
      <c r="D57" s="33"/>
      <c r="F57" s="37" t="s">
        <v>33</v>
      </c>
      <c r="G57" s="35" t="s">
        <v>34</v>
      </c>
      <c r="H57" s="38">
        <f>H55+H56</f>
        <v>0</v>
      </c>
      <c r="I57" s="48"/>
    </row>
    <row r="58" spans="1:9" ht="13.5" hidden="1">
      <c r="A58" s="50"/>
      <c r="B58" s="22"/>
      <c r="C58" s="22"/>
      <c r="D58" s="22"/>
      <c r="E58" s="22"/>
      <c r="F58" s="22"/>
      <c r="G58" s="22"/>
      <c r="I58" s="48"/>
    </row>
    <row r="59" spans="1:9" ht="13.5" hidden="1">
      <c r="A59" s="50"/>
      <c r="B59" s="22"/>
      <c r="C59" s="22"/>
      <c r="D59" s="22"/>
      <c r="E59" s="22"/>
      <c r="I59" s="48"/>
    </row>
    <row r="60" spans="1:9" ht="13.5" hidden="1">
      <c r="A60" s="51" t="s">
        <v>35</v>
      </c>
      <c r="C60" s="22"/>
      <c r="D60" s="22"/>
      <c r="F60" s="22" t="s">
        <v>36</v>
      </c>
      <c r="I60" s="48"/>
    </row>
    <row r="61" spans="1:9" hidden="1">
      <c r="A61" s="47" t="s">
        <v>37</v>
      </c>
      <c r="B61" s="10"/>
      <c r="C61" s="10"/>
      <c r="D61" s="10"/>
      <c r="F61" s="10" t="s">
        <v>38</v>
      </c>
      <c r="I61" s="48"/>
    </row>
    <row r="62" spans="1:9" hidden="1">
      <c r="A62" s="47"/>
      <c r="B62" s="10"/>
      <c r="C62" s="10"/>
      <c r="D62" s="10"/>
      <c r="F62" s="10" t="s">
        <v>39</v>
      </c>
      <c r="G62" s="10"/>
      <c r="I62" s="48"/>
    </row>
    <row r="63" spans="1:9">
      <c r="A63" s="52"/>
      <c r="B63" s="53"/>
      <c r="C63" s="53"/>
      <c r="D63" s="53"/>
      <c r="E63" s="54"/>
      <c r="F63" s="53"/>
      <c r="G63" s="53"/>
      <c r="H63" s="54"/>
      <c r="I63" s="55"/>
    </row>
    <row r="64" spans="1:9">
      <c r="A64" s="10"/>
      <c r="B64" s="10"/>
      <c r="C64" s="10"/>
      <c r="D64" s="10"/>
      <c r="E64" s="10"/>
      <c r="F64" s="10"/>
      <c r="G64" s="10"/>
    </row>
    <row r="65" spans="1:7">
      <c r="A65" s="10"/>
      <c r="B65" s="10"/>
      <c r="C65" s="10"/>
      <c r="D65" s="10"/>
      <c r="E65" s="10"/>
      <c r="F65" s="10"/>
      <c r="G65" s="10"/>
    </row>
    <row r="66" spans="1:7">
      <c r="A66" s="10"/>
      <c r="B66" s="10"/>
      <c r="C66" s="10"/>
      <c r="D66" s="10"/>
      <c r="E66" s="10"/>
      <c r="F66" s="10"/>
      <c r="G66" s="10"/>
    </row>
    <row r="67" spans="1:7" customFormat="1" ht="13.9">
      <c r="A67" s="78" t="s">
        <v>2</v>
      </c>
      <c r="B67" s="80"/>
    </row>
    <row r="68" spans="1:7" customFormat="1" ht="13.9">
      <c r="A68" s="79"/>
      <c r="B68" s="81"/>
      <c r="C68" s="1"/>
    </row>
    <row r="69" spans="1:7" customFormat="1" ht="27.75">
      <c r="A69" s="76" t="s">
        <v>3</v>
      </c>
      <c r="B69" s="76" t="s">
        <v>4</v>
      </c>
      <c r="C69" s="2"/>
    </row>
    <row r="70" spans="1:7" customFormat="1" ht="13.5">
      <c r="A70" s="77">
        <v>0</v>
      </c>
      <c r="B70" s="82">
        <v>0</v>
      </c>
      <c r="C70" s="2"/>
    </row>
    <row r="71" spans="1:7" customFormat="1" ht="13.5">
      <c r="A71" s="77">
        <v>20</v>
      </c>
      <c r="B71" s="82">
        <v>10</v>
      </c>
      <c r="C71" s="2"/>
    </row>
    <row r="72" spans="1:7" customFormat="1">
      <c r="A72" s="3"/>
      <c r="B72" s="4"/>
      <c r="C72" s="5"/>
    </row>
    <row r="73" spans="1:7" customFormat="1"/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73"/>
  <sheetViews>
    <sheetView showGridLines="0" topLeftCell="A35" zoomScale="85" zoomScaleNormal="85" workbookViewId="0">
      <selection activeCell="C42" sqref="C42"/>
    </sheetView>
  </sheetViews>
  <sheetFormatPr baseColWidth="10" defaultColWidth="11.46484375" defaultRowHeight="12.75"/>
  <cols>
    <col min="1" max="1" width="10.19921875" style="11" customWidth="1"/>
    <col min="2" max="2" width="14.53125" style="11" customWidth="1"/>
    <col min="3" max="3" width="30.73046875" style="11" customWidth="1"/>
    <col min="4" max="4" width="12.19921875" style="11" customWidth="1"/>
    <col min="5" max="5" width="16.19921875" style="11" customWidth="1"/>
    <col min="6" max="6" width="15.19921875" style="11" customWidth="1"/>
    <col min="7" max="7" width="16.19921875" style="11" customWidth="1"/>
    <col min="8" max="8" width="16.265625" style="11" customWidth="1"/>
    <col min="9" max="9" width="3.19921875" style="11" customWidth="1"/>
    <col min="10" max="10" width="22.46484375" style="11" customWidth="1"/>
    <col min="11" max="16384" width="11.46484375" style="11"/>
  </cols>
  <sheetData>
    <row r="1" spans="1:8" hidden="1">
      <c r="A1" s="10"/>
      <c r="B1" s="10"/>
      <c r="C1" s="10"/>
      <c r="D1" s="10"/>
      <c r="E1" s="10"/>
      <c r="F1" s="10"/>
      <c r="G1" s="10"/>
    </row>
    <row r="2" spans="1:8" hidden="1">
      <c r="A2" s="10"/>
      <c r="B2" s="10"/>
      <c r="C2" s="10"/>
      <c r="D2" s="10"/>
      <c r="E2" s="10"/>
      <c r="F2" s="10"/>
      <c r="G2" s="10"/>
    </row>
    <row r="3" spans="1:8" hidden="1">
      <c r="A3" s="10"/>
      <c r="B3" s="10"/>
      <c r="C3" s="10"/>
      <c r="D3" s="10"/>
      <c r="E3" s="10"/>
      <c r="F3" s="10"/>
      <c r="G3" s="10"/>
    </row>
    <row r="4" spans="1:8" hidden="1">
      <c r="A4" s="10"/>
      <c r="B4" s="10"/>
      <c r="C4" s="10"/>
      <c r="D4" s="10"/>
      <c r="E4" s="10"/>
      <c r="F4" s="10"/>
      <c r="G4" s="10"/>
    </row>
    <row r="5" spans="1:8" hidden="1">
      <c r="A5" s="10"/>
      <c r="B5" s="10"/>
      <c r="C5" s="10"/>
      <c r="D5" s="10"/>
      <c r="E5" s="10"/>
      <c r="F5" s="10"/>
      <c r="G5" s="10"/>
    </row>
    <row r="6" spans="1:8" hidden="1">
      <c r="A6" s="95"/>
      <c r="B6" s="95"/>
      <c r="C6" s="95"/>
      <c r="D6" s="95"/>
      <c r="E6" s="95"/>
      <c r="F6" s="95"/>
      <c r="G6" s="95"/>
    </row>
    <row r="7" spans="1:8" hidden="1">
      <c r="A7" s="10"/>
      <c r="B7" s="10"/>
      <c r="C7" s="10"/>
      <c r="D7" s="10"/>
      <c r="E7" s="10"/>
      <c r="F7" s="10"/>
      <c r="G7" s="10"/>
    </row>
    <row r="8" spans="1:8" ht="18" hidden="1" customHeight="1">
      <c r="A8" s="100" t="s">
        <v>8</v>
      </c>
      <c r="B8" s="100"/>
      <c r="C8" s="100"/>
      <c r="D8" s="100"/>
      <c r="E8" s="100"/>
      <c r="F8" s="100"/>
      <c r="G8" s="100"/>
      <c r="H8" s="100"/>
    </row>
    <row r="9" spans="1:8" hidden="1">
      <c r="A9" s="10"/>
      <c r="B9" s="10"/>
      <c r="C9" s="10"/>
      <c r="D9" s="10"/>
      <c r="E9" s="10"/>
      <c r="F9" s="10"/>
      <c r="G9" s="10"/>
    </row>
    <row r="10" spans="1:8" hidden="1">
      <c r="A10" s="10"/>
      <c r="B10" s="10"/>
      <c r="C10" s="10"/>
      <c r="D10" s="10"/>
      <c r="E10" s="10"/>
      <c r="F10" s="10"/>
      <c r="G10" s="10"/>
    </row>
    <row r="11" spans="1:8" hidden="1">
      <c r="A11" s="12" t="s">
        <v>44</v>
      </c>
      <c r="B11" s="10"/>
      <c r="C11" s="10"/>
      <c r="D11" s="10"/>
      <c r="E11" s="13"/>
      <c r="F11" s="13"/>
      <c r="G11" s="14"/>
    </row>
    <row r="12" spans="1:8" hidden="1">
      <c r="A12" s="10"/>
      <c r="B12" s="10"/>
      <c r="C12" s="10"/>
      <c r="D12" s="10"/>
      <c r="E12" s="13"/>
      <c r="F12" s="13"/>
      <c r="G12" s="14"/>
    </row>
    <row r="13" spans="1:8" ht="15" hidden="1">
      <c r="A13" s="15"/>
      <c r="C13" s="10"/>
      <c r="D13" s="10"/>
      <c r="E13" s="13"/>
      <c r="F13" s="13"/>
      <c r="G13" s="14"/>
    </row>
    <row r="14" spans="1:8" ht="15" hidden="1">
      <c r="A14" s="16" t="s">
        <v>10</v>
      </c>
      <c r="B14" s="16"/>
      <c r="C14" s="10"/>
      <c r="D14" s="10"/>
      <c r="E14" s="13"/>
      <c r="F14" s="13"/>
      <c r="G14" s="14"/>
    </row>
    <row r="15" spans="1:8" ht="15" hidden="1">
      <c r="A15" s="16" t="s">
        <v>11</v>
      </c>
      <c r="B15" s="16"/>
      <c r="C15" s="10"/>
      <c r="D15" s="10"/>
      <c r="E15" s="13"/>
      <c r="F15" s="13"/>
      <c r="G15" s="14"/>
    </row>
    <row r="16" spans="1:8" ht="15" hidden="1">
      <c r="A16" s="16" t="s">
        <v>12</v>
      </c>
      <c r="B16" s="16"/>
      <c r="C16" s="10"/>
      <c r="D16" s="10"/>
      <c r="E16" s="13"/>
      <c r="F16" s="13"/>
      <c r="G16" s="14"/>
    </row>
    <row r="17" spans="1:8" ht="15" hidden="1">
      <c r="A17" s="16" t="s">
        <v>43</v>
      </c>
      <c r="B17" s="16"/>
      <c r="C17" s="10"/>
      <c r="D17" s="10"/>
      <c r="E17" s="13"/>
      <c r="F17" s="13"/>
      <c r="G17" s="14"/>
    </row>
    <row r="18" spans="1:8" ht="15" hidden="1">
      <c r="A18" s="97"/>
      <c r="B18" s="97"/>
      <c r="C18" s="10"/>
      <c r="D18" s="10"/>
      <c r="E18" s="14"/>
      <c r="F18" s="14"/>
      <c r="G18" s="14"/>
    </row>
    <row r="19" spans="1:8" ht="15" hidden="1">
      <c r="A19" s="97"/>
      <c r="B19" s="97"/>
      <c r="C19" s="10"/>
      <c r="D19" s="10"/>
      <c r="E19" s="14"/>
      <c r="F19" s="14"/>
      <c r="G19" s="14"/>
    </row>
    <row r="20" spans="1:8" hidden="1">
      <c r="A20" s="10"/>
      <c r="B20" s="10"/>
      <c r="C20" s="10"/>
      <c r="D20" s="10"/>
      <c r="E20" s="14"/>
      <c r="F20" s="14"/>
      <c r="G20" s="14"/>
    </row>
    <row r="21" spans="1:8" hidden="1">
      <c r="A21" s="10"/>
      <c r="B21" s="10"/>
      <c r="C21" s="10"/>
      <c r="D21" s="10"/>
      <c r="E21" s="10"/>
      <c r="F21" s="10"/>
      <c r="G21" s="10"/>
    </row>
    <row r="22" spans="1:8" hidden="1">
      <c r="A22" s="17" t="s">
        <v>13</v>
      </c>
      <c r="B22" s="17" t="s">
        <v>6</v>
      </c>
      <c r="C22" s="17" t="s">
        <v>14</v>
      </c>
      <c r="D22" s="17" t="s">
        <v>15</v>
      </c>
      <c r="F22" s="17" t="s">
        <v>16</v>
      </c>
      <c r="H22" s="17" t="s">
        <v>7</v>
      </c>
    </row>
    <row r="23" spans="1:8" ht="12.75" hidden="1" customHeight="1">
      <c r="A23" s="10"/>
      <c r="B23" s="10"/>
      <c r="C23" s="10" t="s">
        <v>17</v>
      </c>
      <c r="D23" s="40" t="s">
        <v>18</v>
      </c>
      <c r="F23" s="11" t="s">
        <v>19</v>
      </c>
      <c r="H23" s="26">
        <f ca="1">TODAY()</f>
        <v>45512</v>
      </c>
    </row>
    <row r="24" spans="1:8" hidden="1">
      <c r="A24" s="17"/>
      <c r="B24" s="17"/>
      <c r="C24" s="17"/>
      <c r="D24" s="39"/>
      <c r="E24" s="10"/>
      <c r="F24" s="18"/>
      <c r="G24" s="10"/>
    </row>
    <row r="25" spans="1:8" hidden="1">
      <c r="A25" s="17"/>
      <c r="B25" s="17"/>
      <c r="C25" s="17"/>
      <c r="D25" s="17"/>
      <c r="E25" s="10"/>
      <c r="F25" s="10"/>
      <c r="G25" s="19"/>
    </row>
    <row r="26" spans="1:8" ht="22.5" hidden="1">
      <c r="A26" s="20" t="s">
        <v>0</v>
      </c>
      <c r="B26" s="10"/>
      <c r="C26" s="17"/>
      <c r="D26" s="17"/>
      <c r="E26" s="10"/>
      <c r="F26" s="10"/>
      <c r="G26" s="19"/>
    </row>
    <row r="27" spans="1:8" ht="17.649999999999999" hidden="1">
      <c r="A27" s="21"/>
      <c r="B27" s="10"/>
      <c r="C27" s="17"/>
      <c r="D27" s="17"/>
      <c r="E27" s="10"/>
      <c r="F27" s="10"/>
      <c r="G27" s="19"/>
    </row>
    <row r="28" spans="1:8" hidden="1">
      <c r="A28" s="10"/>
      <c r="B28" s="10"/>
      <c r="C28" s="10"/>
      <c r="D28" s="10"/>
      <c r="E28" s="10"/>
      <c r="F28" s="10"/>
      <c r="G28" s="10"/>
    </row>
    <row r="29" spans="1:8" hidden="1">
      <c r="A29" s="10"/>
      <c r="B29" s="10"/>
      <c r="C29" s="10"/>
      <c r="D29" s="10"/>
      <c r="E29" s="10"/>
      <c r="F29" s="10"/>
      <c r="G29" s="10"/>
    </row>
    <row r="30" spans="1:8" ht="15" hidden="1">
      <c r="A30" s="22" t="s">
        <v>20</v>
      </c>
      <c r="C30" s="23">
        <v>2401</v>
      </c>
      <c r="D30" s="10"/>
      <c r="E30" s="10"/>
      <c r="F30" s="10"/>
      <c r="G30" s="10"/>
    </row>
    <row r="31" spans="1:8" ht="15" hidden="1">
      <c r="A31" s="24" t="s">
        <v>21</v>
      </c>
      <c r="C31" s="23">
        <v>50215</v>
      </c>
      <c r="D31" s="10"/>
      <c r="E31" s="10"/>
      <c r="F31" s="10"/>
      <c r="G31" s="10"/>
    </row>
    <row r="32" spans="1:8" ht="15" hidden="1">
      <c r="A32" s="24" t="s">
        <v>22</v>
      </c>
      <c r="B32" s="23"/>
      <c r="D32" s="10"/>
      <c r="E32" s="10"/>
      <c r="F32" s="10"/>
      <c r="G32" s="10"/>
    </row>
    <row r="33" spans="1:10" ht="15" hidden="1">
      <c r="A33" s="24" t="s">
        <v>23</v>
      </c>
      <c r="B33" s="27"/>
      <c r="D33" s="10"/>
      <c r="E33" s="10"/>
      <c r="F33" s="10"/>
      <c r="G33" s="10"/>
    </row>
    <row r="34" spans="1:10" ht="15" hidden="1">
      <c r="B34" s="24"/>
      <c r="C34" s="25"/>
      <c r="D34" s="10"/>
      <c r="E34" s="10"/>
      <c r="F34" s="10"/>
      <c r="G34" s="10"/>
    </row>
    <row r="35" spans="1:10" ht="13.9">
      <c r="A35" s="83" t="s">
        <v>1</v>
      </c>
      <c r="B35" s="10"/>
      <c r="C35" s="22"/>
      <c r="D35" s="10"/>
      <c r="E35" s="10"/>
      <c r="F35" s="10"/>
      <c r="G35" s="10"/>
    </row>
    <row r="36" spans="1:10" ht="13.5">
      <c r="A36" s="43"/>
      <c r="B36" s="44"/>
      <c r="C36" s="44"/>
      <c r="D36" s="44"/>
      <c r="E36" s="44"/>
      <c r="F36" s="44"/>
      <c r="G36" s="44"/>
      <c r="H36" s="45"/>
      <c r="I36" s="46"/>
    </row>
    <row r="37" spans="1:10" ht="13.15" thickBot="1">
      <c r="A37" s="47"/>
      <c r="B37" s="10"/>
      <c r="C37" s="10"/>
      <c r="D37" s="10"/>
      <c r="E37" s="10"/>
      <c r="F37" s="10"/>
      <c r="G37" s="10"/>
      <c r="I37" s="48"/>
    </row>
    <row r="38" spans="1:10" ht="14.25" thickBot="1">
      <c r="A38" s="59" t="s">
        <v>24</v>
      </c>
      <c r="B38" s="59" t="s">
        <v>25</v>
      </c>
      <c r="C38" s="59" t="s">
        <v>26</v>
      </c>
      <c r="D38" s="59" t="s">
        <v>27</v>
      </c>
      <c r="E38" s="59" t="s">
        <v>28</v>
      </c>
      <c r="F38" s="59" t="s">
        <v>40</v>
      </c>
      <c r="G38" s="59" t="s">
        <v>29</v>
      </c>
      <c r="H38" s="60" t="s">
        <v>30</v>
      </c>
      <c r="I38" s="48"/>
      <c r="J38" s="60" t="s">
        <v>5</v>
      </c>
    </row>
    <row r="39" spans="1:10" ht="13.5">
      <c r="A39" s="28">
        <v>1</v>
      </c>
      <c r="B39" s="28">
        <v>101111</v>
      </c>
      <c r="C39" s="29" t="s">
        <v>31</v>
      </c>
      <c r="D39" s="28">
        <v>10</v>
      </c>
      <c r="E39" s="57">
        <v>489</v>
      </c>
      <c r="F39" s="56">
        <f>IF(D39&gt;=$A$71,$B$71,$B$70)</f>
        <v>0</v>
      </c>
      <c r="G39" s="57">
        <f>D39*E39*F39/100</f>
        <v>0</v>
      </c>
      <c r="H39" s="57">
        <f>D39*E39-G39</f>
        <v>4890</v>
      </c>
      <c r="I39" s="48"/>
      <c r="J39" s="8" t="str">
        <f>IF(H39=MAX($H$39:$H$42),"umsatzstärkster Artikel","")</f>
        <v/>
      </c>
    </row>
    <row r="40" spans="1:10" ht="13.5">
      <c r="A40" s="61">
        <v>2</v>
      </c>
      <c r="B40" s="61">
        <v>101114</v>
      </c>
      <c r="C40" s="62" t="s">
        <v>41</v>
      </c>
      <c r="D40" s="61">
        <v>25</v>
      </c>
      <c r="E40" s="67">
        <v>98</v>
      </c>
      <c r="F40" s="63">
        <f t="shared" ref="F40:F42" si="0">IF(D40&gt;=$A$71,$B$71,$B$70)</f>
        <v>10</v>
      </c>
      <c r="G40" s="67">
        <f t="shared" ref="G40:G42" si="1">D40*E40*F40/100</f>
        <v>245</v>
      </c>
      <c r="H40" s="67">
        <f t="shared" ref="H40:H42" si="2">D40*E40-G40</f>
        <v>2205</v>
      </c>
      <c r="I40" s="48"/>
      <c r="J40" s="7" t="str">
        <f t="shared" ref="J40:J42" si="3">IF(H40=MAX($H$39:$H$42),"umsatzstärkster Artikel","")</f>
        <v/>
      </c>
    </row>
    <row r="41" spans="1:10" ht="13.5">
      <c r="A41" s="28">
        <v>3</v>
      </c>
      <c r="B41" s="28">
        <v>202111</v>
      </c>
      <c r="C41" s="29" t="s">
        <v>42</v>
      </c>
      <c r="D41" s="28">
        <v>20</v>
      </c>
      <c r="E41" s="57">
        <v>228</v>
      </c>
      <c r="F41" s="30">
        <f t="shared" si="0"/>
        <v>10</v>
      </c>
      <c r="G41" s="57">
        <f t="shared" si="1"/>
        <v>456</v>
      </c>
      <c r="H41" s="57">
        <f t="shared" si="2"/>
        <v>4104</v>
      </c>
      <c r="I41" s="48"/>
      <c r="J41" s="6" t="str">
        <f t="shared" si="3"/>
        <v/>
      </c>
    </row>
    <row r="42" spans="1:10" ht="13.5">
      <c r="A42" s="61">
        <v>4</v>
      </c>
      <c r="B42" s="61">
        <v>202114</v>
      </c>
      <c r="C42" s="62" t="s">
        <v>46</v>
      </c>
      <c r="D42" s="61">
        <v>15</v>
      </c>
      <c r="E42" s="67">
        <v>349</v>
      </c>
      <c r="F42" s="63">
        <f t="shared" si="0"/>
        <v>0</v>
      </c>
      <c r="G42" s="67">
        <f t="shared" si="1"/>
        <v>0</v>
      </c>
      <c r="H42" s="67">
        <f t="shared" si="2"/>
        <v>5235</v>
      </c>
      <c r="I42" s="48"/>
      <c r="J42" s="93" t="str">
        <f t="shared" si="3"/>
        <v>umsatzstärkster Artikel</v>
      </c>
    </row>
    <row r="43" spans="1:10" ht="13.5">
      <c r="A43" s="28"/>
      <c r="B43" s="28"/>
      <c r="C43" s="29"/>
      <c r="D43" s="28"/>
      <c r="E43" s="57"/>
      <c r="F43" s="30"/>
      <c r="G43" s="57"/>
      <c r="H43" s="57"/>
      <c r="I43" s="48"/>
    </row>
    <row r="44" spans="1:10" ht="13.5" hidden="1">
      <c r="A44" s="28"/>
      <c r="B44" s="28"/>
      <c r="C44" s="29"/>
      <c r="D44" s="28"/>
      <c r="E44" s="30"/>
      <c r="F44" s="30"/>
      <c r="G44" s="30"/>
      <c r="H44" s="30"/>
      <c r="I44" s="48"/>
    </row>
    <row r="45" spans="1:10" ht="13.5" hidden="1">
      <c r="A45" s="28"/>
      <c r="B45" s="28"/>
      <c r="C45" s="29"/>
      <c r="D45" s="28"/>
      <c r="E45" s="30"/>
      <c r="F45" s="30"/>
      <c r="G45" s="30"/>
      <c r="H45" s="30"/>
      <c r="I45" s="48"/>
    </row>
    <row r="46" spans="1:10" ht="13.5" hidden="1">
      <c r="A46" s="28"/>
      <c r="B46" s="28"/>
      <c r="C46" s="29"/>
      <c r="D46" s="28"/>
      <c r="E46" s="30"/>
      <c r="F46" s="30"/>
      <c r="G46" s="30"/>
      <c r="H46" s="30"/>
      <c r="I46" s="48"/>
    </row>
    <row r="47" spans="1:10" ht="13.5" hidden="1">
      <c r="A47" s="28"/>
      <c r="B47" s="28"/>
      <c r="C47" s="29"/>
      <c r="D47" s="28"/>
      <c r="E47" s="30"/>
      <c r="F47" s="30"/>
      <c r="G47" s="30"/>
      <c r="H47" s="30"/>
      <c r="I47" s="48"/>
    </row>
    <row r="48" spans="1:10" ht="13.5" hidden="1">
      <c r="A48" s="28"/>
      <c r="B48" s="28"/>
      <c r="C48" s="29"/>
      <c r="D48" s="28"/>
      <c r="E48" s="30"/>
      <c r="F48" s="30"/>
      <c r="G48" s="30"/>
      <c r="H48" s="30"/>
      <c r="I48" s="48"/>
    </row>
    <row r="49" spans="1:9" ht="13.5" hidden="1">
      <c r="A49" s="28"/>
      <c r="B49" s="28"/>
      <c r="C49" s="29"/>
      <c r="D49" s="28"/>
      <c r="E49" s="30"/>
      <c r="F49" s="30"/>
      <c r="G49" s="30"/>
      <c r="H49" s="30"/>
      <c r="I49" s="48"/>
    </row>
    <row r="50" spans="1:9" ht="13.5" hidden="1">
      <c r="A50" s="28"/>
      <c r="B50" s="28"/>
      <c r="C50" s="29"/>
      <c r="D50" s="28"/>
      <c r="E50" s="30"/>
      <c r="F50" s="30"/>
      <c r="G50" s="30"/>
      <c r="H50" s="30"/>
      <c r="I50" s="48"/>
    </row>
    <row r="51" spans="1:9" ht="13.5" hidden="1">
      <c r="A51" s="28"/>
      <c r="B51" s="28"/>
      <c r="C51" s="29"/>
      <c r="D51" s="28"/>
      <c r="E51" s="30"/>
      <c r="F51" s="30"/>
      <c r="G51" s="30"/>
      <c r="H51" s="30"/>
      <c r="I51" s="48"/>
    </row>
    <row r="52" spans="1:9" ht="13.5" hidden="1">
      <c r="A52" s="28"/>
      <c r="B52" s="28"/>
      <c r="C52" s="29"/>
      <c r="D52" s="28"/>
      <c r="E52" s="30"/>
      <c r="F52" s="30"/>
      <c r="G52" s="30"/>
      <c r="H52" s="30"/>
      <c r="I52" s="48"/>
    </row>
    <row r="53" spans="1:9" ht="13.5" hidden="1">
      <c r="A53" s="28"/>
      <c r="B53" s="28"/>
      <c r="C53" s="29"/>
      <c r="D53" s="28"/>
      <c r="E53" s="30"/>
      <c r="F53" s="30"/>
      <c r="G53" s="30"/>
      <c r="H53" s="30"/>
      <c r="I53" s="48"/>
    </row>
    <row r="54" spans="1:9" ht="13.5" hidden="1">
      <c r="A54" s="31"/>
      <c r="B54" s="31"/>
      <c r="C54" s="32"/>
      <c r="D54" s="31"/>
      <c r="E54" s="41"/>
      <c r="F54" s="30"/>
      <c r="G54" s="30"/>
      <c r="H54" s="30"/>
      <c r="I54" s="48"/>
    </row>
    <row r="55" spans="1:9" ht="13.5" hidden="1">
      <c r="A55" s="49"/>
      <c r="B55" s="33"/>
      <c r="C55" s="33"/>
      <c r="D55" s="33"/>
      <c r="F55" s="34" t="s">
        <v>32</v>
      </c>
      <c r="G55" s="35"/>
      <c r="H55" s="91">
        <f>SUM(H39:H54)</f>
        <v>16434</v>
      </c>
      <c r="I55" s="48"/>
    </row>
    <row r="56" spans="1:9" ht="13.5" hidden="1">
      <c r="A56" s="49"/>
      <c r="B56" s="33"/>
      <c r="C56" s="33"/>
      <c r="D56" s="33"/>
      <c r="F56" s="98">
        <v>19</v>
      </c>
      <c r="G56" s="99"/>
      <c r="H56" s="91">
        <f>H55*F56/100</f>
        <v>3122.46</v>
      </c>
      <c r="I56" s="48"/>
    </row>
    <row r="57" spans="1:9" ht="13.9" hidden="1">
      <c r="A57" s="49"/>
      <c r="B57" s="33"/>
      <c r="C57" s="33"/>
      <c r="D57" s="33"/>
      <c r="F57" s="37" t="s">
        <v>33</v>
      </c>
      <c r="G57" s="35" t="s">
        <v>34</v>
      </c>
      <c r="H57" s="92">
        <f>H55+H56</f>
        <v>19556.46</v>
      </c>
      <c r="I57" s="48"/>
    </row>
    <row r="58" spans="1:9" ht="13.5" hidden="1">
      <c r="A58" s="50"/>
      <c r="B58" s="22"/>
      <c r="C58" s="22"/>
      <c r="D58" s="22"/>
      <c r="E58" s="22"/>
      <c r="F58" s="22"/>
      <c r="G58" s="22"/>
      <c r="I58" s="48"/>
    </row>
    <row r="59" spans="1:9" ht="13.5" hidden="1">
      <c r="A59" s="50"/>
      <c r="B59" s="22"/>
      <c r="C59" s="22"/>
      <c r="D59" s="22"/>
      <c r="E59" s="22"/>
      <c r="I59" s="48"/>
    </row>
    <row r="60" spans="1:9" ht="13.5" hidden="1">
      <c r="A60" s="51" t="s">
        <v>35</v>
      </c>
      <c r="C60" s="22"/>
      <c r="D60" s="22"/>
      <c r="F60" s="22" t="s">
        <v>36</v>
      </c>
      <c r="I60" s="48"/>
    </row>
    <row r="61" spans="1:9" hidden="1">
      <c r="A61" s="47" t="s">
        <v>37</v>
      </c>
      <c r="B61" s="10"/>
      <c r="C61" s="10"/>
      <c r="D61" s="10"/>
      <c r="F61" s="10" t="s">
        <v>38</v>
      </c>
      <c r="I61" s="48"/>
    </row>
    <row r="62" spans="1:9" hidden="1">
      <c r="A62" s="47"/>
      <c r="B62" s="10"/>
      <c r="C62" s="10"/>
      <c r="D62" s="10"/>
      <c r="F62" s="10" t="s">
        <v>39</v>
      </c>
      <c r="G62" s="10"/>
      <c r="I62" s="48"/>
    </row>
    <row r="63" spans="1:9">
      <c r="A63" s="52"/>
      <c r="B63" s="53"/>
      <c r="C63" s="53"/>
      <c r="D63" s="53"/>
      <c r="E63" s="54"/>
      <c r="F63" s="53"/>
      <c r="G63" s="53"/>
      <c r="H63" s="54"/>
      <c r="I63" s="55"/>
    </row>
    <row r="64" spans="1:9">
      <c r="A64" s="10"/>
      <c r="B64" s="10"/>
      <c r="C64" s="10"/>
      <c r="D64" s="10"/>
      <c r="E64" s="10"/>
      <c r="F64" s="10"/>
      <c r="G64" s="10"/>
    </row>
    <row r="65" spans="1:7">
      <c r="A65" s="10"/>
      <c r="B65" s="10"/>
      <c r="C65" s="10"/>
      <c r="D65" s="10"/>
      <c r="E65" s="10"/>
      <c r="F65" s="10"/>
      <c r="G65" s="10"/>
    </row>
    <row r="66" spans="1:7">
      <c r="A66" s="10"/>
      <c r="B66" s="10"/>
      <c r="C66" s="10"/>
      <c r="D66" s="10"/>
      <c r="E66" s="10"/>
      <c r="F66" s="10"/>
      <c r="G66" s="10"/>
    </row>
    <row r="67" spans="1:7" customFormat="1" ht="15">
      <c r="A67" s="84" t="s">
        <v>2</v>
      </c>
      <c r="B67" s="85"/>
    </row>
    <row r="68" spans="1:7" customFormat="1" ht="15">
      <c r="A68" s="9"/>
      <c r="B68" s="86"/>
      <c r="C68" s="1"/>
    </row>
    <row r="69" spans="1:7" customFormat="1" ht="30">
      <c r="A69" s="87" t="s">
        <v>3</v>
      </c>
      <c r="B69" s="87" t="s">
        <v>4</v>
      </c>
      <c r="C69" s="2"/>
    </row>
    <row r="70" spans="1:7" customFormat="1" ht="15">
      <c r="A70" s="88">
        <v>0</v>
      </c>
      <c r="B70" s="89">
        <v>0</v>
      </c>
      <c r="C70" s="2"/>
    </row>
    <row r="71" spans="1:7" customFormat="1" ht="15">
      <c r="A71" s="88">
        <v>20</v>
      </c>
      <c r="B71" s="89">
        <v>10</v>
      </c>
      <c r="C71" s="2"/>
    </row>
    <row r="72" spans="1:7" customFormat="1">
      <c r="A72" s="3"/>
      <c r="B72" s="4"/>
      <c r="C72" s="5"/>
    </row>
    <row r="73" spans="1:7" customFormat="1"/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73"/>
  <sheetViews>
    <sheetView showGridLines="0" topLeftCell="A35" zoomScaleNormal="100" workbookViewId="0">
      <selection activeCell="C42" sqref="C42"/>
    </sheetView>
  </sheetViews>
  <sheetFormatPr baseColWidth="10" defaultColWidth="11.46484375" defaultRowHeight="12.75"/>
  <cols>
    <col min="1" max="1" width="8.46484375" style="11" customWidth="1"/>
    <col min="2" max="2" width="14.53125" style="11" customWidth="1"/>
    <col min="3" max="3" width="30.73046875" style="11" customWidth="1"/>
    <col min="4" max="4" width="11.73046875" style="11" customWidth="1"/>
    <col min="5" max="5" width="16.19921875" style="11" customWidth="1"/>
    <col min="6" max="6" width="16.796875" style="11" customWidth="1"/>
    <col min="7" max="7" width="16.19921875" style="11" customWidth="1"/>
    <col min="8" max="8" width="16.265625" style="11" customWidth="1"/>
    <col min="9" max="9" width="3.19921875" style="11" customWidth="1"/>
    <col min="10" max="16384" width="11.46484375" style="11"/>
  </cols>
  <sheetData>
    <row r="1" spans="1:8" hidden="1">
      <c r="A1" s="10"/>
      <c r="B1" s="10"/>
      <c r="C1" s="10"/>
      <c r="D1" s="10"/>
      <c r="E1" s="10"/>
      <c r="F1" s="10"/>
      <c r="G1" s="10"/>
    </row>
    <row r="2" spans="1:8" hidden="1">
      <c r="A2" s="10"/>
      <c r="B2" s="10"/>
      <c r="C2" s="10"/>
      <c r="D2" s="10"/>
      <c r="E2" s="10"/>
      <c r="F2" s="10"/>
      <c r="G2" s="10"/>
    </row>
    <row r="3" spans="1:8" hidden="1">
      <c r="A3" s="10"/>
      <c r="B3" s="10"/>
      <c r="C3" s="10"/>
      <c r="D3" s="10"/>
      <c r="E3" s="10"/>
      <c r="F3" s="10"/>
      <c r="G3" s="10"/>
    </row>
    <row r="4" spans="1:8" hidden="1">
      <c r="A4" s="10"/>
      <c r="B4" s="10"/>
      <c r="C4" s="10"/>
      <c r="D4" s="10"/>
      <c r="E4" s="10"/>
      <c r="F4" s="10"/>
      <c r="G4" s="10"/>
    </row>
    <row r="5" spans="1:8" hidden="1">
      <c r="A5" s="10"/>
      <c r="B5" s="10"/>
      <c r="C5" s="10"/>
      <c r="D5" s="10"/>
      <c r="E5" s="10"/>
      <c r="F5" s="10"/>
      <c r="G5" s="10"/>
    </row>
    <row r="6" spans="1:8" hidden="1">
      <c r="A6" s="95"/>
      <c r="B6" s="95"/>
      <c r="C6" s="95"/>
      <c r="D6" s="95"/>
      <c r="E6" s="95"/>
      <c r="F6" s="95"/>
      <c r="G6" s="95"/>
    </row>
    <row r="7" spans="1:8" hidden="1">
      <c r="A7" s="10"/>
      <c r="B7" s="10"/>
      <c r="C7" s="10"/>
      <c r="D7" s="10"/>
      <c r="E7" s="10"/>
      <c r="F7" s="10"/>
      <c r="G7" s="10"/>
    </row>
    <row r="8" spans="1:8" ht="15" hidden="1">
      <c r="A8" s="96" t="s">
        <v>8</v>
      </c>
      <c r="B8" s="96"/>
      <c r="C8" s="96"/>
      <c r="D8" s="96"/>
      <c r="E8" s="96"/>
      <c r="F8" s="96"/>
      <c r="G8" s="96"/>
      <c r="H8" s="96"/>
    </row>
    <row r="9" spans="1:8" hidden="1">
      <c r="A9" s="10"/>
      <c r="B9" s="10"/>
      <c r="C9" s="10"/>
      <c r="D9" s="10"/>
      <c r="E9" s="10"/>
      <c r="F9" s="10"/>
      <c r="G9" s="10"/>
    </row>
    <row r="10" spans="1:8" hidden="1">
      <c r="A10" s="10"/>
      <c r="B10" s="10"/>
      <c r="C10" s="10"/>
      <c r="D10" s="10"/>
      <c r="E10" s="10"/>
      <c r="F10" s="10"/>
      <c r="G10" s="10"/>
    </row>
    <row r="11" spans="1:8" hidden="1">
      <c r="A11" s="12" t="s">
        <v>9</v>
      </c>
      <c r="B11" s="10"/>
      <c r="C11" s="10"/>
      <c r="D11" s="10"/>
      <c r="E11" s="13"/>
      <c r="F11" s="13"/>
      <c r="G11" s="14"/>
    </row>
    <row r="12" spans="1:8" hidden="1">
      <c r="A12" s="10"/>
      <c r="B12" s="10"/>
      <c r="C12" s="10"/>
      <c r="D12" s="10"/>
      <c r="E12" s="13"/>
      <c r="F12" s="13"/>
      <c r="G12" s="14"/>
    </row>
    <row r="13" spans="1:8" ht="15" hidden="1">
      <c r="A13" s="15"/>
      <c r="C13" s="10"/>
      <c r="D13" s="10"/>
      <c r="E13" s="13"/>
      <c r="F13" s="13"/>
      <c r="G13" s="14"/>
    </row>
    <row r="14" spans="1:8" ht="15" hidden="1">
      <c r="A14" s="16" t="s">
        <v>10</v>
      </c>
      <c r="B14" s="16"/>
      <c r="C14" s="10"/>
      <c r="D14" s="10"/>
      <c r="E14" s="13"/>
      <c r="F14" s="13"/>
      <c r="G14" s="14"/>
    </row>
    <row r="15" spans="1:8" ht="15" hidden="1">
      <c r="A15" s="16" t="s">
        <v>11</v>
      </c>
      <c r="B15" s="16"/>
      <c r="C15" s="10"/>
      <c r="D15" s="10"/>
      <c r="E15" s="13"/>
      <c r="F15" s="13"/>
      <c r="G15" s="14"/>
    </row>
    <row r="16" spans="1:8" ht="15" hidden="1">
      <c r="A16" s="16" t="s">
        <v>12</v>
      </c>
      <c r="B16" s="16"/>
      <c r="C16" s="10"/>
      <c r="D16" s="10"/>
      <c r="E16" s="13"/>
      <c r="F16" s="13"/>
      <c r="G16" s="14"/>
    </row>
    <row r="17" spans="1:8" ht="15" hidden="1">
      <c r="A17" s="16" t="s">
        <v>43</v>
      </c>
      <c r="B17" s="16"/>
      <c r="C17" s="10"/>
      <c r="D17" s="10"/>
      <c r="E17" s="13"/>
      <c r="F17" s="13"/>
      <c r="G17" s="14"/>
    </row>
    <row r="18" spans="1:8" ht="15" hidden="1">
      <c r="A18" s="97"/>
      <c r="B18" s="97"/>
      <c r="C18" s="10"/>
      <c r="D18" s="10"/>
      <c r="E18" s="14"/>
      <c r="F18" s="14"/>
      <c r="G18" s="14"/>
    </row>
    <row r="19" spans="1:8" ht="15" hidden="1">
      <c r="A19" s="97"/>
      <c r="B19" s="97"/>
      <c r="C19" s="10"/>
      <c r="D19" s="10"/>
      <c r="E19" s="14"/>
      <c r="F19" s="14"/>
      <c r="G19" s="14"/>
    </row>
    <row r="20" spans="1:8" hidden="1">
      <c r="A20" s="10"/>
      <c r="B20" s="10"/>
      <c r="C20" s="10"/>
      <c r="D20" s="10"/>
      <c r="E20" s="14"/>
      <c r="F20" s="14"/>
      <c r="G20" s="14"/>
    </row>
    <row r="21" spans="1:8" hidden="1">
      <c r="A21" s="10"/>
      <c r="B21" s="10"/>
      <c r="C21" s="10"/>
      <c r="D21" s="10"/>
      <c r="E21" s="10"/>
      <c r="F21" s="10"/>
      <c r="G21" s="10"/>
    </row>
    <row r="22" spans="1:8" hidden="1">
      <c r="A22" s="17" t="s">
        <v>13</v>
      </c>
      <c r="B22" s="17" t="s">
        <v>6</v>
      </c>
      <c r="C22" s="17" t="s">
        <v>14</v>
      </c>
      <c r="D22" s="17" t="s">
        <v>15</v>
      </c>
      <c r="F22" s="17" t="s">
        <v>16</v>
      </c>
      <c r="H22" s="17" t="s">
        <v>7</v>
      </c>
    </row>
    <row r="23" spans="1:8" ht="12.75" hidden="1" customHeight="1">
      <c r="A23" s="10"/>
      <c r="B23" s="10"/>
      <c r="C23" s="10" t="s">
        <v>17</v>
      </c>
      <c r="D23" s="40" t="s">
        <v>18</v>
      </c>
      <c r="F23" s="11" t="s">
        <v>19</v>
      </c>
      <c r="H23" s="26">
        <f ca="1">TODAY()</f>
        <v>45512</v>
      </c>
    </row>
    <row r="24" spans="1:8" hidden="1">
      <c r="A24" s="17"/>
      <c r="B24" s="17"/>
      <c r="C24" s="17"/>
      <c r="D24" s="39"/>
      <c r="E24" s="10"/>
      <c r="F24" s="18"/>
      <c r="G24" s="10"/>
    </row>
    <row r="25" spans="1:8" hidden="1">
      <c r="A25" s="17"/>
      <c r="B25" s="17"/>
      <c r="C25" s="17"/>
      <c r="D25" s="17"/>
      <c r="E25" s="10"/>
      <c r="F25" s="10"/>
      <c r="G25" s="19"/>
    </row>
    <row r="26" spans="1:8" ht="22.5" hidden="1">
      <c r="A26" s="20" t="s">
        <v>0</v>
      </c>
      <c r="B26" s="10"/>
      <c r="C26" s="17"/>
      <c r="D26" s="17"/>
      <c r="E26" s="10"/>
      <c r="F26" s="10"/>
      <c r="G26" s="19"/>
    </row>
    <row r="27" spans="1:8" ht="17.649999999999999" hidden="1">
      <c r="A27" s="21"/>
      <c r="B27" s="10"/>
      <c r="C27" s="17"/>
      <c r="D27" s="17"/>
      <c r="E27" s="10"/>
      <c r="F27" s="10"/>
      <c r="G27" s="19"/>
    </row>
    <row r="28" spans="1:8" hidden="1">
      <c r="A28" s="10"/>
      <c r="B28" s="10"/>
      <c r="C28" s="10"/>
      <c r="D28" s="10"/>
      <c r="E28" s="10"/>
      <c r="F28" s="10"/>
      <c r="G28" s="10"/>
    </row>
    <row r="29" spans="1:8" hidden="1">
      <c r="A29" s="10"/>
      <c r="B29" s="10"/>
      <c r="C29" s="10"/>
      <c r="D29" s="10"/>
      <c r="E29" s="10"/>
      <c r="F29" s="10"/>
      <c r="G29" s="10"/>
    </row>
    <row r="30" spans="1:8" ht="15" hidden="1">
      <c r="A30" s="22" t="s">
        <v>20</v>
      </c>
      <c r="C30" s="23">
        <v>2401</v>
      </c>
      <c r="D30" s="10"/>
      <c r="E30" s="10"/>
      <c r="F30" s="10"/>
      <c r="G30" s="10"/>
    </row>
    <row r="31" spans="1:8" ht="15" hidden="1">
      <c r="A31" s="24" t="s">
        <v>21</v>
      </c>
      <c r="C31" s="23">
        <v>50215</v>
      </c>
      <c r="D31" s="10"/>
      <c r="E31" s="10"/>
      <c r="F31" s="10"/>
      <c r="G31" s="10"/>
    </row>
    <row r="32" spans="1:8" ht="15" hidden="1">
      <c r="A32" s="24" t="s">
        <v>22</v>
      </c>
      <c r="B32" s="23"/>
      <c r="D32" s="10"/>
      <c r="E32" s="10"/>
      <c r="F32" s="10"/>
      <c r="G32" s="10"/>
    </row>
    <row r="33" spans="1:9" ht="15" hidden="1">
      <c r="A33" s="24" t="s">
        <v>23</v>
      </c>
      <c r="B33" s="27"/>
      <c r="D33" s="10"/>
      <c r="E33" s="10"/>
      <c r="F33" s="10"/>
      <c r="G33" s="10"/>
    </row>
    <row r="34" spans="1:9" ht="15" hidden="1">
      <c r="B34" s="24"/>
      <c r="C34" s="25"/>
      <c r="D34" s="10"/>
      <c r="E34" s="10"/>
      <c r="F34" s="10"/>
      <c r="G34" s="10"/>
    </row>
    <row r="35" spans="1:9" ht="13.9">
      <c r="A35" s="83" t="s">
        <v>1</v>
      </c>
      <c r="B35" s="10"/>
      <c r="C35" s="10"/>
      <c r="D35" s="10"/>
      <c r="E35" s="10"/>
      <c r="F35" s="10"/>
      <c r="G35" s="10"/>
    </row>
    <row r="36" spans="1:9" ht="13.5">
      <c r="A36" s="43"/>
      <c r="B36" s="44"/>
      <c r="C36" s="44"/>
      <c r="D36" s="44"/>
      <c r="E36" s="44"/>
      <c r="F36" s="44"/>
      <c r="G36" s="44"/>
      <c r="H36" s="45"/>
      <c r="I36" s="46"/>
    </row>
    <row r="37" spans="1:9" ht="13.15" thickBot="1">
      <c r="A37" s="47"/>
      <c r="B37" s="10"/>
      <c r="C37" s="10"/>
      <c r="D37" s="10"/>
      <c r="E37" s="10"/>
      <c r="F37" s="10"/>
      <c r="G37" s="10"/>
      <c r="I37" s="48"/>
    </row>
    <row r="38" spans="1:9" ht="14.25" thickBot="1">
      <c r="A38" s="59" t="s">
        <v>24</v>
      </c>
      <c r="B38" s="59" t="s">
        <v>25</v>
      </c>
      <c r="C38" s="59" t="s">
        <v>26</v>
      </c>
      <c r="D38" s="59" t="s">
        <v>27</v>
      </c>
      <c r="E38" s="59" t="s">
        <v>28</v>
      </c>
      <c r="F38" s="59" t="s">
        <v>40</v>
      </c>
      <c r="G38" s="59" t="s">
        <v>29</v>
      </c>
      <c r="H38" s="60" t="s">
        <v>30</v>
      </c>
      <c r="I38" s="48"/>
    </row>
    <row r="39" spans="1:9" ht="13.5">
      <c r="A39" s="28">
        <v>1</v>
      </c>
      <c r="B39" s="28">
        <v>101111</v>
      </c>
      <c r="C39" s="29" t="s">
        <v>31</v>
      </c>
      <c r="D39" s="28">
        <v>10</v>
      </c>
      <c r="E39" s="57">
        <v>489</v>
      </c>
      <c r="F39" s="56">
        <f>IF(D39&gt;=$A$72,$B$72,IF(D39&gt;=$A$71,$B$71,$B$70))</f>
        <v>10</v>
      </c>
      <c r="G39" s="57"/>
      <c r="H39" s="57"/>
      <c r="I39" s="48"/>
    </row>
    <row r="40" spans="1:9" ht="13.5">
      <c r="A40" s="61">
        <v>2</v>
      </c>
      <c r="B40" s="61">
        <v>101114</v>
      </c>
      <c r="C40" s="62" t="s">
        <v>41</v>
      </c>
      <c r="D40" s="61">
        <v>25</v>
      </c>
      <c r="E40" s="67">
        <v>98</v>
      </c>
      <c r="F40" s="63">
        <f t="shared" ref="F40:F42" si="0">IF(D40&gt;=$A$72,$B$72,IF(D40&gt;=$A$71,$B$71,$B$70))</f>
        <v>15</v>
      </c>
      <c r="G40" s="67"/>
      <c r="H40" s="67"/>
      <c r="I40" s="48"/>
    </row>
    <row r="41" spans="1:9" ht="13.5">
      <c r="A41" s="28">
        <v>3</v>
      </c>
      <c r="B41" s="28">
        <v>202111</v>
      </c>
      <c r="C41" s="29" t="s">
        <v>42</v>
      </c>
      <c r="D41" s="28">
        <v>20</v>
      </c>
      <c r="E41" s="57">
        <v>228</v>
      </c>
      <c r="F41" s="30">
        <f t="shared" si="0"/>
        <v>15</v>
      </c>
      <c r="G41" s="57"/>
      <c r="H41" s="57"/>
      <c r="I41" s="48"/>
    </row>
    <row r="42" spans="1:9" ht="13.5">
      <c r="A42" s="61">
        <v>4</v>
      </c>
      <c r="B42" s="61">
        <v>202114</v>
      </c>
      <c r="C42" s="62" t="s">
        <v>46</v>
      </c>
      <c r="D42" s="61">
        <v>15</v>
      </c>
      <c r="E42" s="67">
        <v>349</v>
      </c>
      <c r="F42" s="63">
        <f t="shared" si="0"/>
        <v>10</v>
      </c>
      <c r="G42" s="67"/>
      <c r="H42" s="67"/>
      <c r="I42" s="48"/>
    </row>
    <row r="43" spans="1:9" ht="13.5">
      <c r="A43" s="28"/>
      <c r="B43" s="28"/>
      <c r="C43" s="29"/>
      <c r="D43" s="28"/>
      <c r="E43" s="57"/>
      <c r="F43" s="30"/>
      <c r="G43" s="57"/>
      <c r="H43" s="57"/>
      <c r="I43" s="48"/>
    </row>
    <row r="44" spans="1:9" ht="13.5" hidden="1">
      <c r="A44" s="28"/>
      <c r="B44" s="28"/>
      <c r="C44" s="29"/>
      <c r="D44" s="28"/>
      <c r="E44" s="30"/>
      <c r="F44" s="30"/>
      <c r="G44" s="30"/>
      <c r="H44" s="30"/>
      <c r="I44" s="48"/>
    </row>
    <row r="45" spans="1:9" ht="13.5" hidden="1">
      <c r="A45" s="28"/>
      <c r="B45" s="28"/>
      <c r="C45" s="29"/>
      <c r="D45" s="28"/>
      <c r="E45" s="30"/>
      <c r="F45" s="30"/>
      <c r="G45" s="30"/>
      <c r="H45" s="30"/>
      <c r="I45" s="48"/>
    </row>
    <row r="46" spans="1:9" ht="13.5" hidden="1">
      <c r="A46" s="28"/>
      <c r="B46" s="28"/>
      <c r="C46" s="29"/>
      <c r="D46" s="28"/>
      <c r="E46" s="30"/>
      <c r="F46" s="30"/>
      <c r="G46" s="30"/>
      <c r="H46" s="30"/>
      <c r="I46" s="48"/>
    </row>
    <row r="47" spans="1:9" ht="13.5" hidden="1">
      <c r="A47" s="28"/>
      <c r="B47" s="28"/>
      <c r="C47" s="29"/>
      <c r="D47" s="28"/>
      <c r="E47" s="30"/>
      <c r="F47" s="30"/>
      <c r="G47" s="30"/>
      <c r="H47" s="30"/>
      <c r="I47" s="48"/>
    </row>
    <row r="48" spans="1:9" ht="13.5" hidden="1">
      <c r="A48" s="28"/>
      <c r="B48" s="28"/>
      <c r="C48" s="29"/>
      <c r="D48" s="28"/>
      <c r="E48" s="30"/>
      <c r="F48" s="30"/>
      <c r="G48" s="30"/>
      <c r="H48" s="30"/>
      <c r="I48" s="48"/>
    </row>
    <row r="49" spans="1:9" ht="13.5" hidden="1">
      <c r="A49" s="28"/>
      <c r="B49" s="28"/>
      <c r="C49" s="29"/>
      <c r="D49" s="28"/>
      <c r="E49" s="30"/>
      <c r="F49" s="30"/>
      <c r="G49" s="30"/>
      <c r="H49" s="30"/>
      <c r="I49" s="48"/>
    </row>
    <row r="50" spans="1:9" ht="13.5" hidden="1">
      <c r="A50" s="28"/>
      <c r="B50" s="28"/>
      <c r="C50" s="29"/>
      <c r="D50" s="28"/>
      <c r="E50" s="30"/>
      <c r="F50" s="30"/>
      <c r="G50" s="30"/>
      <c r="H50" s="30"/>
      <c r="I50" s="48"/>
    </row>
    <row r="51" spans="1:9" ht="13.5" hidden="1">
      <c r="A51" s="28"/>
      <c r="B51" s="28"/>
      <c r="C51" s="29"/>
      <c r="D51" s="28"/>
      <c r="E51" s="30"/>
      <c r="F51" s="30"/>
      <c r="G51" s="30"/>
      <c r="H51" s="30"/>
      <c r="I51" s="48"/>
    </row>
    <row r="52" spans="1:9" ht="13.5" hidden="1">
      <c r="A52" s="28"/>
      <c r="B52" s="28"/>
      <c r="C52" s="29"/>
      <c r="D52" s="28"/>
      <c r="E52" s="30"/>
      <c r="F52" s="30"/>
      <c r="G52" s="30"/>
      <c r="H52" s="30"/>
      <c r="I52" s="48"/>
    </row>
    <row r="53" spans="1:9" ht="13.5" hidden="1">
      <c r="A53" s="28"/>
      <c r="B53" s="28"/>
      <c r="C53" s="29"/>
      <c r="D53" s="28"/>
      <c r="E53" s="30"/>
      <c r="F53" s="30"/>
      <c r="G53" s="30"/>
      <c r="H53" s="30"/>
      <c r="I53" s="48"/>
    </row>
    <row r="54" spans="1:9" ht="13.5" hidden="1">
      <c r="A54" s="31"/>
      <c r="B54" s="31"/>
      <c r="C54" s="32"/>
      <c r="D54" s="31"/>
      <c r="E54" s="41"/>
      <c r="F54" s="30"/>
      <c r="G54" s="30"/>
      <c r="H54" s="30"/>
      <c r="I54" s="48"/>
    </row>
    <row r="55" spans="1:9" ht="13.5" hidden="1">
      <c r="A55" s="49"/>
      <c r="B55" s="33"/>
      <c r="C55" s="33"/>
      <c r="D55" s="33"/>
      <c r="F55" s="34" t="s">
        <v>32</v>
      </c>
      <c r="G55" s="35"/>
      <c r="H55" s="36">
        <f>SUM(H39:H54)</f>
        <v>0</v>
      </c>
      <c r="I55" s="48"/>
    </row>
    <row r="56" spans="1:9" ht="13.5" hidden="1">
      <c r="A56" s="49"/>
      <c r="B56" s="33"/>
      <c r="C56" s="33"/>
      <c r="D56" s="33"/>
      <c r="F56" s="98">
        <v>19</v>
      </c>
      <c r="G56" s="99"/>
      <c r="H56" s="36">
        <f>H55*F56/100</f>
        <v>0</v>
      </c>
      <c r="I56" s="48"/>
    </row>
    <row r="57" spans="1:9" ht="13.9" hidden="1">
      <c r="A57" s="49"/>
      <c r="B57" s="33"/>
      <c r="C57" s="33"/>
      <c r="D57" s="33"/>
      <c r="F57" s="37" t="s">
        <v>33</v>
      </c>
      <c r="G57" s="35" t="s">
        <v>34</v>
      </c>
      <c r="H57" s="38">
        <f>H55+H56</f>
        <v>0</v>
      </c>
      <c r="I57" s="48"/>
    </row>
    <row r="58" spans="1:9" ht="13.5" hidden="1">
      <c r="A58" s="50"/>
      <c r="B58" s="22"/>
      <c r="C58" s="22"/>
      <c r="D58" s="22"/>
      <c r="E58" s="22"/>
      <c r="F58" s="22"/>
      <c r="G58" s="22"/>
      <c r="I58" s="48"/>
    </row>
    <row r="59" spans="1:9" ht="13.5" hidden="1">
      <c r="A59" s="50"/>
      <c r="B59" s="22"/>
      <c r="C59" s="22"/>
      <c r="D59" s="22"/>
      <c r="E59" s="22"/>
      <c r="I59" s="48"/>
    </row>
    <row r="60" spans="1:9" ht="13.5" hidden="1">
      <c r="A60" s="51" t="s">
        <v>35</v>
      </c>
      <c r="C60" s="22"/>
      <c r="D60" s="22"/>
      <c r="F60" s="22" t="s">
        <v>36</v>
      </c>
      <c r="I60" s="48"/>
    </row>
    <row r="61" spans="1:9" hidden="1">
      <c r="A61" s="47" t="s">
        <v>37</v>
      </c>
      <c r="B61" s="10"/>
      <c r="C61" s="10"/>
      <c r="D61" s="10"/>
      <c r="F61" s="10" t="s">
        <v>38</v>
      </c>
      <c r="I61" s="48"/>
    </row>
    <row r="62" spans="1:9" hidden="1">
      <c r="A62" s="47"/>
      <c r="B62" s="10"/>
      <c r="C62" s="10"/>
      <c r="D62" s="10"/>
      <c r="F62" s="10" t="s">
        <v>39</v>
      </c>
      <c r="G62" s="10"/>
      <c r="I62" s="48"/>
    </row>
    <row r="63" spans="1:9">
      <c r="A63" s="52"/>
      <c r="B63" s="53"/>
      <c r="C63" s="53"/>
      <c r="D63" s="53"/>
      <c r="E63" s="54"/>
      <c r="F63" s="53"/>
      <c r="G63" s="53"/>
      <c r="H63" s="54"/>
      <c r="I63" s="55"/>
    </row>
    <row r="64" spans="1:9">
      <c r="A64" s="10"/>
      <c r="B64" s="10"/>
      <c r="C64" s="10"/>
      <c r="D64" s="10"/>
      <c r="E64" s="10"/>
      <c r="F64" s="10"/>
      <c r="G64" s="10"/>
    </row>
    <row r="65" spans="1:7">
      <c r="A65" s="10"/>
      <c r="B65" s="10"/>
      <c r="C65" s="10"/>
      <c r="D65" s="10"/>
      <c r="E65" s="10"/>
      <c r="F65" s="10"/>
      <c r="G65" s="10"/>
    </row>
    <row r="66" spans="1:7">
      <c r="A66" s="10"/>
      <c r="B66" s="10"/>
      <c r="C66" s="10"/>
      <c r="D66" s="10"/>
      <c r="E66" s="10"/>
      <c r="F66" s="10"/>
      <c r="G66" s="10"/>
    </row>
    <row r="67" spans="1:7" customFormat="1" ht="13.9">
      <c r="A67" s="78" t="s">
        <v>2</v>
      </c>
      <c r="B67" s="80"/>
    </row>
    <row r="68" spans="1:7" customFormat="1" ht="13.9">
      <c r="A68" s="79"/>
      <c r="B68" s="81"/>
      <c r="C68" s="1"/>
    </row>
    <row r="69" spans="1:7" customFormat="1" ht="27.75">
      <c r="A69" s="76" t="s">
        <v>3</v>
      </c>
      <c r="B69" s="76" t="s">
        <v>4</v>
      </c>
      <c r="C69" s="2"/>
    </row>
    <row r="70" spans="1:7" customFormat="1" ht="13.5">
      <c r="A70" s="77">
        <v>0</v>
      </c>
      <c r="B70" s="77">
        <v>0</v>
      </c>
      <c r="C70" s="2"/>
    </row>
    <row r="71" spans="1:7" customFormat="1" ht="13.5">
      <c r="A71" s="77">
        <v>10</v>
      </c>
      <c r="B71" s="77">
        <v>10</v>
      </c>
      <c r="C71" s="2"/>
    </row>
    <row r="72" spans="1:7" customFormat="1" ht="13.5">
      <c r="A72" s="77">
        <v>20</v>
      </c>
      <c r="B72" s="77">
        <v>15</v>
      </c>
      <c r="C72" s="2"/>
    </row>
    <row r="73" spans="1:7" customFormat="1">
      <c r="A73" s="3"/>
      <c r="B73" s="4"/>
      <c r="C73" s="5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68"/>
  <sheetViews>
    <sheetView showGridLines="0" topLeftCell="A36" zoomScaleNormal="100" workbookViewId="0">
      <selection activeCell="C42" sqref="C42"/>
    </sheetView>
  </sheetViews>
  <sheetFormatPr baseColWidth="10" defaultColWidth="11.46484375" defaultRowHeight="12.75"/>
  <cols>
    <col min="1" max="1" width="8.46484375" style="11" customWidth="1"/>
    <col min="2" max="2" width="14.53125" style="11" customWidth="1"/>
    <col min="3" max="3" width="30.73046875" style="11" customWidth="1"/>
    <col min="4" max="4" width="16" style="11" customWidth="1"/>
    <col min="5" max="5" width="16.19921875" style="11" customWidth="1"/>
    <col min="6" max="6" width="20.19921875" style="11" bestFit="1" customWidth="1"/>
    <col min="7" max="7" width="16.19921875" style="11" customWidth="1"/>
    <col min="8" max="8" width="16.265625" style="11" customWidth="1"/>
    <col min="9" max="9" width="3" style="11" customWidth="1"/>
    <col min="10" max="16384" width="11.46484375" style="11"/>
  </cols>
  <sheetData>
    <row r="1" spans="1:9" hidden="1">
      <c r="A1" s="10"/>
      <c r="B1" s="10"/>
      <c r="C1" s="10"/>
      <c r="D1" s="10"/>
      <c r="E1" s="10"/>
      <c r="F1" s="10"/>
      <c r="G1" s="10"/>
    </row>
    <row r="2" spans="1:9" hidden="1">
      <c r="A2" s="10"/>
      <c r="B2" s="10"/>
      <c r="C2" s="10"/>
      <c r="D2" s="10"/>
      <c r="E2" s="10"/>
      <c r="F2" s="10"/>
      <c r="G2" s="10"/>
    </row>
    <row r="3" spans="1:9" hidden="1">
      <c r="A3" s="10"/>
      <c r="B3" s="10"/>
      <c r="C3" s="10"/>
      <c r="D3" s="10"/>
      <c r="E3" s="10"/>
      <c r="F3" s="10"/>
      <c r="G3" s="10"/>
    </row>
    <row r="4" spans="1:9" hidden="1">
      <c r="A4" s="10"/>
      <c r="B4" s="10"/>
      <c r="C4" s="10"/>
      <c r="D4" s="10"/>
      <c r="E4" s="10"/>
      <c r="F4" s="10"/>
      <c r="G4" s="10"/>
    </row>
    <row r="5" spans="1:9" hidden="1">
      <c r="A5" s="10"/>
      <c r="B5" s="10"/>
      <c r="C5" s="10"/>
      <c r="D5" s="10"/>
      <c r="E5" s="10"/>
      <c r="F5" s="10"/>
      <c r="G5" s="10"/>
    </row>
    <row r="6" spans="1:9" hidden="1">
      <c r="A6" s="95"/>
      <c r="B6" s="95"/>
      <c r="C6" s="95"/>
      <c r="D6" s="95"/>
      <c r="E6" s="95"/>
      <c r="F6" s="95"/>
      <c r="G6" s="95"/>
    </row>
    <row r="7" spans="1:9" hidden="1">
      <c r="A7" s="10"/>
      <c r="B7" s="10"/>
      <c r="C7" s="10"/>
      <c r="D7" s="10"/>
      <c r="E7" s="10"/>
      <c r="F7" s="10"/>
      <c r="G7" s="10"/>
    </row>
    <row r="8" spans="1:9" ht="15" hidden="1">
      <c r="A8" s="96" t="s">
        <v>8</v>
      </c>
      <c r="B8" s="96"/>
      <c r="C8" s="96"/>
      <c r="D8" s="96"/>
      <c r="E8" s="96"/>
      <c r="F8" s="96"/>
      <c r="G8" s="96"/>
      <c r="H8" s="96"/>
    </row>
    <row r="9" spans="1:9" ht="13.9">
      <c r="A9" s="83" t="s">
        <v>1</v>
      </c>
      <c r="B9" s="10"/>
      <c r="C9" s="10"/>
      <c r="D9" s="10"/>
      <c r="E9" s="10"/>
      <c r="F9" s="10"/>
      <c r="G9" s="10"/>
    </row>
    <row r="10" spans="1:9">
      <c r="A10" s="68"/>
      <c r="B10" s="44"/>
      <c r="C10" s="44"/>
      <c r="D10" s="44"/>
      <c r="E10" s="44"/>
      <c r="F10" s="44"/>
      <c r="G10" s="44"/>
      <c r="H10" s="45"/>
      <c r="I10" s="46"/>
    </row>
    <row r="11" spans="1:9">
      <c r="A11" s="69" t="s">
        <v>44</v>
      </c>
      <c r="B11" s="10"/>
      <c r="C11" s="10"/>
      <c r="D11" s="10"/>
      <c r="E11" s="13"/>
      <c r="F11" s="13"/>
      <c r="G11" s="14"/>
      <c r="I11" s="48"/>
    </row>
    <row r="12" spans="1:9">
      <c r="A12" s="47"/>
      <c r="B12" s="10"/>
      <c r="C12" s="10"/>
      <c r="D12" s="10"/>
      <c r="E12" s="13"/>
      <c r="F12" s="13"/>
      <c r="G12" s="14"/>
      <c r="I12" s="48"/>
    </row>
    <row r="13" spans="1:9" ht="15">
      <c r="A13" s="70"/>
      <c r="C13" s="10"/>
      <c r="D13" s="10"/>
      <c r="E13" s="13"/>
      <c r="F13" s="13"/>
      <c r="G13" s="14"/>
      <c r="I13" s="48"/>
    </row>
    <row r="14" spans="1:9" ht="15">
      <c r="A14" s="71" t="s">
        <v>10</v>
      </c>
      <c r="B14" s="16"/>
      <c r="C14" s="10"/>
      <c r="D14" s="10"/>
      <c r="E14" s="13"/>
      <c r="F14" s="13"/>
      <c r="G14" s="14"/>
      <c r="I14" s="48"/>
    </row>
    <row r="15" spans="1:9" ht="15">
      <c r="A15" s="71" t="s">
        <v>11</v>
      </c>
      <c r="B15" s="16"/>
      <c r="C15" s="10"/>
      <c r="D15" s="10"/>
      <c r="E15" s="13"/>
      <c r="F15" s="13"/>
      <c r="G15" s="14"/>
      <c r="I15" s="48"/>
    </row>
    <row r="16" spans="1:9" ht="15">
      <c r="A16" s="71" t="s">
        <v>12</v>
      </c>
      <c r="B16" s="16"/>
      <c r="C16" s="10"/>
      <c r="D16" s="10"/>
      <c r="E16" s="13"/>
      <c r="F16" s="13"/>
      <c r="G16" s="14"/>
      <c r="I16" s="48"/>
    </row>
    <row r="17" spans="1:9" ht="15">
      <c r="A17" s="16" t="s">
        <v>43</v>
      </c>
      <c r="B17" s="16"/>
      <c r="C17" s="10"/>
      <c r="D17" s="10"/>
      <c r="E17" s="13"/>
      <c r="F17" s="13"/>
      <c r="G17" s="14"/>
      <c r="I17" s="48"/>
    </row>
    <row r="18" spans="1:9" ht="15">
      <c r="A18" s="101"/>
      <c r="B18" s="97"/>
      <c r="C18" s="10"/>
      <c r="D18" s="10"/>
      <c r="E18" s="14"/>
      <c r="F18" s="14"/>
      <c r="G18" s="14"/>
      <c r="I18" s="48"/>
    </row>
    <row r="19" spans="1:9" ht="15">
      <c r="A19" s="101"/>
      <c r="B19" s="97"/>
      <c r="C19" s="10"/>
      <c r="D19" s="10"/>
      <c r="E19" s="14"/>
      <c r="F19" s="14"/>
      <c r="G19" s="14"/>
      <c r="I19" s="48"/>
    </row>
    <row r="20" spans="1:9">
      <c r="A20" s="47"/>
      <c r="B20" s="10"/>
      <c r="C20" s="10"/>
      <c r="D20" s="10"/>
      <c r="E20" s="14"/>
      <c r="F20" s="14"/>
      <c r="G20" s="14"/>
      <c r="I20" s="48"/>
    </row>
    <row r="21" spans="1:9">
      <c r="A21" s="47"/>
      <c r="B21" s="10"/>
      <c r="C21" s="10"/>
      <c r="D21" s="10"/>
      <c r="E21" s="10"/>
      <c r="F21" s="10"/>
      <c r="G21" s="10"/>
      <c r="I21" s="48"/>
    </row>
    <row r="22" spans="1:9">
      <c r="A22" s="72" t="s">
        <v>13</v>
      </c>
      <c r="B22" s="17" t="s">
        <v>6</v>
      </c>
      <c r="C22" s="17" t="s">
        <v>14</v>
      </c>
      <c r="D22" s="17" t="s">
        <v>15</v>
      </c>
      <c r="F22" s="17" t="s">
        <v>16</v>
      </c>
      <c r="H22" s="17" t="s">
        <v>7</v>
      </c>
      <c r="I22" s="48"/>
    </row>
    <row r="23" spans="1:9" ht="12.75" customHeight="1">
      <c r="A23" s="47"/>
      <c r="B23" s="10"/>
      <c r="C23" s="10" t="s">
        <v>17</v>
      </c>
      <c r="D23" s="40" t="s">
        <v>18</v>
      </c>
      <c r="F23" s="11" t="s">
        <v>19</v>
      </c>
      <c r="H23" s="94" t="s">
        <v>45</v>
      </c>
      <c r="I23" s="48"/>
    </row>
    <row r="24" spans="1:9">
      <c r="A24" s="72"/>
      <c r="B24" s="17"/>
      <c r="C24" s="17"/>
      <c r="D24" s="39"/>
      <c r="E24" s="10"/>
      <c r="F24" s="18"/>
      <c r="G24" s="10"/>
      <c r="I24" s="48"/>
    </row>
    <row r="25" spans="1:9">
      <c r="A25" s="72"/>
      <c r="B25" s="17"/>
      <c r="C25" s="17"/>
      <c r="D25" s="17"/>
      <c r="E25" s="10"/>
      <c r="F25" s="10"/>
      <c r="G25" s="19"/>
      <c r="I25" s="48"/>
    </row>
    <row r="26" spans="1:9" ht="22.5">
      <c r="A26" s="73" t="s">
        <v>0</v>
      </c>
      <c r="B26" s="10"/>
      <c r="C26" s="17"/>
      <c r="D26" s="17"/>
      <c r="E26" s="10"/>
      <c r="F26" s="10"/>
      <c r="G26" s="19"/>
      <c r="I26" s="48"/>
    </row>
    <row r="27" spans="1:9" ht="17.649999999999999">
      <c r="A27" s="74"/>
      <c r="B27" s="10"/>
      <c r="C27" s="17"/>
      <c r="D27" s="17"/>
      <c r="E27" s="10"/>
      <c r="F27" s="10"/>
      <c r="G27" s="19"/>
      <c r="I27" s="48"/>
    </row>
    <row r="28" spans="1:9">
      <c r="A28" s="47"/>
      <c r="B28" s="10"/>
      <c r="C28" s="10"/>
      <c r="D28" s="10"/>
      <c r="E28" s="10"/>
      <c r="F28" s="10"/>
      <c r="G28" s="10"/>
      <c r="I28" s="48"/>
    </row>
    <row r="29" spans="1:9">
      <c r="A29" s="47"/>
      <c r="B29" s="10"/>
      <c r="C29" s="10"/>
      <c r="D29" s="10"/>
      <c r="E29" s="10"/>
      <c r="F29" s="10"/>
      <c r="G29" s="10"/>
      <c r="I29" s="48"/>
    </row>
    <row r="30" spans="1:9" ht="15">
      <c r="A30" s="50" t="s">
        <v>20</v>
      </c>
      <c r="C30" s="23">
        <v>2401</v>
      </c>
      <c r="D30" s="10"/>
      <c r="E30" s="10"/>
      <c r="F30" s="10"/>
      <c r="G30" s="10"/>
      <c r="I30" s="48"/>
    </row>
    <row r="31" spans="1:9" ht="15">
      <c r="A31" s="75" t="s">
        <v>21</v>
      </c>
      <c r="C31" s="23">
        <v>50215</v>
      </c>
      <c r="D31" s="10"/>
      <c r="E31" s="10"/>
      <c r="F31" s="10"/>
      <c r="G31" s="10"/>
      <c r="I31" s="48"/>
    </row>
    <row r="32" spans="1:9" ht="15">
      <c r="A32" s="75" t="s">
        <v>22</v>
      </c>
      <c r="B32" s="23"/>
      <c r="D32" s="10"/>
      <c r="E32" s="10"/>
      <c r="F32" s="10"/>
      <c r="G32" s="10"/>
      <c r="I32" s="48"/>
    </row>
    <row r="33" spans="1:9" ht="15">
      <c r="A33" s="75" t="s">
        <v>23</v>
      </c>
      <c r="B33" s="27"/>
      <c r="D33" s="10"/>
      <c r="E33" s="10"/>
      <c r="F33" s="10"/>
      <c r="G33" s="10"/>
      <c r="I33" s="48"/>
    </row>
    <row r="34" spans="1:9" ht="15">
      <c r="A34" s="47"/>
      <c r="B34" s="24"/>
      <c r="C34" s="25"/>
      <c r="D34" s="10"/>
      <c r="E34" s="10"/>
      <c r="F34" s="10"/>
      <c r="G34" s="10"/>
      <c r="I34" s="48"/>
    </row>
    <row r="35" spans="1:9">
      <c r="A35" s="47"/>
      <c r="B35" s="10"/>
      <c r="C35" s="10"/>
      <c r="D35" s="10"/>
      <c r="E35" s="10"/>
      <c r="F35" s="10"/>
      <c r="G35" s="10"/>
      <c r="I35" s="48"/>
    </row>
    <row r="36" spans="1:9" ht="13.5">
      <c r="A36" s="50"/>
      <c r="B36" s="10"/>
      <c r="C36" s="10"/>
      <c r="D36" s="10"/>
      <c r="E36" s="10"/>
      <c r="F36" s="10"/>
      <c r="G36" s="10"/>
      <c r="I36" s="48"/>
    </row>
    <row r="37" spans="1:9" ht="13.15" thickBot="1">
      <c r="A37" s="47"/>
      <c r="B37" s="10"/>
      <c r="C37" s="10"/>
      <c r="D37" s="10"/>
      <c r="E37" s="10"/>
      <c r="F37" s="10"/>
      <c r="G37" s="10"/>
      <c r="I37" s="48"/>
    </row>
    <row r="38" spans="1:9" ht="14.25" thickBot="1">
      <c r="A38" s="59" t="s">
        <v>24</v>
      </c>
      <c r="B38" s="59" t="s">
        <v>25</v>
      </c>
      <c r="C38" s="59" t="s">
        <v>26</v>
      </c>
      <c r="D38" s="59" t="s">
        <v>27</v>
      </c>
      <c r="E38" s="59" t="s">
        <v>28</v>
      </c>
      <c r="F38" s="59" t="s">
        <v>40</v>
      </c>
      <c r="G38" s="59" t="s">
        <v>29</v>
      </c>
      <c r="H38" s="60" t="s">
        <v>30</v>
      </c>
      <c r="I38" s="48"/>
    </row>
    <row r="39" spans="1:9" ht="13.5">
      <c r="A39" s="28">
        <v>1</v>
      </c>
      <c r="B39" s="28">
        <v>101111</v>
      </c>
      <c r="C39" s="29" t="s">
        <v>31</v>
      </c>
      <c r="D39" s="28">
        <v>10</v>
      </c>
      <c r="E39" s="30">
        <v>489</v>
      </c>
      <c r="F39" s="42">
        <f>IF(AND(D39&gt;=15,$C$30=2401),10,0)</f>
        <v>0</v>
      </c>
      <c r="G39" s="30"/>
      <c r="H39" s="30"/>
      <c r="I39" s="48"/>
    </row>
    <row r="40" spans="1:9" ht="13.5">
      <c r="A40" s="61">
        <v>2</v>
      </c>
      <c r="B40" s="61">
        <v>101114</v>
      </c>
      <c r="C40" s="62" t="s">
        <v>41</v>
      </c>
      <c r="D40" s="61">
        <v>25</v>
      </c>
      <c r="E40" s="63">
        <v>98</v>
      </c>
      <c r="F40" s="63">
        <f t="shared" ref="F40:F42" si="0">IF(AND(D40&gt;=15,$C$30=2401),10,0)</f>
        <v>10</v>
      </c>
      <c r="G40" s="63"/>
      <c r="H40" s="63"/>
      <c r="I40" s="48"/>
    </row>
    <row r="41" spans="1:9" ht="13.5">
      <c r="A41" s="28">
        <v>3</v>
      </c>
      <c r="B41" s="28">
        <v>202111</v>
      </c>
      <c r="C41" s="29" t="s">
        <v>42</v>
      </c>
      <c r="D41" s="28">
        <v>20</v>
      </c>
      <c r="E41" s="30">
        <v>228</v>
      </c>
      <c r="F41" s="30">
        <f t="shared" si="0"/>
        <v>10</v>
      </c>
      <c r="G41" s="30"/>
      <c r="H41" s="30"/>
      <c r="I41" s="48"/>
    </row>
    <row r="42" spans="1:9" ht="13.5">
      <c r="A42" s="61">
        <v>4</v>
      </c>
      <c r="B42" s="61">
        <v>202114</v>
      </c>
      <c r="C42" s="62" t="s">
        <v>46</v>
      </c>
      <c r="D42" s="61">
        <v>15</v>
      </c>
      <c r="E42" s="63">
        <v>349</v>
      </c>
      <c r="F42" s="63">
        <f t="shared" si="0"/>
        <v>10</v>
      </c>
      <c r="G42" s="63"/>
      <c r="H42" s="63"/>
      <c r="I42" s="48"/>
    </row>
    <row r="43" spans="1:9" ht="13.5">
      <c r="A43" s="28"/>
      <c r="B43" s="28"/>
      <c r="C43" s="29"/>
      <c r="D43" s="28"/>
      <c r="E43" s="30"/>
      <c r="F43" s="30"/>
      <c r="G43" s="30"/>
      <c r="H43" s="30"/>
      <c r="I43" s="48"/>
    </row>
    <row r="44" spans="1:9" ht="13.5" hidden="1">
      <c r="A44" s="61"/>
      <c r="B44" s="61"/>
      <c r="C44" s="62"/>
      <c r="D44" s="61"/>
      <c r="E44" s="63"/>
      <c r="F44" s="63"/>
      <c r="G44" s="63"/>
      <c r="H44" s="63"/>
      <c r="I44" s="48"/>
    </row>
    <row r="45" spans="1:9" ht="13.5" hidden="1">
      <c r="A45" s="28"/>
      <c r="B45" s="28"/>
      <c r="C45" s="29"/>
      <c r="D45" s="28"/>
      <c r="E45" s="30"/>
      <c r="F45" s="30"/>
      <c r="G45" s="30"/>
      <c r="H45" s="30"/>
      <c r="I45" s="48"/>
    </row>
    <row r="46" spans="1:9" ht="13.5" hidden="1">
      <c r="A46" s="61"/>
      <c r="B46" s="61"/>
      <c r="C46" s="62"/>
      <c r="D46" s="61"/>
      <c r="E46" s="63"/>
      <c r="F46" s="63"/>
      <c r="G46" s="63"/>
      <c r="H46" s="63"/>
      <c r="I46" s="48"/>
    </row>
    <row r="47" spans="1:9" ht="13.5" hidden="1">
      <c r="A47" s="28"/>
      <c r="B47" s="28"/>
      <c r="C47" s="29"/>
      <c r="D47" s="28"/>
      <c r="E47" s="30"/>
      <c r="F47" s="30"/>
      <c r="G47" s="30"/>
      <c r="H47" s="30"/>
      <c r="I47" s="48"/>
    </row>
    <row r="48" spans="1:9" ht="13.5" hidden="1">
      <c r="A48" s="61"/>
      <c r="B48" s="61"/>
      <c r="C48" s="62"/>
      <c r="D48" s="61"/>
      <c r="E48" s="63"/>
      <c r="F48" s="63"/>
      <c r="G48" s="63"/>
      <c r="H48" s="63"/>
      <c r="I48" s="48"/>
    </row>
    <row r="49" spans="1:9" ht="13.5" hidden="1">
      <c r="A49" s="28"/>
      <c r="B49" s="28"/>
      <c r="C49" s="29"/>
      <c r="D49" s="28"/>
      <c r="E49" s="30"/>
      <c r="F49" s="30"/>
      <c r="G49" s="30"/>
      <c r="H49" s="30"/>
      <c r="I49" s="48"/>
    </row>
    <row r="50" spans="1:9" ht="13.5" hidden="1">
      <c r="A50" s="61"/>
      <c r="B50" s="61"/>
      <c r="C50" s="62"/>
      <c r="D50" s="61"/>
      <c r="E50" s="63"/>
      <c r="F50" s="63"/>
      <c r="G50" s="63"/>
      <c r="H50" s="63"/>
      <c r="I50" s="48"/>
    </row>
    <row r="51" spans="1:9" ht="13.5" hidden="1">
      <c r="A51" s="28"/>
      <c r="B51" s="28"/>
      <c r="C51" s="29"/>
      <c r="D51" s="28"/>
      <c r="E51" s="30"/>
      <c r="F51" s="30"/>
      <c r="G51" s="30"/>
      <c r="H51" s="30"/>
      <c r="I51" s="48"/>
    </row>
    <row r="52" spans="1:9" ht="13.5" hidden="1">
      <c r="A52" s="61"/>
      <c r="B52" s="61"/>
      <c r="C52" s="62"/>
      <c r="D52" s="61"/>
      <c r="E52" s="63"/>
      <c r="F52" s="63"/>
      <c r="G52" s="63"/>
      <c r="H52" s="63"/>
      <c r="I52" s="48"/>
    </row>
    <row r="53" spans="1:9" ht="13.5" hidden="1">
      <c r="A53" s="28"/>
      <c r="B53" s="28"/>
      <c r="C53" s="29"/>
      <c r="D53" s="28"/>
      <c r="E53" s="30"/>
      <c r="F53" s="30"/>
      <c r="G53" s="30"/>
      <c r="H53" s="30"/>
      <c r="I53" s="48"/>
    </row>
    <row r="54" spans="1:9" ht="13.5" hidden="1">
      <c r="A54" s="64"/>
      <c r="B54" s="64"/>
      <c r="C54" s="65"/>
      <c r="D54" s="64"/>
      <c r="E54" s="66"/>
      <c r="F54" s="63"/>
      <c r="G54" s="63"/>
      <c r="H54" s="63"/>
      <c r="I54" s="48"/>
    </row>
    <row r="55" spans="1:9" ht="13.5" hidden="1">
      <c r="A55" s="49"/>
      <c r="B55" s="33"/>
      <c r="C55" s="33"/>
      <c r="D55" s="33"/>
      <c r="F55" s="34" t="s">
        <v>32</v>
      </c>
      <c r="G55" s="35"/>
      <c r="H55" s="36">
        <f>SUM(H39:H54)</f>
        <v>0</v>
      </c>
      <c r="I55" s="48"/>
    </row>
    <row r="56" spans="1:9" ht="13.5" hidden="1">
      <c r="A56" s="49"/>
      <c r="B56" s="33"/>
      <c r="C56" s="33"/>
      <c r="D56" s="33"/>
      <c r="F56" s="98">
        <v>19</v>
      </c>
      <c r="G56" s="99"/>
      <c r="H56" s="36">
        <f>H55*F56/100</f>
        <v>0</v>
      </c>
      <c r="I56" s="48"/>
    </row>
    <row r="57" spans="1:9" ht="13.9" hidden="1">
      <c r="A57" s="49"/>
      <c r="B57" s="33"/>
      <c r="C57" s="33"/>
      <c r="D57" s="33"/>
      <c r="F57" s="37" t="s">
        <v>33</v>
      </c>
      <c r="G57" s="35" t="s">
        <v>34</v>
      </c>
      <c r="H57" s="38">
        <f>H55+H56</f>
        <v>0</v>
      </c>
      <c r="I57" s="48"/>
    </row>
    <row r="58" spans="1:9" ht="13.5" hidden="1">
      <c r="A58" s="50"/>
      <c r="B58" s="22"/>
      <c r="C58" s="22"/>
      <c r="D58" s="22"/>
      <c r="E58" s="22"/>
      <c r="F58" s="22"/>
      <c r="G58" s="22"/>
      <c r="I58" s="48"/>
    </row>
    <row r="59" spans="1:9" ht="13.5" hidden="1">
      <c r="A59" s="50"/>
      <c r="B59" s="22"/>
      <c r="C59" s="22"/>
      <c r="D59" s="22"/>
      <c r="E59" s="22"/>
      <c r="I59" s="48"/>
    </row>
    <row r="60" spans="1:9" ht="13.5" hidden="1">
      <c r="A60" s="51" t="s">
        <v>35</v>
      </c>
      <c r="C60" s="22"/>
      <c r="D60" s="22"/>
      <c r="F60" s="22" t="s">
        <v>36</v>
      </c>
      <c r="I60" s="48"/>
    </row>
    <row r="61" spans="1:9" hidden="1">
      <c r="A61" s="47" t="s">
        <v>37</v>
      </c>
      <c r="B61" s="10"/>
      <c r="C61" s="10"/>
      <c r="D61" s="10"/>
      <c r="F61" s="10" t="s">
        <v>38</v>
      </c>
      <c r="I61" s="48"/>
    </row>
    <row r="62" spans="1:9" hidden="1">
      <c r="A62" s="47"/>
      <c r="B62" s="10"/>
      <c r="C62" s="10"/>
      <c r="D62" s="10"/>
      <c r="F62" s="10" t="s">
        <v>39</v>
      </c>
      <c r="G62" s="10"/>
      <c r="I62" s="48"/>
    </row>
    <row r="63" spans="1:9">
      <c r="A63" s="52"/>
      <c r="B63" s="53"/>
      <c r="C63" s="53"/>
      <c r="D63" s="53"/>
      <c r="E63" s="54"/>
      <c r="F63" s="53"/>
      <c r="G63" s="53"/>
      <c r="H63" s="54"/>
      <c r="I63" s="55"/>
    </row>
    <row r="64" spans="1:9">
      <c r="A64" s="10"/>
      <c r="B64" s="10"/>
      <c r="C64" s="10"/>
      <c r="D64" s="10"/>
      <c r="E64" s="10"/>
      <c r="F64" s="10"/>
      <c r="G64" s="10"/>
    </row>
    <row r="65" spans="1:7">
      <c r="A65" s="10"/>
      <c r="B65" s="10"/>
      <c r="C65" s="10"/>
      <c r="D65" s="10"/>
      <c r="E65" s="10"/>
      <c r="F65" s="10"/>
      <c r="G65" s="10"/>
    </row>
    <row r="66" spans="1:7">
      <c r="A66" s="10"/>
      <c r="B66" s="10"/>
      <c r="C66" s="10"/>
      <c r="D66" s="10"/>
      <c r="E66" s="10"/>
      <c r="F66" s="10"/>
      <c r="G66" s="10"/>
    </row>
    <row r="67" spans="1:7">
      <c r="A67" s="10"/>
      <c r="B67" s="10"/>
      <c r="C67" s="10"/>
      <c r="D67" s="10"/>
      <c r="E67" s="10"/>
      <c r="F67" s="10"/>
      <c r="G67" s="10"/>
    </row>
    <row r="68" spans="1:7">
      <c r="A68" s="10"/>
      <c r="B68" s="10"/>
      <c r="C68" s="10"/>
      <c r="D68" s="10"/>
      <c r="E68" s="10"/>
      <c r="F68" s="10"/>
      <c r="G68" s="10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68"/>
  <sheetViews>
    <sheetView showGridLines="0" topLeftCell="A15" zoomScaleNormal="100" workbookViewId="0">
      <selection activeCell="F42" sqref="F42"/>
    </sheetView>
  </sheetViews>
  <sheetFormatPr baseColWidth="10" defaultColWidth="11.46484375" defaultRowHeight="12.75"/>
  <cols>
    <col min="1" max="1" width="8.46484375" style="11" customWidth="1"/>
    <col min="2" max="2" width="14.53125" style="11" customWidth="1"/>
    <col min="3" max="3" width="30.73046875" style="11" customWidth="1"/>
    <col min="4" max="4" width="16" style="11" customWidth="1"/>
    <col min="5" max="5" width="16.19921875" style="11" customWidth="1"/>
    <col min="6" max="6" width="20.19921875" style="11" bestFit="1" customWidth="1"/>
    <col min="7" max="7" width="16.19921875" style="11" customWidth="1"/>
    <col min="8" max="8" width="16.265625" style="11" customWidth="1"/>
    <col min="9" max="9" width="3" style="11" customWidth="1"/>
    <col min="10" max="16384" width="11.46484375" style="11"/>
  </cols>
  <sheetData>
    <row r="1" spans="1:9" hidden="1">
      <c r="A1" s="10"/>
      <c r="B1" s="10"/>
      <c r="C1" s="10"/>
      <c r="D1" s="10"/>
      <c r="E1" s="10"/>
      <c r="F1" s="10"/>
      <c r="G1" s="10"/>
    </row>
    <row r="2" spans="1:9" hidden="1">
      <c r="A2" s="10"/>
      <c r="B2" s="10"/>
      <c r="C2" s="10"/>
      <c r="D2" s="10"/>
      <c r="E2" s="10"/>
      <c r="F2" s="10"/>
      <c r="G2" s="10"/>
    </row>
    <row r="3" spans="1:9" hidden="1">
      <c r="A3" s="10"/>
      <c r="B3" s="10"/>
      <c r="C3" s="10"/>
      <c r="D3" s="10"/>
      <c r="E3" s="10"/>
      <c r="F3" s="10"/>
      <c r="G3" s="10"/>
    </row>
    <row r="4" spans="1:9" hidden="1">
      <c r="A4" s="10"/>
      <c r="B4" s="10"/>
      <c r="C4" s="10"/>
      <c r="D4" s="10"/>
      <c r="E4" s="10"/>
      <c r="F4" s="10"/>
      <c r="G4" s="10"/>
    </row>
    <row r="5" spans="1:9" hidden="1">
      <c r="A5" s="10"/>
      <c r="B5" s="10"/>
      <c r="C5" s="10"/>
      <c r="D5" s="10"/>
      <c r="E5" s="10"/>
      <c r="F5" s="10"/>
      <c r="G5" s="10"/>
    </row>
    <row r="6" spans="1:9" hidden="1">
      <c r="A6" s="95"/>
      <c r="B6" s="95"/>
      <c r="C6" s="95"/>
      <c r="D6" s="95"/>
      <c r="E6" s="95"/>
      <c r="F6" s="95"/>
      <c r="G6" s="95"/>
    </row>
    <row r="7" spans="1:9" hidden="1">
      <c r="A7" s="10"/>
      <c r="B7" s="10"/>
      <c r="C7" s="10"/>
      <c r="D7" s="10"/>
      <c r="E7" s="10"/>
      <c r="F7" s="10"/>
      <c r="G7" s="10"/>
    </row>
    <row r="8" spans="1:9" ht="15" hidden="1">
      <c r="A8" s="96" t="s">
        <v>8</v>
      </c>
      <c r="B8" s="96"/>
      <c r="C8" s="96"/>
      <c r="D8" s="96"/>
      <c r="E8" s="96"/>
      <c r="F8" s="96"/>
      <c r="G8" s="96"/>
      <c r="H8" s="96"/>
    </row>
    <row r="9" spans="1:9" ht="13.9">
      <c r="A9" s="83" t="s">
        <v>1</v>
      </c>
      <c r="B9" s="10"/>
      <c r="C9" s="10"/>
      <c r="D9" s="10"/>
      <c r="E9" s="10"/>
      <c r="F9" s="10"/>
      <c r="G9" s="10"/>
    </row>
    <row r="10" spans="1:9">
      <c r="A10" s="68"/>
      <c r="B10" s="44"/>
      <c r="C10" s="44"/>
      <c r="D10" s="44"/>
      <c r="E10" s="44"/>
      <c r="F10" s="44"/>
      <c r="G10" s="44"/>
      <c r="H10" s="45"/>
      <c r="I10" s="46"/>
    </row>
    <row r="11" spans="1:9">
      <c r="A11" s="69" t="s">
        <v>44</v>
      </c>
      <c r="B11" s="10"/>
      <c r="C11" s="10"/>
      <c r="D11" s="10"/>
      <c r="E11" s="13"/>
      <c r="F11" s="13"/>
      <c r="G11" s="14"/>
      <c r="I11" s="48"/>
    </row>
    <row r="12" spans="1:9">
      <c r="A12" s="47"/>
      <c r="B12" s="10"/>
      <c r="C12" s="10"/>
      <c r="D12" s="10"/>
      <c r="E12" s="13"/>
      <c r="F12" s="13"/>
      <c r="G12" s="14"/>
      <c r="I12" s="48"/>
    </row>
    <row r="13" spans="1:9" ht="15">
      <c r="A13" s="70"/>
      <c r="C13" s="10"/>
      <c r="D13" s="10"/>
      <c r="E13" s="13"/>
      <c r="F13" s="13"/>
      <c r="G13" s="14"/>
      <c r="I13" s="48"/>
    </row>
    <row r="14" spans="1:9" ht="15">
      <c r="A14" s="71" t="s">
        <v>10</v>
      </c>
      <c r="B14" s="16"/>
      <c r="C14" s="10"/>
      <c r="D14" s="10"/>
      <c r="E14" s="13"/>
      <c r="F14" s="13"/>
      <c r="G14" s="14"/>
      <c r="I14" s="48"/>
    </row>
    <row r="15" spans="1:9" ht="15">
      <c r="A15" s="71" t="s">
        <v>11</v>
      </c>
      <c r="B15" s="16"/>
      <c r="C15" s="10"/>
      <c r="D15" s="10"/>
      <c r="E15" s="13"/>
      <c r="F15" s="13"/>
      <c r="G15" s="14"/>
      <c r="I15" s="48"/>
    </row>
    <row r="16" spans="1:9" ht="15">
      <c r="A16" s="71" t="s">
        <v>12</v>
      </c>
      <c r="B16" s="16"/>
      <c r="C16" s="10"/>
      <c r="D16" s="10"/>
      <c r="E16" s="13"/>
      <c r="F16" s="13"/>
      <c r="G16" s="14"/>
      <c r="I16" s="48"/>
    </row>
    <row r="17" spans="1:9" ht="15">
      <c r="A17" s="16" t="s">
        <v>43</v>
      </c>
      <c r="B17" s="16"/>
      <c r="C17" s="10"/>
      <c r="D17" s="10"/>
      <c r="E17" s="13"/>
      <c r="F17" s="13"/>
      <c r="G17" s="14"/>
      <c r="I17" s="48"/>
    </row>
    <row r="18" spans="1:9" ht="15">
      <c r="A18" s="101"/>
      <c r="B18" s="97"/>
      <c r="C18" s="10"/>
      <c r="D18" s="10"/>
      <c r="E18" s="14"/>
      <c r="F18" s="14"/>
      <c r="G18" s="14"/>
      <c r="I18" s="48"/>
    </row>
    <row r="19" spans="1:9" ht="15">
      <c r="A19" s="101"/>
      <c r="B19" s="97"/>
      <c r="C19" s="10"/>
      <c r="D19" s="10"/>
      <c r="E19" s="14"/>
      <c r="F19" s="14"/>
      <c r="G19" s="14"/>
      <c r="I19" s="48"/>
    </row>
    <row r="20" spans="1:9">
      <c r="A20" s="47"/>
      <c r="B20" s="10"/>
      <c r="C20" s="10"/>
      <c r="D20" s="10"/>
      <c r="E20" s="14"/>
      <c r="F20" s="14"/>
      <c r="G20" s="14"/>
      <c r="I20" s="48"/>
    </row>
    <row r="21" spans="1:9">
      <c r="A21" s="47"/>
      <c r="B21" s="10"/>
      <c r="C21" s="10"/>
      <c r="D21" s="10"/>
      <c r="E21" s="10"/>
      <c r="F21" s="10"/>
      <c r="G21" s="10"/>
      <c r="I21" s="48"/>
    </row>
    <row r="22" spans="1:9">
      <c r="A22" s="72" t="s">
        <v>13</v>
      </c>
      <c r="B22" s="17" t="s">
        <v>6</v>
      </c>
      <c r="C22" s="17" t="s">
        <v>14</v>
      </c>
      <c r="D22" s="17" t="s">
        <v>15</v>
      </c>
      <c r="F22" s="17" t="s">
        <v>16</v>
      </c>
      <c r="H22" s="17" t="s">
        <v>7</v>
      </c>
      <c r="I22" s="48"/>
    </row>
    <row r="23" spans="1:9" ht="12.75" customHeight="1">
      <c r="A23" s="47"/>
      <c r="B23" s="10"/>
      <c r="C23" s="10" t="s">
        <v>17</v>
      </c>
      <c r="D23" s="40" t="s">
        <v>18</v>
      </c>
      <c r="F23" s="11" t="s">
        <v>19</v>
      </c>
      <c r="H23" s="94" t="s">
        <v>45</v>
      </c>
      <c r="I23" s="48"/>
    </row>
    <row r="24" spans="1:9">
      <c r="A24" s="72"/>
      <c r="B24" s="17"/>
      <c r="C24" s="17"/>
      <c r="D24" s="39"/>
      <c r="E24" s="10"/>
      <c r="F24" s="18"/>
      <c r="G24" s="10"/>
      <c r="I24" s="48"/>
    </row>
    <row r="25" spans="1:9">
      <c r="A25" s="72"/>
      <c r="B25" s="17"/>
      <c r="C25" s="17"/>
      <c r="D25" s="17"/>
      <c r="E25" s="10"/>
      <c r="F25" s="10"/>
      <c r="G25" s="19"/>
      <c r="I25" s="48"/>
    </row>
    <row r="26" spans="1:9" ht="22.5">
      <c r="A26" s="73" t="s">
        <v>0</v>
      </c>
      <c r="B26" s="10"/>
      <c r="C26" s="17"/>
      <c r="D26" s="17"/>
      <c r="E26" s="10"/>
      <c r="F26" s="10"/>
      <c r="G26" s="19"/>
      <c r="I26" s="48"/>
    </row>
    <row r="27" spans="1:9" ht="17.649999999999999">
      <c r="A27" s="74"/>
      <c r="B27" s="10"/>
      <c r="C27" s="17"/>
      <c r="D27" s="17"/>
      <c r="E27" s="10"/>
      <c r="F27" s="10"/>
      <c r="G27" s="19"/>
      <c r="I27" s="48"/>
    </row>
    <row r="28" spans="1:9">
      <c r="A28" s="47"/>
      <c r="B28" s="10"/>
      <c r="C28" s="10"/>
      <c r="D28" s="10"/>
      <c r="E28" s="10"/>
      <c r="F28" s="10"/>
      <c r="G28" s="10"/>
      <c r="I28" s="48"/>
    </row>
    <row r="29" spans="1:9">
      <c r="A29" s="47"/>
      <c r="B29" s="10"/>
      <c r="C29" s="10"/>
      <c r="D29" s="10"/>
      <c r="E29" s="10"/>
      <c r="F29" s="90"/>
      <c r="G29" s="10"/>
      <c r="I29" s="48"/>
    </row>
    <row r="30" spans="1:9" ht="15">
      <c r="A30" s="50" t="s">
        <v>20</v>
      </c>
      <c r="C30" s="23">
        <v>2401</v>
      </c>
      <c r="D30" s="10"/>
      <c r="E30" s="10"/>
      <c r="F30" s="10"/>
      <c r="G30" s="10"/>
      <c r="I30" s="48"/>
    </row>
    <row r="31" spans="1:9" ht="15">
      <c r="A31" s="75" t="s">
        <v>21</v>
      </c>
      <c r="C31" s="23">
        <v>50215</v>
      </c>
      <c r="D31" s="10"/>
      <c r="E31" s="10"/>
      <c r="F31" s="10"/>
      <c r="G31" s="10"/>
      <c r="I31" s="48"/>
    </row>
    <row r="32" spans="1:9" ht="15">
      <c r="A32" s="75" t="s">
        <v>22</v>
      </c>
      <c r="B32" s="23"/>
      <c r="D32" s="10"/>
      <c r="E32" s="10"/>
      <c r="F32" s="10"/>
      <c r="G32" s="10"/>
      <c r="I32" s="48"/>
    </row>
    <row r="33" spans="1:9" ht="15">
      <c r="A33" s="75" t="s">
        <v>23</v>
      </c>
      <c r="B33" s="27"/>
      <c r="D33" s="10"/>
      <c r="E33" s="10"/>
      <c r="F33" s="10"/>
      <c r="G33" s="10"/>
      <c r="I33" s="48"/>
    </row>
    <row r="34" spans="1:9" ht="15">
      <c r="A34" s="47"/>
      <c r="B34" s="24"/>
      <c r="C34" s="25"/>
      <c r="D34" s="10"/>
      <c r="E34" s="10"/>
      <c r="F34" s="10"/>
      <c r="G34" s="10"/>
      <c r="I34" s="48"/>
    </row>
    <row r="35" spans="1:9">
      <c r="A35" s="47"/>
      <c r="B35" s="10"/>
      <c r="C35" s="10"/>
      <c r="D35" s="10"/>
      <c r="E35" s="10"/>
      <c r="F35" s="10"/>
      <c r="G35" s="10"/>
      <c r="I35" s="48"/>
    </row>
    <row r="36" spans="1:9" ht="13.5">
      <c r="A36" s="50"/>
      <c r="B36" s="10"/>
      <c r="C36" s="10"/>
      <c r="D36" s="10"/>
      <c r="E36" s="10"/>
      <c r="F36" s="10"/>
      <c r="G36" s="10"/>
      <c r="I36" s="48"/>
    </row>
    <row r="37" spans="1:9" ht="13.15" thickBot="1">
      <c r="A37" s="47"/>
      <c r="B37" s="10"/>
      <c r="C37" s="10"/>
      <c r="D37" s="10"/>
      <c r="E37" s="10"/>
      <c r="F37" s="10"/>
      <c r="G37" s="10"/>
      <c r="I37" s="48"/>
    </row>
    <row r="38" spans="1:9" ht="14.25" thickBot="1">
      <c r="A38" s="59" t="s">
        <v>24</v>
      </c>
      <c r="B38" s="59" t="s">
        <v>25</v>
      </c>
      <c r="C38" s="59" t="s">
        <v>26</v>
      </c>
      <c r="D38" s="59" t="s">
        <v>27</v>
      </c>
      <c r="E38" s="59" t="s">
        <v>28</v>
      </c>
      <c r="F38" s="59" t="s">
        <v>40</v>
      </c>
      <c r="G38" s="59" t="s">
        <v>29</v>
      </c>
      <c r="H38" s="60" t="s">
        <v>30</v>
      </c>
      <c r="I38" s="48"/>
    </row>
    <row r="39" spans="1:9" ht="13.5">
      <c r="A39" s="28">
        <v>1</v>
      </c>
      <c r="B39" s="28">
        <v>101111</v>
      </c>
      <c r="C39" s="29" t="s">
        <v>31</v>
      </c>
      <c r="D39" s="28">
        <v>10</v>
      </c>
      <c r="E39" s="30">
        <v>489</v>
      </c>
      <c r="F39" s="42">
        <f>IF(OR(D39&gt;=15,$C$30=2401),10,0)</f>
        <v>10</v>
      </c>
      <c r="G39" s="30"/>
      <c r="H39" s="30"/>
      <c r="I39" s="48"/>
    </row>
    <row r="40" spans="1:9" ht="13.5">
      <c r="A40" s="61">
        <v>2</v>
      </c>
      <c r="B40" s="61">
        <v>101114</v>
      </c>
      <c r="C40" s="62" t="s">
        <v>41</v>
      </c>
      <c r="D40" s="61">
        <v>25</v>
      </c>
      <c r="E40" s="63">
        <v>98</v>
      </c>
      <c r="F40" s="63">
        <f t="shared" ref="F40:F42" si="0">IF(OR(D40&gt;=15,$C$30=2401),10,0)</f>
        <v>10</v>
      </c>
      <c r="G40" s="63"/>
      <c r="H40" s="63"/>
      <c r="I40" s="48"/>
    </row>
    <row r="41" spans="1:9" ht="13.5">
      <c r="A41" s="28">
        <v>3</v>
      </c>
      <c r="B41" s="28">
        <v>202111</v>
      </c>
      <c r="C41" s="29" t="s">
        <v>42</v>
      </c>
      <c r="D41" s="28">
        <v>20</v>
      </c>
      <c r="E41" s="30">
        <v>228</v>
      </c>
      <c r="F41" s="30">
        <f t="shared" si="0"/>
        <v>10</v>
      </c>
      <c r="G41" s="30"/>
      <c r="H41" s="30"/>
      <c r="I41" s="48"/>
    </row>
    <row r="42" spans="1:9" ht="13.5">
      <c r="A42" s="61">
        <v>4</v>
      </c>
      <c r="B42" s="61">
        <v>202114</v>
      </c>
      <c r="C42" s="62" t="s">
        <v>46</v>
      </c>
      <c r="D42" s="61">
        <v>15</v>
      </c>
      <c r="E42" s="63">
        <v>349</v>
      </c>
      <c r="F42" s="63">
        <f t="shared" si="0"/>
        <v>10</v>
      </c>
      <c r="G42" s="63"/>
      <c r="H42" s="63"/>
      <c r="I42" s="48"/>
    </row>
    <row r="43" spans="1:9" ht="13.5">
      <c r="A43" s="28"/>
      <c r="B43" s="28"/>
      <c r="C43" s="29"/>
      <c r="D43" s="28"/>
      <c r="E43" s="30"/>
      <c r="F43" s="30"/>
      <c r="G43" s="30"/>
      <c r="H43" s="30"/>
      <c r="I43" s="48"/>
    </row>
    <row r="44" spans="1:9" ht="13.5" hidden="1">
      <c r="A44" s="61"/>
      <c r="B44" s="61"/>
      <c r="C44" s="62"/>
      <c r="D44" s="61"/>
      <c r="E44" s="63"/>
      <c r="F44" s="63"/>
      <c r="G44" s="63"/>
      <c r="H44" s="63"/>
      <c r="I44" s="48"/>
    </row>
    <row r="45" spans="1:9" ht="13.5" hidden="1">
      <c r="A45" s="28"/>
      <c r="B45" s="28"/>
      <c r="C45" s="29"/>
      <c r="D45" s="28"/>
      <c r="E45" s="30"/>
      <c r="F45" s="30"/>
      <c r="G45" s="30"/>
      <c r="H45" s="30"/>
      <c r="I45" s="48"/>
    </row>
    <row r="46" spans="1:9" ht="13.5" hidden="1">
      <c r="A46" s="61"/>
      <c r="B46" s="61"/>
      <c r="C46" s="62"/>
      <c r="D46" s="61"/>
      <c r="E46" s="63"/>
      <c r="F46" s="63"/>
      <c r="G46" s="63"/>
      <c r="H46" s="63"/>
      <c r="I46" s="48"/>
    </row>
    <row r="47" spans="1:9" ht="13.5" hidden="1">
      <c r="A47" s="28"/>
      <c r="B47" s="28"/>
      <c r="C47" s="29"/>
      <c r="D47" s="28"/>
      <c r="E47" s="30"/>
      <c r="F47" s="30"/>
      <c r="G47" s="30"/>
      <c r="H47" s="30"/>
      <c r="I47" s="48"/>
    </row>
    <row r="48" spans="1:9" ht="13.5" hidden="1">
      <c r="A48" s="61"/>
      <c r="B48" s="61"/>
      <c r="C48" s="62"/>
      <c r="D48" s="61"/>
      <c r="E48" s="63"/>
      <c r="F48" s="63"/>
      <c r="G48" s="63"/>
      <c r="H48" s="63"/>
      <c r="I48" s="48"/>
    </row>
    <row r="49" spans="1:9" ht="13.5" hidden="1">
      <c r="A49" s="28"/>
      <c r="B49" s="28"/>
      <c r="C49" s="29"/>
      <c r="D49" s="28"/>
      <c r="E49" s="30"/>
      <c r="F49" s="30"/>
      <c r="G49" s="30"/>
      <c r="H49" s="30"/>
      <c r="I49" s="48"/>
    </row>
    <row r="50" spans="1:9" ht="13.5" hidden="1">
      <c r="A50" s="61"/>
      <c r="B50" s="61"/>
      <c r="C50" s="62"/>
      <c r="D50" s="61"/>
      <c r="E50" s="63"/>
      <c r="F50" s="63"/>
      <c r="G50" s="63"/>
      <c r="H50" s="63"/>
      <c r="I50" s="48"/>
    </row>
    <row r="51" spans="1:9" ht="13.5" hidden="1">
      <c r="A51" s="28"/>
      <c r="B51" s="28"/>
      <c r="C51" s="29"/>
      <c r="D51" s="28"/>
      <c r="E51" s="30"/>
      <c r="F51" s="30"/>
      <c r="G51" s="30"/>
      <c r="H51" s="30"/>
      <c r="I51" s="48"/>
    </row>
    <row r="52" spans="1:9" ht="13.5" hidden="1">
      <c r="A52" s="61"/>
      <c r="B52" s="61"/>
      <c r="C52" s="62"/>
      <c r="D52" s="61"/>
      <c r="E52" s="63"/>
      <c r="F52" s="63"/>
      <c r="G52" s="63"/>
      <c r="H52" s="63"/>
      <c r="I52" s="48"/>
    </row>
    <row r="53" spans="1:9" ht="13.5" hidden="1">
      <c r="A53" s="28"/>
      <c r="B53" s="28"/>
      <c r="C53" s="29"/>
      <c r="D53" s="28"/>
      <c r="E53" s="30"/>
      <c r="F53" s="30"/>
      <c r="G53" s="30"/>
      <c r="H53" s="30"/>
      <c r="I53" s="48"/>
    </row>
    <row r="54" spans="1:9" ht="13.5" hidden="1">
      <c r="A54" s="64"/>
      <c r="B54" s="64"/>
      <c r="C54" s="65"/>
      <c r="D54" s="64"/>
      <c r="E54" s="66"/>
      <c r="F54" s="63"/>
      <c r="G54" s="63"/>
      <c r="H54" s="63"/>
      <c r="I54" s="48"/>
    </row>
    <row r="55" spans="1:9" ht="13.5" hidden="1">
      <c r="A55" s="49"/>
      <c r="B55" s="33"/>
      <c r="C55" s="33"/>
      <c r="D55" s="33"/>
      <c r="F55" s="34" t="s">
        <v>32</v>
      </c>
      <c r="G55" s="35"/>
      <c r="H55" s="36">
        <f>SUM(H39:H54)</f>
        <v>0</v>
      </c>
      <c r="I55" s="48"/>
    </row>
    <row r="56" spans="1:9" ht="13.5" hidden="1">
      <c r="A56" s="49"/>
      <c r="B56" s="33"/>
      <c r="C56" s="33"/>
      <c r="D56" s="33"/>
      <c r="F56" s="98">
        <v>19</v>
      </c>
      <c r="G56" s="99"/>
      <c r="H56" s="36">
        <f>H55*F56/100</f>
        <v>0</v>
      </c>
      <c r="I56" s="48"/>
    </row>
    <row r="57" spans="1:9" ht="13.9" hidden="1">
      <c r="A57" s="49"/>
      <c r="B57" s="33"/>
      <c r="C57" s="33"/>
      <c r="D57" s="33"/>
      <c r="F57" s="37" t="s">
        <v>33</v>
      </c>
      <c r="G57" s="35" t="s">
        <v>34</v>
      </c>
      <c r="H57" s="38">
        <f>H55+H56</f>
        <v>0</v>
      </c>
      <c r="I57" s="48"/>
    </row>
    <row r="58" spans="1:9" ht="13.5" hidden="1">
      <c r="A58" s="50"/>
      <c r="B58" s="22"/>
      <c r="C58" s="22"/>
      <c r="D58" s="22"/>
      <c r="E58" s="22"/>
      <c r="F58" s="22"/>
      <c r="G58" s="22"/>
      <c r="I58" s="48"/>
    </row>
    <row r="59" spans="1:9" ht="13.5" hidden="1">
      <c r="A59" s="50"/>
      <c r="B59" s="22"/>
      <c r="C59" s="22"/>
      <c r="D59" s="22"/>
      <c r="E59" s="22"/>
      <c r="I59" s="48"/>
    </row>
    <row r="60" spans="1:9" ht="13.5" hidden="1">
      <c r="A60" s="51" t="s">
        <v>35</v>
      </c>
      <c r="C60" s="22"/>
      <c r="D60" s="22"/>
      <c r="F60" s="22" t="s">
        <v>36</v>
      </c>
      <c r="I60" s="48"/>
    </row>
    <row r="61" spans="1:9" hidden="1">
      <c r="A61" s="47" t="s">
        <v>37</v>
      </c>
      <c r="B61" s="10"/>
      <c r="C61" s="10"/>
      <c r="D61" s="10"/>
      <c r="F61" s="10" t="s">
        <v>38</v>
      </c>
      <c r="I61" s="48"/>
    </row>
    <row r="62" spans="1:9" hidden="1">
      <c r="A62" s="47"/>
      <c r="B62" s="10"/>
      <c r="C62" s="10"/>
      <c r="D62" s="10"/>
      <c r="F62" s="10" t="s">
        <v>39</v>
      </c>
      <c r="G62" s="10"/>
      <c r="I62" s="48"/>
    </row>
    <row r="63" spans="1:9">
      <c r="A63" s="52"/>
      <c r="B63" s="53"/>
      <c r="C63" s="53"/>
      <c r="D63" s="53"/>
      <c r="E63" s="54"/>
      <c r="F63" s="53"/>
      <c r="G63" s="53"/>
      <c r="H63" s="54"/>
      <c r="I63" s="55"/>
    </row>
    <row r="64" spans="1:9">
      <c r="A64" s="10"/>
      <c r="B64" s="10"/>
      <c r="C64" s="10"/>
      <c r="D64" s="10"/>
      <c r="E64" s="10"/>
      <c r="F64" s="10"/>
      <c r="G64" s="10"/>
    </row>
    <row r="65" spans="1:7">
      <c r="A65" s="10"/>
      <c r="B65" s="10"/>
      <c r="C65" s="10"/>
      <c r="D65" s="10"/>
      <c r="E65" s="10"/>
      <c r="F65" s="10"/>
      <c r="G65" s="10"/>
    </row>
    <row r="66" spans="1:7">
      <c r="A66" s="10"/>
      <c r="B66" s="10"/>
      <c r="C66" s="10"/>
      <c r="D66" s="10"/>
      <c r="E66" s="10"/>
      <c r="F66" s="10"/>
      <c r="G66" s="10"/>
    </row>
    <row r="67" spans="1:7">
      <c r="A67" s="10"/>
      <c r="B67" s="10"/>
      <c r="C67" s="10"/>
      <c r="D67" s="10"/>
      <c r="E67" s="10"/>
      <c r="F67" s="10"/>
      <c r="G67" s="10"/>
    </row>
    <row r="68" spans="1:7">
      <c r="A68" s="10"/>
      <c r="B68" s="10"/>
      <c r="C68" s="10"/>
      <c r="D68" s="10"/>
      <c r="E68" s="10"/>
      <c r="F68" s="10"/>
      <c r="G68" s="10"/>
    </row>
  </sheetData>
  <mergeCells count="5">
    <mergeCell ref="A6:G6"/>
    <mergeCell ref="A8:H8"/>
    <mergeCell ref="A18:B18"/>
    <mergeCell ref="A19:B19"/>
    <mergeCell ref="F56:G56"/>
  </mergeCells>
  <pageMargins left="0.94488188976377963" right="0.39370078740157483" top="0.35433070866141736" bottom="0.27559055118110237" header="0.23622047244094491" footer="0.19685039370078741"/>
  <pageSetup paperSize="9" scale="72" orientation="portrait" r:id="rId1"/>
  <headerFooter alignWithMargins="0">
    <oddFooter>&amp;R&amp;8G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Vorlage</vt:lpstr>
      <vt:lpstr>03</vt:lpstr>
      <vt:lpstr>04</vt:lpstr>
      <vt:lpstr>10</vt:lpstr>
      <vt:lpstr>15_16</vt:lpstr>
      <vt:lpstr>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2009-06-26T07:47:35Z</cp:lastPrinted>
  <dcterms:created xsi:type="dcterms:W3CDTF">2009-01-31T17:13:04Z</dcterms:created>
  <dcterms:modified xsi:type="dcterms:W3CDTF">2024-08-08T12:30:32Z</dcterms:modified>
</cp:coreProperties>
</file>