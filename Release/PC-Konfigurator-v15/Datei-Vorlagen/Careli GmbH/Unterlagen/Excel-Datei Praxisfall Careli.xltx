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date1904="1"/>
  <mc:AlternateContent xmlns:mc="http://schemas.openxmlformats.org/markup-compatibility/2006">
    <mc:Choice Requires="x15">
      <x15ac:absPath xmlns:x15ac="http://schemas.microsoft.com/office/spreadsheetml/2010/11/ac" url="https://d.docs.live.net/746d0da4b5755b4d/Git-Projekte/PC-Konfigurator/Datei-Vorlagen/Careli GmbH/Unterlagen/"/>
    </mc:Choice>
  </mc:AlternateContent>
  <xr:revisionPtr revIDLastSave="0" documentId="13_ncr:3_{4E3D4935-572D-426A-A552-350DEE048A7A}" xr6:coauthVersionLast="47" xr6:coauthVersionMax="47" xr10:uidLastSave="{00000000-0000-0000-0000-000000000000}"/>
  <bookViews>
    <workbookView xWindow="-120" yWindow="-120" windowWidth="29040" windowHeight="15720" tabRatio="877" xr2:uid="{00000000-000D-0000-FFFF-FFFF00000000}"/>
  </bookViews>
  <sheets>
    <sheet name="Daten für Situationsanalysen" sheetId="8" r:id="rId1"/>
    <sheet name="Marktgrößenanalyse" sheetId="18" r:id="rId2"/>
    <sheet name="Produktlebenszyklusanalysen" sheetId="15" r:id="rId3"/>
    <sheet name="Portfolioanalyse" sheetId="19" r:id="rId4"/>
    <sheet name="Preiselastizität der Nachfrage" sheetId="20" r:id="rId5"/>
    <sheet name="Preiskalkulation" sheetId="17" r:id="rId6"/>
    <sheet name="Mediaplan" sheetId="22" r:id="rId7"/>
    <sheet name="Betriebserfolg" sheetId="10" r:id="rId8"/>
    <sheet name="Werbeerfolg" sheetId="2" r:id="rId9"/>
    <sheet name="Deckungsbeitragserfolg" sheetId="9" r:id="rId10"/>
    <sheet name="E-Commerce-Erfolg" sheetId="23" r:id="rId1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3" l="1"/>
  <c r="C9" i="23"/>
  <c r="D8" i="23"/>
  <c r="D9" i="23"/>
  <c r="E8" i="23"/>
  <c r="E9" i="23"/>
  <c r="C4" i="23"/>
  <c r="D4" i="23"/>
  <c r="E4" i="23"/>
  <c r="C5" i="23"/>
  <c r="D5" i="23"/>
  <c r="E5" i="23"/>
  <c r="G16" i="8"/>
  <c r="F16" i="8"/>
  <c r="E16" i="8"/>
  <c r="D16" i="8"/>
</calcChain>
</file>

<file path=xl/sharedStrings.xml><?xml version="1.0" encoding="utf-8"?>
<sst xmlns="http://schemas.openxmlformats.org/spreadsheetml/2006/main" count="210" uniqueCount="159">
  <si>
    <t>Careli
Produktgruppe</t>
  </si>
  <si>
    <t>Businesstaschen</t>
  </si>
  <si>
    <t>Reisetaschen</t>
  </si>
  <si>
    <t>Damenhandtaschen</t>
  </si>
  <si>
    <t>Portfolioanalyse</t>
  </si>
  <si>
    <t>Umsatzentwicklung der Produktgruppen (in %)</t>
  </si>
  <si>
    <t>Werbeerfolgskontrolle Careli GmbH: Geschäftsjahr</t>
  </si>
  <si>
    <t>Ist-Deckungsbeitrag (%)</t>
  </si>
  <si>
    <t>Soll-Deckungsbeitrag (%)</t>
  </si>
  <si>
    <t>Soll-Ist-Abweichung (%)</t>
  </si>
  <si>
    <t>Quartal I</t>
  </si>
  <si>
    <t>Quartal II</t>
  </si>
  <si>
    <t>Quartal III</t>
  </si>
  <si>
    <t>Quartal IV</t>
  </si>
  <si>
    <t>Soll-Ist-Abweichungen: Deckungsbeiträge "study-line"</t>
  </si>
  <si>
    <t>Kosten</t>
  </si>
  <si>
    <t>Gewinn/Verlust</t>
  </si>
  <si>
    <t>Abweichg.
(%)</t>
  </si>
  <si>
    <t>Gesamt</t>
  </si>
  <si>
    <t>study-line</t>
  </si>
  <si>
    <t>Outdoor-Rucksäcke</t>
  </si>
  <si>
    <t>Kennzahl</t>
  </si>
  <si>
    <t>Psychologischer Werbeerfolg</t>
  </si>
  <si>
    <t>Ökonomischer Werbeerfolg</t>
  </si>
  <si>
    <t>Soll-Werte</t>
  </si>
  <si>
    <t>Ist-Werte</t>
  </si>
  <si>
    <t>Abweichung in %</t>
  </si>
  <si>
    <t>Gewinn</t>
  </si>
  <si>
    <t>Umsatz</t>
  </si>
  <si>
    <t>Vorjahresumsätze Careli GmbH (in Mio. EUR)</t>
  </si>
  <si>
    <t>Marktanalyse und -prognose: Taschenmarktsegmente Deutschland (Schätzwerte)</t>
  </si>
  <si>
    <t>Vorjahr -3</t>
  </si>
  <si>
    <t>Werberendite (%)</t>
  </si>
  <si>
    <t>Werbebudgetquote (%)</t>
  </si>
  <si>
    <t>Bekanntheitsgrad (%)</t>
  </si>
  <si>
    <t>Imageerfolg (%)</t>
  </si>
  <si>
    <t>Produktgruppe</t>
  </si>
  <si>
    <t>Vorjahr -2</t>
  </si>
  <si>
    <t>Vorjahr -1</t>
  </si>
  <si>
    <t>Vorjahr</t>
  </si>
  <si>
    <t>female</t>
  </si>
  <si>
    <t>business</t>
  </si>
  <si>
    <t>traveller</t>
  </si>
  <si>
    <t>outdoor</t>
  </si>
  <si>
    <t>Summen</t>
  </si>
  <si>
    <t>Marktsegment</t>
  </si>
  <si>
    <t>=</t>
  </si>
  <si>
    <t>+</t>
  </si>
  <si>
    <t>Marktanteil (%)</t>
  </si>
  <si>
    <t>Umsatz des stärksten
Wettbewerbers
Vorjahr
(Mio. EUR)</t>
  </si>
  <si>
    <t>Markt-
volumen
Vorjahr
(Mio. EUR)</t>
  </si>
  <si>
    <t>erwartetes
Marktvolumen
Geschäftsjahr
(Mio. EUR)</t>
  </si>
  <si>
    <t>Marktgrößen Vorjahr</t>
  </si>
  <si>
    <t>Careli</t>
  </si>
  <si>
    <t>stärkster 
Wettbewerber</t>
  </si>
  <si>
    <t>restliche 
Anbieter</t>
  </si>
  <si>
    <t>Marktaus-
schöpfungsgrad
Vorjahr
(%)</t>
  </si>
  <si>
    <t>Zuschlagskalkulation</t>
  </si>
  <si>
    <t>Fertigungsmaterial</t>
  </si>
  <si>
    <t>Materialgemeinkosten</t>
  </si>
  <si>
    <t>Materialkosten</t>
  </si>
  <si>
    <t>Fertigungslöhne</t>
  </si>
  <si>
    <t>Fertigungsgemeinkosten</t>
  </si>
  <si>
    <t>Fertigungskosten</t>
  </si>
  <si>
    <t>Herstellkosten</t>
  </si>
  <si>
    <t>Verwaltungsgemeinkosten</t>
  </si>
  <si>
    <t>Vertriebsgemeinkosten</t>
  </si>
  <si>
    <t>Selbstkosten</t>
  </si>
  <si>
    <t>Barverkaufspreis</t>
  </si>
  <si>
    <t>Kundenskonto</t>
  </si>
  <si>
    <t>Zielverkaufspreis</t>
  </si>
  <si>
    <t>Kundenrabatt</t>
  </si>
  <si>
    <t>Listenverkaufspreis</t>
  </si>
  <si>
    <t>Zuschlags-
satz</t>
  </si>
  <si>
    <t>Position</t>
  </si>
  <si>
    <t>Preis in EUR</t>
  </si>
  <si>
    <t>weibliche Befragte</t>
  </si>
  <si>
    <t>männliche Befragte</t>
  </si>
  <si>
    <t>30,00 auf 40,00</t>
  </si>
  <si>
    <t>Vorjahr -3
gegenüber Vorjahr -2</t>
  </si>
  <si>
    <t>Vorjahr -2
gegenüber Vorjahr -1</t>
  </si>
  <si>
    <t>Vorjahr -1
gegenüber Vorjahr</t>
  </si>
  <si>
    <t>Anteil am Jahresumsatz 
Careli Vorjahr (in %)</t>
  </si>
  <si>
    <t>relativer Marktanteil
Vorjahr (dezimal)</t>
  </si>
  <si>
    <t>erwartetes Marktwachstum
Geschäftsjahr (in %)</t>
  </si>
  <si>
    <t>30,00 auf 20,00</t>
  </si>
  <si>
    <t>70,00 auf 80,00</t>
  </si>
  <si>
    <t>70,00 auf 60,00</t>
  </si>
  <si>
    <t>Elastizität</t>
  </si>
  <si>
    <t>Wertetabelle</t>
  </si>
  <si>
    <t>Zielgruppe: Junge Frauen</t>
  </si>
  <si>
    <t>Zielgruppe: Junge Männer</t>
  </si>
  <si>
    <t>Werbeträger</t>
  </si>
  <si>
    <t xml:space="preserve">Summe: 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</si>
  <si>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</si>
  <si>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</si>
  <si>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</si>
  <si>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</si>
  <si>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</si>
  <si>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</si>
  <si>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</si>
  <si>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</si>
  <si>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</si>
  <si>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</si>
  <si>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</si>
  <si>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</si>
  <si>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Preisänderung 
in %</t>
  </si>
  <si>
    <t>Absatzänderung 
in Stück</t>
  </si>
  <si>
    <t>Absatzänderung 
in %</t>
  </si>
  <si>
    <t>Umsatzänderung 
(EUR)</t>
  </si>
  <si>
    <t>Onlineshop-Daten Careli (Stand: 31. Dezember 20..)</t>
  </si>
  <si>
    <t>Okt</t>
  </si>
  <si>
    <t>Nov</t>
  </si>
  <si>
    <t>Dez</t>
  </si>
  <si>
    <t>Verweildauer (Sekunden)</t>
  </si>
  <si>
    <t>Anzahl Bestellungen (Stück)</t>
  </si>
  <si>
    <t>Onlineshop Umsatz (€)</t>
  </si>
  <si>
    <t>Retouren (€)</t>
  </si>
  <si>
    <t>Gesamtumsatz Careli (€)</t>
  </si>
  <si>
    <t>Quartal 4</t>
  </si>
  <si>
    <t>Soll</t>
  </si>
  <si>
    <t>Ist</t>
  </si>
  <si>
    <t>E-Commerce-Anteil (%)</t>
  </si>
  <si>
    <t>Conversion Rate (%)</t>
  </si>
  <si>
    <t>Warenkorbwert (€)</t>
  </si>
  <si>
    <t>Retourenquote (%)</t>
  </si>
  <si>
    <t xml:space="preserve">Anzahl Besucher des Onlineshops </t>
  </si>
  <si>
    <t>Anzahl Besucher, die nur eine Seite aufgerufen haben</t>
  </si>
  <si>
    <t>Anzahl Besucher (Unique Vistors)</t>
  </si>
  <si>
    <t>Verweildauer (Sekunden.)</t>
  </si>
  <si>
    <t>Absprungrate (Bounce Rate) (%)</t>
  </si>
  <si>
    <t>Marktvolumen
(Mio. €)</t>
  </si>
  <si>
    <t>Marktpotenzial
(Mio. €)</t>
  </si>
  <si>
    <t>Preisänderung von ... (€)</t>
  </si>
  <si>
    <t>Betrag (€)</t>
  </si>
  <si>
    <t>Format</t>
  </si>
  <si>
    <t>Anzahl
Schaltungen</t>
  </si>
  <si>
    <t>Kosten (€)</t>
  </si>
  <si>
    <t>M E D I A P L A N   2 0 . .</t>
  </si>
  <si>
    <t>Print</t>
  </si>
  <si>
    <t>TV</t>
  </si>
  <si>
    <t>Radio</t>
  </si>
  <si>
    <t>Web</t>
  </si>
  <si>
    <t>Soll
(Mio. €)</t>
  </si>
  <si>
    <t>Ist
(Mio. €)</t>
  </si>
  <si>
    <t>Anzahl potenzieller Kunden in Deutschland</t>
  </si>
  <si>
    <t>Gesamtkosten aller Werbemaßnahmen (€)</t>
  </si>
  <si>
    <t>Kosten aller Anzeigenkampagnen in verschiedenen Zeitschriften (€)</t>
  </si>
  <si>
    <t>Anzahl der erreichten Zeitschriftenleser</t>
  </si>
  <si>
    <t>Anzahl potenzieller Kunden, die die Marke „Careli“ kennen</t>
  </si>
  <si>
    <t>Durch Werbung erzielter Umsatzzuwachs (€)</t>
  </si>
  <si>
    <t>Anzahl der potentenziellen Kunden, welche die Marke "Careli"
mit dem gewünschten Image verbinden</t>
  </si>
  <si>
    <t>Werbegewinn (€)</t>
  </si>
  <si>
    <t>Tausenderpreis (Anzeigenkampagne, €)</t>
  </si>
  <si>
    <t>Umsatz (Tsd. €)</t>
  </si>
  <si>
    <t>Variable Kosten (Tsd. €)</t>
  </si>
  <si>
    <t>Ist-Deckungsbeitrag (Tsd. €)</t>
  </si>
  <si>
    <t>Abweichung (%)</t>
  </si>
  <si>
    <t>Controllingdaten Werbeerfolg (Istwerte Geschäftsjahr in EUR)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</si>
</sst>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"/>
    <numFmt numFmtId="165" formatCode="0.0%"/>
    <numFmt numFmtId="167" formatCode="0.0"/>
  </numFmts>
  <fonts count="18" x14ac:knownFonts="1">
    <font>
      <sz val="10"/>
      <name val="Arial"/>
    </font>
    <font>
      <sz val="10"/>
      <name val="Arial"/>
      <family val="2"/>
    </font>
    <font>
      <sz val="8"/>
      <name val="Verdana"/>
      <family val="2"/>
    </font>
    <font>
      <sz val="8"/>
      <name val="Arial"/>
      <family val="2"/>
    </font>
    <font>
      <b/>
      <sz val="12"/>
      <name val="Aptos"/>
      <family val="2"/>
    </font>
    <font>
      <b/>
      <sz val="11"/>
      <name val="Aptos"/>
      <family val="2"/>
    </font>
    <font>
      <sz val="11"/>
      <name val="Aptos"/>
      <family val="2"/>
    </font>
    <font>
      <b/>
      <sz val="11"/>
      <color indexed="10"/>
      <name val="Aptos"/>
      <family val="2"/>
    </font>
    <font>
      <b/>
      <sz val="11"/>
      <color indexed="8"/>
      <name val="Aptos"/>
      <family val="2"/>
    </font>
    <font>
      <sz val="11"/>
      <color rgb="FF0000FF"/>
      <name val="Aptos"/>
      <family val="2"/>
    </font>
    <font>
      <sz val="11"/>
      <color indexed="12"/>
      <name val="Aptos"/>
      <family val="2"/>
    </font>
    <font>
      <b/>
      <sz val="11"/>
      <color rgb="FFFF0000"/>
      <name val="Aptos"/>
      <family val="2"/>
    </font>
    <font>
      <b/>
      <sz val="12"/>
      <color indexed="8"/>
      <name val="Aptos"/>
      <family val="2"/>
    </font>
    <font>
      <b/>
      <u/>
      <sz val="12"/>
      <color indexed="8"/>
      <name val="Aptos"/>
      <family val="2"/>
    </font>
    <font>
      <sz val="11"/>
      <color indexed="8"/>
      <name val="Aptos"/>
      <family val="2"/>
    </font>
    <font>
      <sz val="11"/>
      <color indexed="10"/>
      <name val="Aptos"/>
      <family val="2"/>
    </font>
    <font>
      <b/>
      <sz val="11"/>
      <color theme="1"/>
      <name val="Aptos"/>
      <family val="2"/>
    </font>
    <font>
      <sz val="11"/>
      <color theme="1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7">
    <xf numFmtId="0" fontId="0" fillId="0" borderId="0" xfId="0"/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/>
    </xf>
    <xf numFmtId="9" fontId="6" fillId="2" borderId="1" xfId="1" applyFont="1" applyFill="1" applyBorder="1" applyAlignment="1">
      <alignment horizontal="right" vertical="center"/>
    </xf>
    <xf numFmtId="0" fontId="7" fillId="2" borderId="0" xfId="0" applyFont="1" applyFill="1" applyAlignment="1">
      <alignment horizontal="right" vertical="center"/>
    </xf>
    <xf numFmtId="0" fontId="5" fillId="4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left" vertical="center"/>
    </xf>
    <xf numFmtId="164" fontId="8" fillId="2" borderId="1" xfId="0" applyNumberFormat="1" applyFont="1" applyFill="1" applyBorder="1" applyAlignment="1">
      <alignment horizontal="right" vertical="center"/>
    </xf>
    <xf numFmtId="4" fontId="6" fillId="2" borderId="0" xfId="0" applyNumberFormat="1" applyFont="1" applyFill="1" applyAlignment="1">
      <alignment horizontal="left" vertical="center"/>
    </xf>
    <xf numFmtId="4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3" fontId="6" fillId="2" borderId="0" xfId="0" applyNumberFormat="1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vertical="center"/>
    </xf>
    <xf numFmtId="3" fontId="9" fillId="2" borderId="1" xfId="0" applyNumberFormat="1" applyFont="1" applyFill="1" applyBorder="1" applyAlignment="1">
      <alignment horizontal="center" vertical="center"/>
    </xf>
    <xf numFmtId="10" fontId="9" fillId="2" borderId="1" xfId="0" applyNumberFormat="1" applyFont="1" applyFill="1" applyBorder="1" applyAlignment="1">
      <alignment horizontal="center" vertical="center"/>
    </xf>
    <xf numFmtId="4" fontId="9" fillId="2" borderId="1" xfId="0" applyNumberFormat="1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centerContinuous" vertical="center"/>
    </xf>
    <xf numFmtId="0" fontId="5" fillId="4" borderId="8" xfId="0" applyFont="1" applyFill="1" applyBorder="1" applyAlignment="1">
      <alignment horizontal="centerContinuous" vertical="center"/>
    </xf>
    <xf numFmtId="0" fontId="4" fillId="4" borderId="6" xfId="0" applyFont="1" applyFill="1" applyBorder="1" applyAlignment="1">
      <alignment horizontal="centerContinuous" vertical="center"/>
    </xf>
    <xf numFmtId="0" fontId="4" fillId="4" borderId="7" xfId="0" applyFont="1" applyFill="1" applyBorder="1" applyAlignment="1">
      <alignment horizontal="centerContinuous" vertical="center"/>
    </xf>
    <xf numFmtId="0" fontId="10" fillId="2" borderId="1" xfId="0" applyFont="1" applyFill="1" applyBorder="1" applyAlignment="1">
      <alignment horizontal="left" vertical="center"/>
    </xf>
    <xf numFmtId="10" fontId="10" fillId="2" borderId="1" xfId="0" applyNumberFormat="1" applyFont="1" applyFill="1" applyBorder="1" applyAlignment="1">
      <alignment horizontal="center" vertical="center"/>
    </xf>
    <xf numFmtId="4" fontId="10" fillId="2" borderId="1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5" fillId="4" borderId="1" xfId="0" applyFont="1" applyFill="1" applyBorder="1" applyAlignment="1">
      <alignment vertical="center"/>
    </xf>
    <xf numFmtId="4" fontId="6" fillId="3" borderId="1" xfId="0" applyNumberFormat="1" applyFont="1" applyFill="1" applyBorder="1" applyAlignment="1">
      <alignment horizontal="right" vertical="center"/>
    </xf>
    <xf numFmtId="0" fontId="6" fillId="3" borderId="1" xfId="0" applyFont="1" applyFill="1" applyBorder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5" fillId="4" borderId="6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center" vertical="center"/>
    </xf>
    <xf numFmtId="4" fontId="6" fillId="3" borderId="0" xfId="0" applyNumberFormat="1" applyFont="1" applyFill="1" applyAlignment="1">
      <alignment horizontal="center" vertical="center"/>
    </xf>
    <xf numFmtId="4" fontId="6" fillId="3" borderId="0" xfId="0" applyNumberFormat="1" applyFont="1" applyFill="1" applyAlignment="1">
      <alignment vertical="center"/>
    </xf>
    <xf numFmtId="4" fontId="6" fillId="3" borderId="0" xfId="0" applyNumberFormat="1" applyFont="1" applyFill="1" applyAlignment="1">
      <alignment horizontal="right" vertical="center"/>
    </xf>
    <xf numFmtId="4" fontId="5" fillId="4" borderId="6" xfId="0" applyNumberFormat="1" applyFont="1" applyFill="1" applyBorder="1" applyAlignment="1">
      <alignment horizontal="left" vertical="center"/>
    </xf>
    <xf numFmtId="4" fontId="5" fillId="4" borderId="7" xfId="0" applyNumberFormat="1" applyFont="1" applyFill="1" applyBorder="1" applyAlignment="1">
      <alignment horizontal="left" vertical="center"/>
    </xf>
    <xf numFmtId="4" fontId="5" fillId="4" borderId="8" xfId="0" applyNumberFormat="1" applyFont="1" applyFill="1" applyBorder="1" applyAlignment="1">
      <alignment horizontal="left" vertical="center"/>
    </xf>
    <xf numFmtId="4" fontId="11" fillId="3" borderId="1" xfId="0" applyNumberFormat="1" applyFont="1" applyFill="1" applyBorder="1" applyAlignment="1">
      <alignment horizontal="right" vertical="center"/>
    </xf>
    <xf numFmtId="4" fontId="5" fillId="4" borderId="1" xfId="0" applyNumberFormat="1" applyFont="1" applyFill="1" applyBorder="1" applyAlignment="1">
      <alignment horizontal="center" vertical="center"/>
    </xf>
    <xf numFmtId="4" fontId="5" fillId="4" borderId="1" xfId="0" applyNumberFormat="1" applyFont="1" applyFill="1" applyBorder="1" applyAlignment="1">
      <alignment horizontal="center" vertical="center"/>
    </xf>
    <xf numFmtId="4" fontId="5" fillId="4" borderId="1" xfId="0" applyNumberFormat="1" applyFont="1" applyFill="1" applyBorder="1" applyAlignment="1">
      <alignment horizontal="center" vertical="center" wrapText="1"/>
    </xf>
    <xf numFmtId="49" fontId="6" fillId="3" borderId="3" xfId="0" applyNumberFormat="1" applyFont="1" applyFill="1" applyBorder="1" applyAlignment="1">
      <alignment horizontal="center" vertical="center"/>
    </xf>
    <xf numFmtId="9" fontId="6" fillId="3" borderId="0" xfId="0" applyNumberFormat="1" applyFont="1" applyFill="1" applyAlignment="1">
      <alignment horizontal="center" vertical="center"/>
    </xf>
    <xf numFmtId="49" fontId="6" fillId="3" borderId="3" xfId="0" applyNumberFormat="1" applyFont="1" applyFill="1" applyBorder="1" applyAlignment="1">
      <alignment vertical="center"/>
    </xf>
    <xf numFmtId="4" fontId="6" fillId="3" borderId="3" xfId="0" applyNumberFormat="1" applyFont="1" applyFill="1" applyBorder="1" applyAlignment="1">
      <alignment horizontal="right" vertical="center"/>
    </xf>
    <xf numFmtId="49" fontId="6" fillId="3" borderId="1" xfId="0" applyNumberFormat="1" applyFont="1" applyFill="1" applyBorder="1" applyAlignment="1">
      <alignment horizontal="center" vertical="center"/>
    </xf>
    <xf numFmtId="9" fontId="6" fillId="3" borderId="1" xfId="0" applyNumberFormat="1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vertical="center"/>
    </xf>
    <xf numFmtId="49" fontId="5" fillId="3" borderId="1" xfId="0" applyNumberFormat="1" applyFont="1" applyFill="1" applyBorder="1" applyAlignment="1">
      <alignment horizontal="center" vertical="center"/>
    </xf>
    <xf numFmtId="9" fontId="5" fillId="3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vertical="center"/>
    </xf>
    <xf numFmtId="4" fontId="5" fillId="3" borderId="1" xfId="0" applyNumberFormat="1" applyFont="1" applyFill="1" applyBorder="1" applyAlignment="1">
      <alignment horizontal="right" vertical="center"/>
    </xf>
    <xf numFmtId="0" fontId="6" fillId="6" borderId="0" xfId="0" applyFont="1" applyFill="1" applyAlignment="1">
      <alignment vertical="center"/>
    </xf>
    <xf numFmtId="0" fontId="6" fillId="3" borderId="0" xfId="0" applyFont="1" applyFill="1"/>
    <xf numFmtId="0" fontId="5" fillId="6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vertical="center"/>
    </xf>
    <xf numFmtId="0" fontId="6" fillId="6" borderId="4" xfId="0" applyFont="1" applyFill="1" applyBorder="1" applyAlignment="1">
      <alignment horizontal="center" vertical="center"/>
    </xf>
    <xf numFmtId="4" fontId="6" fillId="6" borderId="4" xfId="0" applyNumberFormat="1" applyFont="1" applyFill="1" applyBorder="1" applyAlignment="1">
      <alignment vertical="center"/>
    </xf>
    <xf numFmtId="0" fontId="6" fillId="6" borderId="4" xfId="0" applyFont="1" applyFill="1" applyBorder="1" applyAlignment="1">
      <alignment vertical="center"/>
    </xf>
    <xf numFmtId="0" fontId="5" fillId="6" borderId="3" xfId="0" applyFont="1" applyFill="1" applyBorder="1" applyAlignment="1">
      <alignment horizontal="right" vertical="center"/>
    </xf>
    <xf numFmtId="4" fontId="5" fillId="6" borderId="4" xfId="0" applyNumberFormat="1" applyFont="1" applyFill="1" applyBorder="1" applyAlignment="1">
      <alignment vertical="center"/>
    </xf>
    <xf numFmtId="0" fontId="5" fillId="7" borderId="1" xfId="0" applyFont="1" applyFill="1" applyBorder="1" applyAlignment="1">
      <alignment horizontal="centerContinuous" vertical="center"/>
    </xf>
    <xf numFmtId="0" fontId="4" fillId="7" borderId="1" xfId="0" applyFont="1" applyFill="1" applyBorder="1" applyAlignment="1">
      <alignment horizontal="centerContinuous" vertical="center"/>
    </xf>
    <xf numFmtId="0" fontId="5" fillId="5" borderId="6" xfId="0" applyFont="1" applyFill="1" applyBorder="1" applyAlignment="1">
      <alignment horizontal="left" vertical="center"/>
    </xf>
    <xf numFmtId="0" fontId="5" fillId="5" borderId="7" xfId="0" applyFont="1" applyFill="1" applyBorder="1" applyAlignment="1">
      <alignment horizontal="left" vertical="center"/>
    </xf>
    <xf numFmtId="0" fontId="5" fillId="5" borderId="8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Continuous" vertical="center"/>
    </xf>
    <xf numFmtId="0" fontId="6" fillId="4" borderId="2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Continuous" vertical="center"/>
    </xf>
    <xf numFmtId="0" fontId="6" fillId="4" borderId="3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6" fillId="0" borderId="0" xfId="0" applyFont="1"/>
    <xf numFmtId="0" fontId="14" fillId="3" borderId="0" xfId="0" applyFont="1" applyFill="1" applyAlignment="1">
      <alignment vertical="center"/>
    </xf>
    <xf numFmtId="0" fontId="6" fillId="4" borderId="1" xfId="0" applyFont="1" applyFill="1" applyBorder="1" applyAlignment="1">
      <alignment horizontal="justify" vertical="center"/>
    </xf>
    <xf numFmtId="3" fontId="14" fillId="3" borderId="1" xfId="0" applyNumberFormat="1" applyFont="1" applyFill="1" applyBorder="1" applyAlignment="1">
      <alignment vertical="center"/>
    </xf>
    <xf numFmtId="0" fontId="14" fillId="4" borderId="1" xfId="0" applyFont="1" applyFill="1" applyBorder="1" applyAlignment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1" xfId="0" applyFont="1" applyFill="1" applyBorder="1" applyAlignment="1">
      <alignment vertical="center"/>
    </xf>
    <xf numFmtId="4" fontId="14" fillId="3" borderId="1" xfId="0" applyNumberFormat="1" applyFont="1" applyFill="1" applyBorder="1" applyAlignment="1">
      <alignment horizontal="right" vertical="center"/>
    </xf>
    <xf numFmtId="4" fontId="10" fillId="3" borderId="1" xfId="0" applyNumberFormat="1" applyFont="1" applyFill="1" applyBorder="1" applyAlignment="1">
      <alignment horizontal="right" vertical="center"/>
    </xf>
    <xf numFmtId="10" fontId="10" fillId="3" borderId="1" xfId="0" applyNumberFormat="1" applyFont="1" applyFill="1" applyBorder="1" applyAlignment="1">
      <alignment horizontal="right" vertical="center"/>
    </xf>
    <xf numFmtId="9" fontId="14" fillId="3" borderId="1" xfId="1" applyFont="1" applyFill="1" applyBorder="1" applyAlignment="1">
      <alignment horizontal="right" vertical="center"/>
    </xf>
    <xf numFmtId="10" fontId="10" fillId="3" borderId="1" xfId="1" applyNumberFormat="1" applyFont="1" applyFill="1" applyBorder="1" applyAlignment="1">
      <alignment horizontal="right" vertical="center"/>
    </xf>
    <xf numFmtId="3" fontId="14" fillId="3" borderId="1" xfId="1" applyNumberFormat="1" applyFont="1" applyFill="1" applyBorder="1" applyAlignment="1">
      <alignment horizontal="right" vertical="center"/>
    </xf>
    <xf numFmtId="4" fontId="10" fillId="3" borderId="1" xfId="1" applyNumberFormat="1" applyFont="1" applyFill="1" applyBorder="1" applyAlignment="1">
      <alignment horizontal="right" vertical="center"/>
    </xf>
    <xf numFmtId="0" fontId="7" fillId="3" borderId="0" xfId="0" applyFont="1" applyFill="1" applyAlignment="1">
      <alignment vertical="center"/>
    </xf>
    <xf numFmtId="0" fontId="14" fillId="3" borderId="0" xfId="0" applyFont="1" applyFill="1" applyAlignment="1">
      <alignment horizontal="center" vertical="center"/>
    </xf>
    <xf numFmtId="4" fontId="14" fillId="3" borderId="0" xfId="0" applyNumberFormat="1" applyFont="1" applyFill="1" applyAlignment="1">
      <alignment vertical="center"/>
    </xf>
    <xf numFmtId="4" fontId="8" fillId="3" borderId="0" xfId="0" applyNumberFormat="1" applyFont="1" applyFill="1" applyAlignment="1">
      <alignment vertical="center"/>
    </xf>
    <xf numFmtId="3" fontId="8" fillId="3" borderId="0" xfId="0" applyNumberFormat="1" applyFont="1" applyFill="1" applyAlignment="1">
      <alignment vertical="center"/>
    </xf>
    <xf numFmtId="0" fontId="8" fillId="4" borderId="6" xfId="0" applyFont="1" applyFill="1" applyBorder="1" applyAlignment="1">
      <alignment vertical="center"/>
    </xf>
    <xf numFmtId="0" fontId="12" fillId="4" borderId="6" xfId="0" applyFont="1" applyFill="1" applyBorder="1" applyAlignment="1">
      <alignment horizontal="centerContinuous" vertical="center"/>
    </xf>
    <xf numFmtId="0" fontId="13" fillId="4" borderId="8" xfId="0" applyFont="1" applyFill="1" applyBorder="1" applyAlignment="1">
      <alignment horizontal="centerContinuous" vertical="center"/>
    </xf>
    <xf numFmtId="0" fontId="8" fillId="4" borderId="7" xfId="0" applyFont="1" applyFill="1" applyBorder="1" applyAlignment="1">
      <alignment vertical="center"/>
    </xf>
    <xf numFmtId="0" fontId="8" fillId="4" borderId="8" xfId="0" applyFont="1" applyFill="1" applyBorder="1" applyAlignment="1">
      <alignment vertical="center"/>
    </xf>
    <xf numFmtId="0" fontId="12" fillId="4" borderId="7" xfId="0" applyFont="1" applyFill="1" applyBorder="1" applyAlignment="1">
      <alignment horizontal="centerContinuous" vertical="center"/>
    </xf>
    <xf numFmtId="0" fontId="12" fillId="4" borderId="8" xfId="0" applyFont="1" applyFill="1" applyBorder="1" applyAlignment="1">
      <alignment horizontal="centerContinuous" vertical="center"/>
    </xf>
    <xf numFmtId="0" fontId="8" fillId="4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vertical="center"/>
    </xf>
    <xf numFmtId="4" fontId="6" fillId="3" borderId="1" xfId="0" applyNumberFormat="1" applyFont="1" applyFill="1" applyBorder="1" applyAlignment="1">
      <alignment vertical="center"/>
    </xf>
    <xf numFmtId="3" fontId="15" fillId="3" borderId="0" xfId="0" applyNumberFormat="1" applyFont="1" applyFill="1" applyAlignment="1">
      <alignment vertical="center"/>
    </xf>
    <xf numFmtId="167" fontId="6" fillId="3" borderId="1" xfId="0" applyNumberFormat="1" applyFont="1" applyFill="1" applyBorder="1" applyAlignment="1">
      <alignment vertical="center"/>
    </xf>
    <xf numFmtId="167" fontId="10" fillId="3" borderId="1" xfId="0" applyNumberFormat="1" applyFont="1" applyFill="1" applyBorder="1" applyAlignment="1">
      <alignment vertical="center"/>
    </xf>
    <xf numFmtId="167" fontId="14" fillId="3" borderId="1" xfId="0" applyNumberFormat="1" applyFont="1" applyFill="1" applyBorder="1" applyAlignment="1">
      <alignment vertical="center"/>
    </xf>
    <xf numFmtId="0" fontId="17" fillId="0" borderId="0" xfId="0" applyFont="1"/>
    <xf numFmtId="0" fontId="17" fillId="4" borderId="1" xfId="0" applyFont="1" applyFill="1" applyBorder="1" applyAlignment="1">
      <alignment horizontal="justify" vertical="center" wrapText="1"/>
    </xf>
    <xf numFmtId="3" fontId="17" fillId="0" borderId="1" xfId="0" applyNumberFormat="1" applyFont="1" applyBorder="1" applyAlignment="1">
      <alignment horizontal="right" vertical="center" wrapText="1"/>
    </xf>
    <xf numFmtId="165" fontId="17" fillId="4" borderId="1" xfId="0" applyNumberFormat="1" applyFont="1" applyFill="1" applyBorder="1" applyAlignment="1">
      <alignment horizontal="right" vertical="center" wrapText="1"/>
    </xf>
    <xf numFmtId="165" fontId="16" fillId="0" borderId="1" xfId="0" applyNumberFormat="1" applyFont="1" applyBorder="1" applyAlignment="1">
      <alignment horizontal="right" vertical="center" wrapText="1"/>
    </xf>
    <xf numFmtId="165" fontId="17" fillId="0" borderId="1" xfId="0" applyNumberFormat="1" applyFont="1" applyBorder="1" applyAlignment="1">
      <alignment horizontal="right" vertical="center" wrapText="1"/>
    </xf>
    <xf numFmtId="0" fontId="17" fillId="4" borderId="1" xfId="0" applyFont="1" applyFill="1" applyBorder="1" applyAlignment="1">
      <alignment horizontal="left" vertical="center" wrapText="1"/>
    </xf>
    <xf numFmtId="164" fontId="17" fillId="4" borderId="1" xfId="0" applyNumberFormat="1" applyFont="1" applyFill="1" applyBorder="1" applyAlignment="1">
      <alignment horizontal="right" vertical="center" wrapText="1"/>
    </xf>
    <xf numFmtId="3" fontId="16" fillId="0" borderId="1" xfId="0" applyNumberFormat="1" applyFont="1" applyBorder="1" applyAlignment="1">
      <alignment horizontal="right" vertical="center" wrapText="1"/>
    </xf>
    <xf numFmtId="164" fontId="16" fillId="0" borderId="1" xfId="0" applyNumberFormat="1" applyFont="1" applyBorder="1" applyAlignment="1">
      <alignment horizontal="right" vertical="center" wrapText="1"/>
    </xf>
    <xf numFmtId="4" fontId="17" fillId="4" borderId="1" xfId="0" applyNumberFormat="1" applyFont="1" applyFill="1" applyBorder="1" applyAlignment="1">
      <alignment horizontal="right" vertical="center" wrapText="1"/>
    </xf>
    <xf numFmtId="4" fontId="16" fillId="0" borderId="1" xfId="0" applyNumberFormat="1" applyFont="1" applyBorder="1" applyAlignment="1">
      <alignment horizontal="right" vertical="center" wrapText="1"/>
    </xf>
    <xf numFmtId="0" fontId="17" fillId="0" borderId="1" xfId="0" applyFont="1" applyBorder="1" applyAlignment="1">
      <alignment horizontal="left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17" fillId="8" borderId="1" xfId="0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16" fillId="8" borderId="2" xfId="0" applyFont="1" applyFill="1" applyBorder="1" applyAlignment="1">
      <alignment horizontal="left" vertical="center" wrapText="1"/>
    </xf>
    <xf numFmtId="0" fontId="16" fillId="8" borderId="3" xfId="0" applyFont="1" applyFill="1" applyBorder="1" applyAlignment="1">
      <alignment horizontal="left" vertical="center" wrapText="1"/>
    </xf>
  </cellXfs>
  <cellStyles count="2">
    <cellStyle name="Prozent" xfId="1" builtinId="5"/>
    <cellStyle name="Standard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2:H51"/>
  <sheetViews>
    <sheetView tabSelected="1" zoomScaleNormal="100" workbookViewId="0">
      <selection activeCell="C10" sqref="C10"/>
    </sheetView>
  </sheetViews>
  <sheetFormatPr baseColWidth="10" defaultColWidth="10.85546875" defaultRowHeight="15" x14ac:dyDescent="0.2"/>
  <cols>
    <col min="1" max="1" width="2.140625" style="4" customWidth="1"/>
    <col min="2" max="2" width="24.28515625" style="4" customWidth="1"/>
    <col min="3" max="3" width="24.28515625" style="17" customWidth="1"/>
    <col min="4" max="7" width="24.28515625" style="4" customWidth="1"/>
    <col min="8" max="8" width="14.28515625" style="4" customWidth="1"/>
    <col min="9" max="9" width="4.28515625" style="4" customWidth="1"/>
    <col min="10" max="16384" width="10.85546875" style="4"/>
  </cols>
  <sheetData>
    <row r="2" spans="2:8" ht="24" customHeight="1" x14ac:dyDescent="0.2">
      <c r="B2" s="31" t="s">
        <v>30</v>
      </c>
      <c r="C2" s="29"/>
      <c r="D2" s="29"/>
      <c r="E2" s="29"/>
      <c r="F2" s="29"/>
      <c r="G2" s="30"/>
    </row>
    <row r="3" spans="2:8" ht="60" x14ac:dyDescent="0.2">
      <c r="B3" s="18" t="s">
        <v>45</v>
      </c>
      <c r="C3" s="6" t="s">
        <v>0</v>
      </c>
      <c r="D3" s="7" t="s">
        <v>50</v>
      </c>
      <c r="E3" s="6" t="s">
        <v>56</v>
      </c>
      <c r="F3" s="6" t="s">
        <v>49</v>
      </c>
      <c r="G3" s="6" t="s">
        <v>51</v>
      </c>
    </row>
    <row r="4" spans="2:8" ht="24" customHeight="1" x14ac:dyDescent="0.2">
      <c r="B4" s="8" t="s">
        <v>1</v>
      </c>
      <c r="C4" s="8" t="s">
        <v>41</v>
      </c>
      <c r="D4" s="12">
        <v>120</v>
      </c>
      <c r="E4" s="9">
        <v>0.88</v>
      </c>
      <c r="F4" s="12">
        <v>19.600000000000001</v>
      </c>
      <c r="G4" s="12">
        <v>130</v>
      </c>
    </row>
    <row r="5" spans="2:8" ht="24" customHeight="1" x14ac:dyDescent="0.2">
      <c r="B5" s="8" t="s">
        <v>2</v>
      </c>
      <c r="C5" s="8" t="s">
        <v>42</v>
      </c>
      <c r="D5" s="12">
        <v>195</v>
      </c>
      <c r="E5" s="9">
        <v>0.85</v>
      </c>
      <c r="F5" s="12">
        <v>22.7</v>
      </c>
      <c r="G5" s="12">
        <v>210</v>
      </c>
    </row>
    <row r="6" spans="2:8" ht="24" customHeight="1" x14ac:dyDescent="0.2">
      <c r="B6" s="8" t="s">
        <v>3</v>
      </c>
      <c r="C6" s="8" t="s">
        <v>40</v>
      </c>
      <c r="D6" s="12">
        <v>290</v>
      </c>
      <c r="E6" s="9">
        <v>0.75</v>
      </c>
      <c r="F6" s="12">
        <v>18.899999999999999</v>
      </c>
      <c r="G6" s="12">
        <v>337</v>
      </c>
    </row>
    <row r="7" spans="2:8" ht="24" customHeight="1" x14ac:dyDescent="0.2">
      <c r="B7" s="8" t="s">
        <v>20</v>
      </c>
      <c r="C7" s="8" t="s">
        <v>43</v>
      </c>
      <c r="D7" s="12">
        <v>255</v>
      </c>
      <c r="E7" s="9">
        <v>0.9</v>
      </c>
      <c r="F7" s="12">
        <v>76</v>
      </c>
      <c r="G7" s="12">
        <v>265</v>
      </c>
    </row>
    <row r="10" spans="2:8" ht="24" customHeight="1" x14ac:dyDescent="0.2">
      <c r="C10" s="31" t="s">
        <v>29</v>
      </c>
      <c r="D10" s="29"/>
      <c r="E10" s="29"/>
      <c r="F10" s="29"/>
      <c r="G10" s="30"/>
      <c r="H10" s="10"/>
    </row>
    <row r="11" spans="2:8" ht="24" customHeight="1" x14ac:dyDescent="0.2">
      <c r="C11" s="11" t="s">
        <v>36</v>
      </c>
      <c r="D11" s="11" t="s">
        <v>31</v>
      </c>
      <c r="E11" s="11" t="s">
        <v>37</v>
      </c>
      <c r="F11" s="11" t="s">
        <v>38</v>
      </c>
      <c r="G11" s="11" t="s">
        <v>39</v>
      </c>
      <c r="H11" s="10"/>
    </row>
    <row r="12" spans="2:8" ht="24" customHeight="1" x14ac:dyDescent="0.2">
      <c r="C12" s="8" t="s">
        <v>41</v>
      </c>
      <c r="D12" s="12">
        <v>11.5</v>
      </c>
      <c r="E12" s="12">
        <v>11.7</v>
      </c>
      <c r="F12" s="12">
        <v>11.8</v>
      </c>
      <c r="G12" s="12">
        <v>11.8</v>
      </c>
      <c r="H12" s="10"/>
    </row>
    <row r="13" spans="2:8" ht="24" customHeight="1" x14ac:dyDescent="0.2">
      <c r="C13" s="8" t="s">
        <v>42</v>
      </c>
      <c r="D13" s="12">
        <v>26.2</v>
      </c>
      <c r="E13" s="12">
        <v>26.4</v>
      </c>
      <c r="F13" s="12">
        <v>26.5</v>
      </c>
      <c r="G13" s="12">
        <v>26.4</v>
      </c>
      <c r="H13" s="10"/>
    </row>
    <row r="14" spans="2:8" ht="24" customHeight="1" x14ac:dyDescent="0.2">
      <c r="C14" s="8" t="s">
        <v>40</v>
      </c>
      <c r="D14" s="12">
        <v>23.3</v>
      </c>
      <c r="E14" s="12">
        <v>26.2</v>
      </c>
      <c r="F14" s="12">
        <v>28.5</v>
      </c>
      <c r="G14" s="12">
        <v>30</v>
      </c>
      <c r="H14" s="10"/>
    </row>
    <row r="15" spans="2:8" ht="24" customHeight="1" x14ac:dyDescent="0.2">
      <c r="C15" s="8" t="s">
        <v>43</v>
      </c>
      <c r="D15" s="12">
        <v>15.5</v>
      </c>
      <c r="E15" s="12">
        <v>14</v>
      </c>
      <c r="F15" s="12">
        <v>12</v>
      </c>
      <c r="G15" s="12">
        <v>8</v>
      </c>
      <c r="H15" s="10"/>
    </row>
    <row r="16" spans="2:8" ht="24" customHeight="1" x14ac:dyDescent="0.2">
      <c r="C16" s="13" t="s">
        <v>44</v>
      </c>
      <c r="D16" s="14">
        <f>SUM(D12:D15)</f>
        <v>76.5</v>
      </c>
      <c r="E16" s="14">
        <f>SUM(E12:E15)</f>
        <v>78.3</v>
      </c>
      <c r="F16" s="14">
        <f>SUM(F12:F15)</f>
        <v>78.8</v>
      </c>
      <c r="G16" s="14">
        <f>SUM(G12:G15)</f>
        <v>76.2</v>
      </c>
      <c r="H16" s="10"/>
    </row>
    <row r="51" spans="3:4" x14ac:dyDescent="0.2">
      <c r="C51" s="15"/>
      <c r="D51" s="16"/>
    </row>
  </sheetData>
  <phoneticPr fontId="2"/>
  <pageMargins left="0.74803149606299213" right="0.74803149606299213" top="0.98425196850393704" bottom="0.98425196850393704" header="0.51181102362204722" footer="0.51181102362204722"/>
  <pageSetup paperSize="9"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H49"/>
  <sheetViews>
    <sheetView zoomScaleNormal="100" workbookViewId="0">
      <selection activeCell="B2" sqref="B2"/>
    </sheetView>
  </sheetViews>
  <sheetFormatPr baseColWidth="10" defaultColWidth="10.85546875" defaultRowHeight="15" x14ac:dyDescent="0.2"/>
  <cols>
    <col min="1" max="1" width="2.140625" style="4" customWidth="1"/>
    <col min="2" max="2" width="20.85546875" style="4" customWidth="1"/>
    <col min="3" max="3" width="20.85546875" style="17" customWidth="1"/>
    <col min="4" max="7" width="20.85546875" style="4" customWidth="1"/>
    <col min="8" max="8" width="14.28515625" style="4" customWidth="1"/>
    <col min="9" max="9" width="4.28515625" style="4" customWidth="1"/>
    <col min="10" max="16384" width="10.85546875" style="4"/>
  </cols>
  <sheetData>
    <row r="2" spans="2:8" ht="24" customHeight="1" x14ac:dyDescent="0.2">
      <c r="B2" s="31" t="s">
        <v>52</v>
      </c>
      <c r="C2" s="29"/>
      <c r="D2" s="29"/>
      <c r="E2" s="29"/>
      <c r="F2" s="29"/>
      <c r="G2" s="30"/>
      <c r="H2" s="19"/>
    </row>
    <row r="3" spans="2:8" ht="33.950000000000003" customHeight="1" x14ac:dyDescent="0.2">
      <c r="B3" s="27" t="s">
        <v>45</v>
      </c>
      <c r="C3" s="20" t="s">
        <v>131</v>
      </c>
      <c r="D3" s="1" t="s">
        <v>48</v>
      </c>
      <c r="E3" s="2"/>
      <c r="F3" s="3"/>
      <c r="G3" s="20" t="s">
        <v>132</v>
      </c>
    </row>
    <row r="4" spans="2:8" ht="33.950000000000003" customHeight="1" x14ac:dyDescent="0.2">
      <c r="B4" s="28"/>
      <c r="C4" s="22"/>
      <c r="D4" s="5" t="s">
        <v>53</v>
      </c>
      <c r="E4" s="5" t="s">
        <v>54</v>
      </c>
      <c r="F4" s="5" t="s">
        <v>55</v>
      </c>
      <c r="G4" s="21"/>
    </row>
    <row r="5" spans="2:8" ht="24" customHeight="1" x14ac:dyDescent="0.2">
      <c r="B5" s="23"/>
      <c r="C5" s="24"/>
      <c r="D5" s="25"/>
      <c r="E5" s="25"/>
      <c r="F5" s="25"/>
      <c r="G5" s="26"/>
    </row>
    <row r="6" spans="2:8" ht="24" customHeight="1" x14ac:dyDescent="0.2">
      <c r="B6" s="23"/>
      <c r="C6" s="24"/>
      <c r="D6" s="25"/>
      <c r="E6" s="25"/>
      <c r="F6" s="25"/>
      <c r="G6" s="26"/>
    </row>
    <row r="7" spans="2:8" ht="24" customHeight="1" x14ac:dyDescent="0.2">
      <c r="B7" s="23"/>
      <c r="C7" s="24"/>
      <c r="D7" s="25"/>
      <c r="E7" s="25"/>
      <c r="F7" s="25"/>
      <c r="G7" s="26"/>
    </row>
    <row r="8" spans="2:8" ht="24" customHeight="1" x14ac:dyDescent="0.2">
      <c r="B8" s="23"/>
      <c r="C8" s="24"/>
      <c r="D8" s="25"/>
      <c r="E8" s="25"/>
      <c r="F8" s="25"/>
      <c r="G8" s="26"/>
    </row>
    <row r="49" spans="3:4" x14ac:dyDescent="0.2">
      <c r="C49" s="15"/>
      <c r="D49" s="16"/>
    </row>
  </sheetData>
  <mergeCells count="4">
    <mergeCell ref="B3:B4"/>
    <mergeCell ref="C3:C4"/>
    <mergeCell ref="D3:F3"/>
    <mergeCell ref="G3:G4"/>
  </mergeCells>
  <pageMargins left="0.78740157499999996" right="0.78740157499999996" top="0.984251969" bottom="0.984251969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E47"/>
  <sheetViews>
    <sheetView zoomScaleNormal="100" workbookViewId="0">
      <selection activeCell="B2" sqref="B2"/>
    </sheetView>
  </sheetViews>
  <sheetFormatPr baseColWidth="10" defaultColWidth="10.85546875" defaultRowHeight="15" x14ac:dyDescent="0.2"/>
  <cols>
    <col min="1" max="1" width="2.140625" style="4" customWidth="1"/>
    <col min="2" max="2" width="23.7109375" style="17" customWidth="1"/>
    <col min="3" max="5" width="23.7109375" style="4" customWidth="1"/>
    <col min="6" max="6" width="15.42578125" style="4" bestFit="1" customWidth="1"/>
    <col min="7" max="7" width="14.28515625" style="4" customWidth="1"/>
    <col min="8" max="8" width="4.28515625" style="4" customWidth="1"/>
    <col min="9" max="16384" width="10.85546875" style="4"/>
  </cols>
  <sheetData>
    <row r="2" spans="2:5" ht="33.950000000000003" customHeight="1" x14ac:dyDescent="0.2">
      <c r="B2" s="31" t="s">
        <v>5</v>
      </c>
      <c r="C2" s="29"/>
      <c r="D2" s="29"/>
      <c r="E2" s="30"/>
    </row>
    <row r="3" spans="2:5" ht="33.950000000000003" customHeight="1" x14ac:dyDescent="0.2">
      <c r="B3" s="18" t="s">
        <v>0</v>
      </c>
      <c r="C3" s="5" t="s">
        <v>79</v>
      </c>
      <c r="D3" s="5" t="s">
        <v>80</v>
      </c>
      <c r="E3" s="5" t="s">
        <v>81</v>
      </c>
    </row>
    <row r="4" spans="2:5" ht="24" customHeight="1" x14ac:dyDescent="0.2">
      <c r="B4" s="33"/>
      <c r="C4" s="34"/>
      <c r="D4" s="34"/>
      <c r="E4" s="34"/>
    </row>
    <row r="5" spans="2:5" ht="24" customHeight="1" x14ac:dyDescent="0.2">
      <c r="B5" s="33"/>
      <c r="C5" s="34"/>
      <c r="D5" s="34"/>
      <c r="E5" s="34"/>
    </row>
    <row r="6" spans="2:5" ht="24" customHeight="1" x14ac:dyDescent="0.2">
      <c r="B6" s="33"/>
      <c r="C6" s="34"/>
      <c r="D6" s="34"/>
      <c r="E6" s="34"/>
    </row>
    <row r="7" spans="2:5" ht="24" customHeight="1" x14ac:dyDescent="0.2">
      <c r="B7" s="33"/>
      <c r="C7" s="34"/>
      <c r="D7" s="34"/>
      <c r="E7" s="34"/>
    </row>
    <row r="47" spans="2:3" x14ac:dyDescent="0.2">
      <c r="B47" s="15"/>
      <c r="C47" s="16"/>
    </row>
  </sheetData>
  <pageMargins left="0.78740157499999996" right="0.78740157499999996" top="0.984251969" bottom="0.984251969" header="0.5" footer="0.5"/>
  <pageSetup paperSize="9"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E50"/>
  <sheetViews>
    <sheetView zoomScaleNormal="100" workbookViewId="0">
      <selection activeCell="B2" sqref="B2"/>
    </sheetView>
  </sheetViews>
  <sheetFormatPr baseColWidth="10" defaultColWidth="10.85546875" defaultRowHeight="15" x14ac:dyDescent="0.2"/>
  <cols>
    <col min="1" max="1" width="3" style="4" customWidth="1"/>
    <col min="2" max="2" width="32.28515625" style="17" customWidth="1"/>
    <col min="3" max="5" width="32.28515625" style="4" customWidth="1"/>
    <col min="6" max="6" width="15.42578125" style="4" bestFit="1" customWidth="1"/>
    <col min="7" max="7" width="14.28515625" style="4" customWidth="1"/>
    <col min="8" max="8" width="4.28515625" style="4" customWidth="1"/>
    <col min="9" max="16384" width="10.85546875" style="4"/>
  </cols>
  <sheetData>
    <row r="2" spans="2:5" ht="24" customHeight="1" x14ac:dyDescent="0.2">
      <c r="B2" s="31" t="s">
        <v>4</v>
      </c>
      <c r="C2" s="32"/>
      <c r="D2" s="29"/>
      <c r="E2" s="30"/>
    </row>
    <row r="3" spans="2:5" ht="33.950000000000003" customHeight="1" x14ac:dyDescent="0.2">
      <c r="B3" s="18" t="s">
        <v>0</v>
      </c>
      <c r="C3" s="5" t="s">
        <v>82</v>
      </c>
      <c r="D3" s="5" t="s">
        <v>83</v>
      </c>
      <c r="E3" s="5" t="s">
        <v>84</v>
      </c>
    </row>
    <row r="4" spans="2:5" ht="24" customHeight="1" x14ac:dyDescent="0.2">
      <c r="B4" s="33"/>
      <c r="C4" s="34"/>
      <c r="D4" s="35"/>
      <c r="E4" s="34"/>
    </row>
    <row r="5" spans="2:5" ht="24" customHeight="1" x14ac:dyDescent="0.2">
      <c r="B5" s="33"/>
      <c r="C5" s="34"/>
      <c r="D5" s="35"/>
      <c r="E5" s="34"/>
    </row>
    <row r="6" spans="2:5" ht="24" customHeight="1" x14ac:dyDescent="0.2">
      <c r="B6" s="33"/>
      <c r="C6" s="34"/>
      <c r="D6" s="35"/>
      <c r="E6" s="34"/>
    </row>
    <row r="7" spans="2:5" ht="24" customHeight="1" x14ac:dyDescent="0.2">
      <c r="B7" s="33"/>
      <c r="C7" s="34"/>
      <c r="D7" s="35"/>
      <c r="E7" s="34"/>
    </row>
    <row r="50" spans="2:3" x14ac:dyDescent="0.2">
      <c r="B50" s="15"/>
      <c r="C50" s="16"/>
    </row>
  </sheetData>
  <pageMargins left="0.78740157499999996" right="0.78740157499999996" top="0.984251969" bottom="0.984251969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40"/>
  <sheetViews>
    <sheetView zoomScaleNormal="100" workbookViewId="0">
      <selection activeCell="P12" sqref="P12"/>
    </sheetView>
  </sheetViews>
  <sheetFormatPr baseColWidth="10" defaultColWidth="10.85546875" defaultRowHeight="15" x14ac:dyDescent="0.2"/>
  <cols>
    <col min="1" max="1" width="2.28515625" style="36" customWidth="1"/>
    <col min="2" max="2" width="26.7109375" style="40" customWidth="1"/>
    <col min="3" max="16384" width="10.85546875" style="36"/>
  </cols>
  <sheetData>
    <row r="2" spans="2:14" ht="24" customHeight="1" x14ac:dyDescent="0.2">
      <c r="B2" s="31" t="s">
        <v>89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30"/>
    </row>
    <row r="3" spans="2:14" ht="24" customHeight="1" x14ac:dyDescent="0.2">
      <c r="B3" s="37" t="s">
        <v>75</v>
      </c>
      <c r="C3" s="38">
        <v>120</v>
      </c>
      <c r="D3" s="38">
        <v>110</v>
      </c>
      <c r="E3" s="38">
        <v>100</v>
      </c>
      <c r="F3" s="38">
        <v>90</v>
      </c>
      <c r="G3" s="38">
        <v>80</v>
      </c>
      <c r="H3" s="38">
        <v>70</v>
      </c>
      <c r="I3" s="38">
        <v>60</v>
      </c>
      <c r="J3" s="38">
        <v>50</v>
      </c>
      <c r="K3" s="38">
        <v>40</v>
      </c>
      <c r="L3" s="38">
        <v>30</v>
      </c>
      <c r="M3" s="38">
        <v>20</v>
      </c>
      <c r="N3" s="38">
        <v>10</v>
      </c>
    </row>
    <row r="4" spans="2:14" ht="24" customHeight="1" x14ac:dyDescent="0.2">
      <c r="B4" s="37" t="s">
        <v>76</v>
      </c>
      <c r="C4" s="39">
        <v>0</v>
      </c>
      <c r="D4" s="39">
        <v>50</v>
      </c>
      <c r="E4" s="39">
        <v>100</v>
      </c>
      <c r="F4" s="39">
        <v>150</v>
      </c>
      <c r="G4" s="39">
        <v>200</v>
      </c>
      <c r="H4" s="39">
        <v>250</v>
      </c>
      <c r="I4" s="39">
        <v>300</v>
      </c>
      <c r="J4" s="39">
        <v>350</v>
      </c>
      <c r="K4" s="39">
        <v>400</v>
      </c>
      <c r="L4" s="39">
        <v>450</v>
      </c>
      <c r="M4" s="39">
        <v>500</v>
      </c>
      <c r="N4" s="39">
        <v>550</v>
      </c>
    </row>
    <row r="5" spans="2:14" ht="24" customHeight="1" x14ac:dyDescent="0.2">
      <c r="B5" s="37" t="s">
        <v>77</v>
      </c>
      <c r="C5" s="39">
        <v>0</v>
      </c>
      <c r="D5" s="39">
        <v>0</v>
      </c>
      <c r="E5" s="39">
        <v>0</v>
      </c>
      <c r="F5" s="39">
        <v>0</v>
      </c>
      <c r="G5" s="39">
        <v>100</v>
      </c>
      <c r="H5" s="39">
        <v>200</v>
      </c>
      <c r="I5" s="39">
        <v>300</v>
      </c>
      <c r="J5" s="39">
        <v>400</v>
      </c>
      <c r="K5" s="39">
        <v>500</v>
      </c>
      <c r="L5" s="39">
        <v>600</v>
      </c>
      <c r="M5" s="39">
        <v>700</v>
      </c>
      <c r="N5" s="39">
        <v>800</v>
      </c>
    </row>
    <row r="6" spans="2:14" ht="24" customHeight="1" x14ac:dyDescent="0.2"/>
    <row r="7" spans="2:14" ht="24" customHeight="1" x14ac:dyDescent="0.2"/>
    <row r="8" spans="2:14" ht="24" customHeight="1" x14ac:dyDescent="0.2">
      <c r="B8" s="31" t="s">
        <v>90</v>
      </c>
      <c r="C8" s="29"/>
      <c r="D8" s="29"/>
      <c r="E8" s="29"/>
      <c r="F8" s="29"/>
      <c r="G8" s="29"/>
      <c r="H8" s="29"/>
      <c r="I8" s="29"/>
      <c r="J8" s="29"/>
      <c r="K8" s="29"/>
      <c r="L8" s="30"/>
    </row>
    <row r="9" spans="2:14" ht="33.950000000000003" customHeight="1" x14ac:dyDescent="0.2">
      <c r="B9" s="37" t="s">
        <v>133</v>
      </c>
      <c r="C9" s="41" t="s">
        <v>106</v>
      </c>
      <c r="D9" s="3"/>
      <c r="E9" s="41" t="s">
        <v>107</v>
      </c>
      <c r="F9" s="3"/>
      <c r="G9" s="41" t="s">
        <v>108</v>
      </c>
      <c r="H9" s="3"/>
      <c r="I9" s="1" t="s">
        <v>88</v>
      </c>
      <c r="J9" s="3"/>
      <c r="K9" s="41" t="s">
        <v>109</v>
      </c>
      <c r="L9" s="3"/>
    </row>
    <row r="10" spans="2:14" ht="24" customHeight="1" x14ac:dyDescent="0.2">
      <c r="B10" s="11" t="s">
        <v>78</v>
      </c>
      <c r="C10" s="42"/>
      <c r="D10" s="43"/>
      <c r="E10" s="42"/>
      <c r="F10" s="43"/>
      <c r="G10" s="42"/>
      <c r="H10" s="43"/>
      <c r="I10" s="42"/>
      <c r="J10" s="43"/>
      <c r="K10" s="42"/>
      <c r="L10" s="43"/>
    </row>
    <row r="11" spans="2:14" ht="24" customHeight="1" x14ac:dyDescent="0.2">
      <c r="B11" s="11" t="s">
        <v>85</v>
      </c>
      <c r="C11" s="42"/>
      <c r="D11" s="43"/>
      <c r="E11" s="42"/>
      <c r="F11" s="43"/>
      <c r="G11" s="42"/>
      <c r="H11" s="43"/>
      <c r="I11" s="42"/>
      <c r="J11" s="43"/>
      <c r="K11" s="42"/>
      <c r="L11" s="43"/>
    </row>
    <row r="12" spans="2:14" ht="24" customHeight="1" x14ac:dyDescent="0.2">
      <c r="B12" s="11" t="s">
        <v>86</v>
      </c>
      <c r="C12" s="42"/>
      <c r="D12" s="43"/>
      <c r="E12" s="42"/>
      <c r="F12" s="43"/>
      <c r="G12" s="42"/>
      <c r="H12" s="43"/>
      <c r="I12" s="42"/>
      <c r="J12" s="43"/>
      <c r="K12" s="42"/>
      <c r="L12" s="43"/>
    </row>
    <row r="13" spans="2:14" ht="24" customHeight="1" x14ac:dyDescent="0.2">
      <c r="B13" s="11" t="s">
        <v>87</v>
      </c>
      <c r="C13" s="42"/>
      <c r="D13" s="43"/>
      <c r="E13" s="42"/>
      <c r="F13" s="43"/>
      <c r="G13" s="42"/>
      <c r="H13" s="43"/>
      <c r="I13" s="42"/>
      <c r="J13" s="43"/>
      <c r="K13" s="42"/>
      <c r="L13" s="43"/>
    </row>
    <row r="14" spans="2:14" ht="24" customHeight="1" x14ac:dyDescent="0.2"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2:14" ht="24" customHeight="1" x14ac:dyDescent="0.2">
      <c r="B15" s="31" t="s">
        <v>91</v>
      </c>
      <c r="C15" s="29"/>
      <c r="D15" s="29"/>
      <c r="E15" s="29"/>
      <c r="F15" s="29"/>
      <c r="G15" s="29"/>
      <c r="H15" s="29"/>
      <c r="I15" s="29"/>
      <c r="J15" s="29"/>
      <c r="K15" s="29"/>
      <c r="L15" s="30"/>
    </row>
    <row r="16" spans="2:14" ht="33.950000000000003" customHeight="1" x14ac:dyDescent="0.2">
      <c r="B16" s="37" t="s">
        <v>133</v>
      </c>
      <c r="C16" s="41" t="s">
        <v>106</v>
      </c>
      <c r="D16" s="3"/>
      <c r="E16" s="41" t="s">
        <v>107</v>
      </c>
      <c r="F16" s="3"/>
      <c r="G16" s="41" t="s">
        <v>108</v>
      </c>
      <c r="H16" s="3"/>
      <c r="I16" s="1" t="s">
        <v>88</v>
      </c>
      <c r="J16" s="3"/>
      <c r="K16" s="41" t="s">
        <v>109</v>
      </c>
      <c r="L16" s="3"/>
    </row>
    <row r="17" spans="2:12" ht="24" customHeight="1" x14ac:dyDescent="0.2">
      <c r="B17" s="11" t="s">
        <v>78</v>
      </c>
      <c r="C17" s="42"/>
      <c r="D17" s="43"/>
      <c r="E17" s="42"/>
      <c r="F17" s="43"/>
      <c r="G17" s="42"/>
      <c r="H17" s="43"/>
      <c r="I17" s="42"/>
      <c r="J17" s="43"/>
      <c r="K17" s="42"/>
      <c r="L17" s="43"/>
    </row>
    <row r="18" spans="2:12" ht="24" customHeight="1" x14ac:dyDescent="0.2">
      <c r="B18" s="11" t="s">
        <v>85</v>
      </c>
      <c r="C18" s="42"/>
      <c r="D18" s="43"/>
      <c r="E18" s="42"/>
      <c r="F18" s="43"/>
      <c r="G18" s="42"/>
      <c r="H18" s="43"/>
      <c r="I18" s="42"/>
      <c r="J18" s="43"/>
      <c r="K18" s="42"/>
      <c r="L18" s="43"/>
    </row>
    <row r="19" spans="2:12" ht="24" customHeight="1" x14ac:dyDescent="0.2">
      <c r="B19" s="11" t="s">
        <v>86</v>
      </c>
      <c r="C19" s="42"/>
      <c r="D19" s="43"/>
      <c r="E19" s="42"/>
      <c r="F19" s="43"/>
      <c r="G19" s="42"/>
      <c r="H19" s="43"/>
      <c r="I19" s="42"/>
      <c r="J19" s="43"/>
      <c r="K19" s="42"/>
      <c r="L19" s="43"/>
    </row>
    <row r="20" spans="2:12" ht="24" customHeight="1" x14ac:dyDescent="0.2">
      <c r="B20" s="11" t="s">
        <v>87</v>
      </c>
      <c r="C20" s="42"/>
      <c r="D20" s="43"/>
      <c r="E20" s="42"/>
      <c r="F20" s="43"/>
      <c r="G20" s="42"/>
      <c r="H20" s="43"/>
      <c r="I20" s="42"/>
      <c r="J20" s="43"/>
      <c r="K20" s="42"/>
      <c r="L20" s="43"/>
    </row>
    <row r="21" spans="2:12" ht="17.100000000000001" customHeight="1" x14ac:dyDescent="0.2"/>
    <row r="22" spans="2:12" ht="17.100000000000001" customHeight="1" x14ac:dyDescent="0.2"/>
    <row r="23" spans="2:12" ht="17.100000000000001" customHeight="1" x14ac:dyDescent="0.2"/>
    <row r="24" spans="2:12" ht="17.100000000000001" customHeight="1" x14ac:dyDescent="0.2"/>
    <row r="25" spans="2:12" ht="17.100000000000001" customHeight="1" x14ac:dyDescent="0.2"/>
    <row r="26" spans="2:12" ht="17.100000000000001" customHeight="1" x14ac:dyDescent="0.2"/>
    <row r="27" spans="2:12" ht="17.100000000000001" customHeight="1" x14ac:dyDescent="0.2"/>
    <row r="28" spans="2:12" ht="17.100000000000001" customHeight="1" x14ac:dyDescent="0.2"/>
    <row r="29" spans="2:12" ht="17.100000000000001" customHeight="1" x14ac:dyDescent="0.2"/>
    <row r="30" spans="2:12" ht="17.100000000000001" customHeight="1" x14ac:dyDescent="0.2"/>
    <row r="31" spans="2:12" ht="17.100000000000001" customHeight="1" x14ac:dyDescent="0.2"/>
    <row r="32" spans="2:12" ht="17.100000000000001" customHeight="1" x14ac:dyDescent="0.2"/>
    <row r="33" ht="17.100000000000001" customHeight="1" x14ac:dyDescent="0.2"/>
    <row r="34" ht="17.100000000000001" customHeight="1" x14ac:dyDescent="0.2"/>
    <row r="35" ht="17.100000000000001" customHeight="1" x14ac:dyDescent="0.2"/>
    <row r="36" ht="17.100000000000001" customHeight="1" x14ac:dyDescent="0.2"/>
    <row r="37" ht="17.100000000000001" customHeight="1" x14ac:dyDescent="0.2"/>
    <row r="38" ht="17.100000000000001" customHeight="1" x14ac:dyDescent="0.2"/>
    <row r="39" ht="17.100000000000001" customHeight="1" x14ac:dyDescent="0.2"/>
    <row r="40" ht="17.100000000000001" customHeight="1" x14ac:dyDescent="0.2"/>
  </sheetData>
  <mergeCells count="50">
    <mergeCell ref="C19:D19"/>
    <mergeCell ref="E19:F19"/>
    <mergeCell ref="G19:H19"/>
    <mergeCell ref="I19:J19"/>
    <mergeCell ref="K19:L19"/>
    <mergeCell ref="C18:D18"/>
    <mergeCell ref="E18:F18"/>
    <mergeCell ref="G18:H18"/>
    <mergeCell ref="C17:D17"/>
    <mergeCell ref="E17:F17"/>
    <mergeCell ref="G17:H17"/>
    <mergeCell ref="I17:J17"/>
    <mergeCell ref="K17:L17"/>
    <mergeCell ref="I18:J18"/>
    <mergeCell ref="C20:D20"/>
    <mergeCell ref="E20:F20"/>
    <mergeCell ref="G20:H20"/>
    <mergeCell ref="I20:J20"/>
    <mergeCell ref="K20:L20"/>
    <mergeCell ref="K18:L18"/>
    <mergeCell ref="K9:L9"/>
    <mergeCell ref="K10:L10"/>
    <mergeCell ref="K11:L11"/>
    <mergeCell ref="K12:L12"/>
    <mergeCell ref="K13:L13"/>
    <mergeCell ref="K16:L16"/>
    <mergeCell ref="I9:J9"/>
    <mergeCell ref="I10:J10"/>
    <mergeCell ref="I16:J16"/>
    <mergeCell ref="I11:J11"/>
    <mergeCell ref="I12:J12"/>
    <mergeCell ref="I13:J13"/>
    <mergeCell ref="E11:F11"/>
    <mergeCell ref="E12:F12"/>
    <mergeCell ref="E13:F13"/>
    <mergeCell ref="E9:F9"/>
    <mergeCell ref="E10:F10"/>
    <mergeCell ref="C16:D16"/>
    <mergeCell ref="E16:F16"/>
    <mergeCell ref="G16:H16"/>
    <mergeCell ref="C9:D9"/>
    <mergeCell ref="C10:D10"/>
    <mergeCell ref="C11:D11"/>
    <mergeCell ref="C12:D12"/>
    <mergeCell ref="C13:D13"/>
    <mergeCell ref="G9:H9"/>
    <mergeCell ref="G10:H10"/>
    <mergeCell ref="G11:H11"/>
    <mergeCell ref="G12:H12"/>
    <mergeCell ref="G13:H13"/>
  </mergeCells>
  <pageMargins left="0.78740157499999996" right="0.78740157499999996" top="0.984251969" bottom="0.984251969" header="0.5" footer="0.5"/>
  <pageSetup paperSize="9" orientation="portrait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E22"/>
  <sheetViews>
    <sheetView zoomScaleNormal="100" workbookViewId="0">
      <selection activeCell="J14" sqref="J14"/>
    </sheetView>
  </sheetViews>
  <sheetFormatPr baseColWidth="10" defaultColWidth="10.85546875" defaultRowHeight="23.1" customHeight="1" x14ac:dyDescent="0.2"/>
  <cols>
    <col min="1" max="1" width="2.28515625" style="46" customWidth="1"/>
    <col min="2" max="2" width="3" style="45" customWidth="1"/>
    <col min="3" max="3" width="17.7109375" style="45" customWidth="1"/>
    <col min="4" max="4" width="31.140625" style="46" customWidth="1"/>
    <col min="5" max="5" width="18.85546875" style="47" customWidth="1"/>
    <col min="6" max="6" width="4.85546875" style="46" customWidth="1"/>
    <col min="7" max="16384" width="10.85546875" style="46"/>
  </cols>
  <sheetData>
    <row r="1" spans="2:5" ht="14.1" customHeight="1" x14ac:dyDescent="0.2"/>
    <row r="2" spans="2:5" ht="24" customHeight="1" x14ac:dyDescent="0.2">
      <c r="B2" s="48" t="s">
        <v>58</v>
      </c>
      <c r="C2" s="49"/>
      <c r="D2" s="50"/>
      <c r="E2" s="51"/>
    </row>
    <row r="3" spans="2:5" ht="24" customHeight="1" x14ac:dyDescent="0.2">
      <c r="B3" s="48" t="s">
        <v>61</v>
      </c>
      <c r="C3" s="49"/>
      <c r="D3" s="50"/>
      <c r="E3" s="51"/>
    </row>
    <row r="4" spans="2:5" ht="24" customHeight="1" x14ac:dyDescent="0.2"/>
    <row r="5" spans="2:5" ht="24" customHeight="1" x14ac:dyDescent="0.2">
      <c r="B5" s="52" t="s">
        <v>57</v>
      </c>
      <c r="C5" s="52"/>
      <c r="D5" s="52"/>
      <c r="E5" s="52"/>
    </row>
    <row r="6" spans="2:5" ht="33.950000000000003" customHeight="1" x14ac:dyDescent="0.2">
      <c r="B6" s="53"/>
      <c r="C6" s="54" t="s">
        <v>73</v>
      </c>
      <c r="D6" s="53" t="s">
        <v>74</v>
      </c>
      <c r="E6" s="53" t="s">
        <v>134</v>
      </c>
    </row>
    <row r="7" spans="2:5" ht="24" customHeight="1" x14ac:dyDescent="0.2">
      <c r="B7" s="55"/>
      <c r="C7" s="56"/>
      <c r="D7" s="57" t="s">
        <v>58</v>
      </c>
      <c r="E7" s="58"/>
    </row>
    <row r="8" spans="2:5" ht="24" customHeight="1" x14ac:dyDescent="0.2">
      <c r="B8" s="59" t="s">
        <v>47</v>
      </c>
      <c r="C8" s="60">
        <v>0.1</v>
      </c>
      <c r="D8" s="61" t="s">
        <v>59</v>
      </c>
      <c r="E8" s="38"/>
    </row>
    <row r="9" spans="2:5" ht="24" customHeight="1" x14ac:dyDescent="0.2">
      <c r="B9" s="62" t="s">
        <v>46</v>
      </c>
      <c r="C9" s="63"/>
      <c r="D9" s="64" t="s">
        <v>60</v>
      </c>
      <c r="E9" s="65"/>
    </row>
    <row r="10" spans="2:5" ht="24" customHeight="1" x14ac:dyDescent="0.2">
      <c r="B10" s="59"/>
      <c r="C10" s="60"/>
      <c r="D10" s="61" t="s">
        <v>61</v>
      </c>
      <c r="E10" s="38"/>
    </row>
    <row r="11" spans="2:5" ht="24" customHeight="1" x14ac:dyDescent="0.2">
      <c r="B11" s="59" t="s">
        <v>47</v>
      </c>
      <c r="C11" s="60">
        <v>0.9</v>
      </c>
      <c r="D11" s="61" t="s">
        <v>62</v>
      </c>
      <c r="E11" s="38"/>
    </row>
    <row r="12" spans="2:5" ht="24" customHeight="1" x14ac:dyDescent="0.2">
      <c r="B12" s="62" t="s">
        <v>46</v>
      </c>
      <c r="C12" s="63"/>
      <c r="D12" s="64" t="s">
        <v>63</v>
      </c>
      <c r="E12" s="65"/>
    </row>
    <row r="13" spans="2:5" ht="24" customHeight="1" x14ac:dyDescent="0.2">
      <c r="B13" s="62" t="s">
        <v>46</v>
      </c>
      <c r="C13" s="63"/>
      <c r="D13" s="64" t="s">
        <v>64</v>
      </c>
      <c r="E13" s="65"/>
    </row>
    <row r="14" spans="2:5" ht="24" customHeight="1" x14ac:dyDescent="0.2">
      <c r="B14" s="59" t="s">
        <v>47</v>
      </c>
      <c r="C14" s="60">
        <v>0.12</v>
      </c>
      <c r="D14" s="61" t="s">
        <v>65</v>
      </c>
      <c r="E14" s="38"/>
    </row>
    <row r="15" spans="2:5" ht="24" customHeight="1" x14ac:dyDescent="0.2">
      <c r="B15" s="59" t="s">
        <v>47</v>
      </c>
      <c r="C15" s="60">
        <v>0.05</v>
      </c>
      <c r="D15" s="61" t="s">
        <v>66</v>
      </c>
      <c r="E15" s="38"/>
    </row>
    <row r="16" spans="2:5" ht="24" customHeight="1" x14ac:dyDescent="0.2">
      <c r="B16" s="62" t="s">
        <v>46</v>
      </c>
      <c r="C16" s="63"/>
      <c r="D16" s="64" t="s">
        <v>67</v>
      </c>
      <c r="E16" s="65"/>
    </row>
    <row r="17" spans="2:5" ht="24" customHeight="1" x14ac:dyDescent="0.2">
      <c r="B17" s="59" t="s">
        <v>47</v>
      </c>
      <c r="C17" s="60">
        <v>0.15</v>
      </c>
      <c r="D17" s="61" t="s">
        <v>27</v>
      </c>
      <c r="E17" s="38"/>
    </row>
    <row r="18" spans="2:5" ht="24" customHeight="1" x14ac:dyDescent="0.2">
      <c r="B18" s="62" t="s">
        <v>46</v>
      </c>
      <c r="C18" s="63"/>
      <c r="D18" s="64" t="s">
        <v>68</v>
      </c>
      <c r="E18" s="65"/>
    </row>
    <row r="19" spans="2:5" ht="24" customHeight="1" x14ac:dyDescent="0.2">
      <c r="B19" s="59" t="s">
        <v>47</v>
      </c>
      <c r="C19" s="60">
        <v>0.02</v>
      </c>
      <c r="D19" s="61" t="s">
        <v>69</v>
      </c>
      <c r="E19" s="38"/>
    </row>
    <row r="20" spans="2:5" ht="24" customHeight="1" x14ac:dyDescent="0.2">
      <c r="B20" s="62" t="s">
        <v>46</v>
      </c>
      <c r="C20" s="63"/>
      <c r="D20" s="64" t="s">
        <v>70</v>
      </c>
      <c r="E20" s="65"/>
    </row>
    <row r="21" spans="2:5" ht="24" customHeight="1" x14ac:dyDescent="0.2">
      <c r="B21" s="59" t="s">
        <v>47</v>
      </c>
      <c r="C21" s="60">
        <v>0.2</v>
      </c>
      <c r="D21" s="61" t="s">
        <v>71</v>
      </c>
      <c r="E21" s="38"/>
    </row>
    <row r="22" spans="2:5" ht="24" customHeight="1" x14ac:dyDescent="0.2">
      <c r="B22" s="62" t="s">
        <v>46</v>
      </c>
      <c r="C22" s="63"/>
      <c r="D22" s="64" t="s">
        <v>72</v>
      </c>
      <c r="E22" s="65"/>
    </row>
  </sheetData>
  <mergeCells count="3">
    <mergeCell ref="B5:E5"/>
    <mergeCell ref="B2:D2"/>
    <mergeCell ref="B3:D3"/>
  </mergeCells>
  <pageMargins left="0.78740157499999996" right="0.78740157499999996" top="0.984251969" bottom="0.984251969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A28"/>
  <sheetViews>
    <sheetView topLeftCell="A10" zoomScaleNormal="100" workbookViewId="0">
      <selection activeCell="L25" sqref="L25"/>
    </sheetView>
  </sheetViews>
  <sheetFormatPr baseColWidth="10" defaultColWidth="10.85546875" defaultRowHeight="15" x14ac:dyDescent="0.25"/>
  <cols>
    <col min="1" max="1" width="2.140625" style="67" customWidth="1"/>
    <col min="2" max="2" width="36" style="67" customWidth="1"/>
    <col min="3" max="3" width="13.28515625" style="67" customWidth="1"/>
    <col min="4" max="4" width="13.7109375" style="67" customWidth="1"/>
    <col min="5" max="5" width="14.140625" style="67" customWidth="1"/>
    <col min="6" max="53" width="3.7109375" style="67" customWidth="1"/>
    <col min="54" max="16384" width="10.85546875" style="67"/>
  </cols>
  <sheetData>
    <row r="1" spans="1:53" x14ac:dyDescent="0.25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</row>
    <row r="2" spans="1:53" ht="24" customHeight="1" x14ac:dyDescent="0.25">
      <c r="A2" s="66"/>
      <c r="B2" s="83" t="s">
        <v>138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</row>
    <row r="3" spans="1:53" ht="24" customHeight="1" x14ac:dyDescent="0.25">
      <c r="A3" s="68"/>
      <c r="B3" s="69" t="s">
        <v>92</v>
      </c>
      <c r="C3" s="70" t="s">
        <v>135</v>
      </c>
      <c r="D3" s="70" t="s">
        <v>136</v>
      </c>
      <c r="E3" s="70" t="s">
        <v>137</v>
      </c>
      <c r="F3" s="82" t="s">
        <v>94</v>
      </c>
      <c r="G3" s="82"/>
      <c r="H3" s="82"/>
      <c r="I3" s="82"/>
      <c r="J3" s="82" t="s">
        <v>95</v>
      </c>
      <c r="K3" s="82"/>
      <c r="L3" s="82"/>
      <c r="M3" s="82"/>
      <c r="N3" s="82" t="s">
        <v>96</v>
      </c>
      <c r="O3" s="82"/>
      <c r="P3" s="82"/>
      <c r="Q3" s="82"/>
      <c r="R3" s="82" t="s">
        <v>97</v>
      </c>
      <c r="S3" s="82"/>
      <c r="T3" s="82"/>
      <c r="U3" s="82"/>
      <c r="V3" s="82" t="s">
        <v>98</v>
      </c>
      <c r="W3" s="82"/>
      <c r="X3" s="82"/>
      <c r="Y3" s="82"/>
      <c r="Z3" s="82" t="s">
        <v>99</v>
      </c>
      <c r="AA3" s="82"/>
      <c r="AB3" s="82"/>
      <c r="AC3" s="82"/>
      <c r="AD3" s="82" t="s">
        <v>100</v>
      </c>
      <c r="AE3" s="82"/>
      <c r="AF3" s="82"/>
      <c r="AG3" s="82"/>
      <c r="AH3" s="82" t="s">
        <v>101</v>
      </c>
      <c r="AI3" s="82"/>
      <c r="AJ3" s="82"/>
      <c r="AK3" s="82"/>
      <c r="AL3" s="82" t="s">
        <v>102</v>
      </c>
      <c r="AM3" s="82"/>
      <c r="AN3" s="82"/>
      <c r="AO3" s="82"/>
      <c r="AP3" s="82" t="s">
        <v>103</v>
      </c>
      <c r="AQ3" s="82"/>
      <c r="AR3" s="82"/>
      <c r="AS3" s="82"/>
      <c r="AT3" s="82" t="s">
        <v>104</v>
      </c>
      <c r="AU3" s="82"/>
      <c r="AV3" s="82"/>
      <c r="AW3" s="82"/>
      <c r="AX3" s="82" t="s">
        <v>105</v>
      </c>
      <c r="AY3" s="82"/>
      <c r="AZ3" s="82"/>
      <c r="BA3" s="82"/>
    </row>
    <row r="4" spans="1:53" ht="24" customHeight="1" x14ac:dyDescent="0.25">
      <c r="A4" s="71"/>
      <c r="B4" s="72"/>
      <c r="C4" s="73"/>
      <c r="D4" s="73"/>
      <c r="E4" s="73"/>
      <c r="F4" s="69">
        <v>1</v>
      </c>
      <c r="G4" s="69">
        <v>2</v>
      </c>
      <c r="H4" s="69">
        <v>3</v>
      </c>
      <c r="I4" s="69">
        <v>4</v>
      </c>
      <c r="J4" s="69">
        <v>1</v>
      </c>
      <c r="K4" s="69">
        <v>2</v>
      </c>
      <c r="L4" s="69">
        <v>3</v>
      </c>
      <c r="M4" s="69">
        <v>4</v>
      </c>
      <c r="N4" s="69">
        <v>1</v>
      </c>
      <c r="O4" s="69">
        <v>2</v>
      </c>
      <c r="P4" s="69">
        <v>3</v>
      </c>
      <c r="Q4" s="69">
        <v>4</v>
      </c>
      <c r="R4" s="69">
        <v>1</v>
      </c>
      <c r="S4" s="69">
        <v>2</v>
      </c>
      <c r="T4" s="69">
        <v>3</v>
      </c>
      <c r="U4" s="69">
        <v>4</v>
      </c>
      <c r="V4" s="69">
        <v>1</v>
      </c>
      <c r="W4" s="69">
        <v>2</v>
      </c>
      <c r="X4" s="69">
        <v>3</v>
      </c>
      <c r="Y4" s="69">
        <v>4</v>
      </c>
      <c r="Z4" s="69">
        <v>1</v>
      </c>
      <c r="AA4" s="69">
        <v>2</v>
      </c>
      <c r="AB4" s="69">
        <v>3</v>
      </c>
      <c r="AC4" s="69">
        <v>4</v>
      </c>
      <c r="AD4" s="69">
        <v>1</v>
      </c>
      <c r="AE4" s="69">
        <v>2</v>
      </c>
      <c r="AF4" s="69">
        <v>3</v>
      </c>
      <c r="AG4" s="69">
        <v>4</v>
      </c>
      <c r="AH4" s="69">
        <v>1</v>
      </c>
      <c r="AI4" s="69">
        <v>2</v>
      </c>
      <c r="AJ4" s="69">
        <v>3</v>
      </c>
      <c r="AK4" s="69">
        <v>4</v>
      </c>
      <c r="AL4" s="69">
        <v>1</v>
      </c>
      <c r="AM4" s="69">
        <v>2</v>
      </c>
      <c r="AN4" s="69">
        <v>3</v>
      </c>
      <c r="AO4" s="69">
        <v>4</v>
      </c>
      <c r="AP4" s="69">
        <v>1</v>
      </c>
      <c r="AQ4" s="69">
        <v>2</v>
      </c>
      <c r="AR4" s="69">
        <v>3</v>
      </c>
      <c r="AS4" s="69">
        <v>4</v>
      </c>
      <c r="AT4" s="69">
        <v>1</v>
      </c>
      <c r="AU4" s="69">
        <v>2</v>
      </c>
      <c r="AV4" s="69">
        <v>3</v>
      </c>
      <c r="AW4" s="69">
        <v>4</v>
      </c>
      <c r="AX4" s="69">
        <v>1</v>
      </c>
      <c r="AY4" s="69">
        <v>2</v>
      </c>
      <c r="AZ4" s="69">
        <v>3</v>
      </c>
      <c r="BA4" s="69">
        <v>4</v>
      </c>
    </row>
    <row r="5" spans="1:53" ht="24" customHeight="1" x14ac:dyDescent="0.25">
      <c r="A5" s="71"/>
      <c r="B5" s="74"/>
      <c r="C5" s="75"/>
      <c r="D5" s="75"/>
      <c r="E5" s="75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</row>
    <row r="6" spans="1:53" ht="24" customHeight="1" x14ac:dyDescent="0.25">
      <c r="A6" s="66"/>
      <c r="B6" s="84" t="s">
        <v>139</v>
      </c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6"/>
    </row>
    <row r="7" spans="1:53" ht="24" customHeight="1" x14ac:dyDescent="0.25">
      <c r="A7" s="66"/>
      <c r="B7" s="76"/>
      <c r="C7" s="77"/>
      <c r="D7" s="77"/>
      <c r="E7" s="78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</row>
    <row r="8" spans="1:53" ht="24" customHeight="1" x14ac:dyDescent="0.25">
      <c r="A8" s="66"/>
      <c r="B8" s="76"/>
      <c r="C8" s="77"/>
      <c r="D8" s="77"/>
      <c r="E8" s="78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</row>
    <row r="9" spans="1:53" ht="24" customHeight="1" x14ac:dyDescent="0.25">
      <c r="A9" s="66"/>
      <c r="B9" s="76"/>
      <c r="C9" s="77"/>
      <c r="D9" s="77"/>
      <c r="E9" s="78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</row>
    <row r="10" spans="1:53" ht="24" customHeight="1" x14ac:dyDescent="0.25">
      <c r="A10" s="66"/>
      <c r="B10" s="76"/>
      <c r="C10" s="77"/>
      <c r="D10" s="77"/>
      <c r="E10" s="78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</row>
    <row r="11" spans="1:53" ht="24" customHeight="1" x14ac:dyDescent="0.25">
      <c r="A11" s="66"/>
      <c r="B11" s="84" t="s">
        <v>140</v>
      </c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6"/>
    </row>
    <row r="12" spans="1:53" ht="24" customHeight="1" x14ac:dyDescent="0.25">
      <c r="A12" s="66"/>
      <c r="B12" s="76"/>
      <c r="C12" s="77"/>
      <c r="D12" s="77"/>
      <c r="E12" s="78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</row>
    <row r="13" spans="1:53" ht="24" customHeight="1" x14ac:dyDescent="0.25">
      <c r="A13" s="66"/>
      <c r="B13" s="76"/>
      <c r="C13" s="77"/>
      <c r="D13" s="77"/>
      <c r="E13" s="78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</row>
    <row r="14" spans="1:53" ht="24" customHeight="1" x14ac:dyDescent="0.25">
      <c r="A14" s="66"/>
      <c r="B14" s="76"/>
      <c r="C14" s="77"/>
      <c r="D14" s="77"/>
      <c r="E14" s="78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</row>
    <row r="15" spans="1:53" ht="24" customHeight="1" x14ac:dyDescent="0.25">
      <c r="A15" s="66"/>
      <c r="B15" s="76"/>
      <c r="C15" s="77"/>
      <c r="D15" s="77"/>
      <c r="E15" s="78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</row>
    <row r="16" spans="1:53" ht="24" customHeight="1" x14ac:dyDescent="0.25">
      <c r="A16" s="66"/>
      <c r="B16" s="84" t="s">
        <v>141</v>
      </c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6"/>
    </row>
    <row r="17" spans="1:53" ht="24" customHeight="1" x14ac:dyDescent="0.25">
      <c r="A17" s="66"/>
      <c r="B17" s="76"/>
      <c r="C17" s="77"/>
      <c r="D17" s="77"/>
      <c r="E17" s="78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</row>
    <row r="18" spans="1:53" ht="24" customHeight="1" x14ac:dyDescent="0.25">
      <c r="A18" s="66"/>
      <c r="B18" s="76"/>
      <c r="C18" s="77"/>
      <c r="D18" s="77"/>
      <c r="E18" s="78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</row>
    <row r="19" spans="1:53" ht="24" customHeight="1" x14ac:dyDescent="0.25">
      <c r="A19" s="66"/>
      <c r="B19" s="76"/>
      <c r="C19" s="77"/>
      <c r="D19" s="77"/>
      <c r="E19" s="78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</row>
    <row r="20" spans="1:53" ht="24" customHeight="1" x14ac:dyDescent="0.25">
      <c r="A20" s="66"/>
      <c r="B20" s="76"/>
      <c r="C20" s="77"/>
      <c r="D20" s="77"/>
      <c r="E20" s="78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</row>
    <row r="21" spans="1:53" ht="24" customHeight="1" x14ac:dyDescent="0.25">
      <c r="A21" s="66"/>
      <c r="B21" s="84" t="s">
        <v>142</v>
      </c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6"/>
    </row>
    <row r="22" spans="1:53" ht="24" customHeight="1" x14ac:dyDescent="0.25">
      <c r="A22" s="66"/>
      <c r="B22" s="76"/>
      <c r="C22" s="77"/>
      <c r="D22" s="77"/>
      <c r="E22" s="78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</row>
    <row r="23" spans="1:53" ht="24" customHeight="1" x14ac:dyDescent="0.25">
      <c r="A23" s="66"/>
      <c r="B23" s="76"/>
      <c r="C23" s="77"/>
      <c r="D23" s="77"/>
      <c r="E23" s="78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</row>
    <row r="24" spans="1:53" ht="24" customHeight="1" x14ac:dyDescent="0.25">
      <c r="A24" s="66"/>
      <c r="B24" s="76"/>
      <c r="C24" s="77"/>
      <c r="D24" s="77"/>
      <c r="E24" s="78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</row>
    <row r="25" spans="1:53" ht="24" customHeight="1" x14ac:dyDescent="0.25">
      <c r="A25" s="66"/>
      <c r="B25" s="76"/>
      <c r="C25" s="77"/>
      <c r="D25" s="77"/>
      <c r="E25" s="78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</row>
    <row r="26" spans="1:53" ht="24" customHeight="1" x14ac:dyDescent="0.25">
      <c r="A26" s="66"/>
      <c r="B26" s="66"/>
      <c r="C26" s="66"/>
      <c r="D26" s="80" t="s">
        <v>93</v>
      </c>
      <c r="E26" s="81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</row>
    <row r="27" spans="1:53" x14ac:dyDescent="0.25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</row>
    <row r="28" spans="1:53" x14ac:dyDescent="0.25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</row>
  </sheetData>
  <mergeCells count="53">
    <mergeCell ref="R4:R5"/>
    <mergeCell ref="L4:L5"/>
    <mergeCell ref="M4:M5"/>
    <mergeCell ref="N4:N5"/>
    <mergeCell ref="O4:O5"/>
    <mergeCell ref="P4:P5"/>
    <mergeCell ref="Q4:Q5"/>
    <mergeCell ref="J4:J5"/>
    <mergeCell ref="K4:K5"/>
    <mergeCell ref="E3:E5"/>
    <mergeCell ref="D3:D5"/>
    <mergeCell ref="C3:C5"/>
    <mergeCell ref="A4:A5"/>
    <mergeCell ref="F4:F5"/>
    <mergeCell ref="G4:G5"/>
    <mergeCell ref="H4:H5"/>
    <mergeCell ref="I4:I5"/>
    <mergeCell ref="B3:B5"/>
    <mergeCell ref="S4:S5"/>
    <mergeCell ref="T4:T5"/>
    <mergeCell ref="U4:U5"/>
    <mergeCell ref="V4:V5"/>
    <mergeCell ref="W4:W5"/>
    <mergeCell ref="X4:X5"/>
    <mergeCell ref="Y4:Y5"/>
    <mergeCell ref="Z4:Z5"/>
    <mergeCell ref="AA4:AA5"/>
    <mergeCell ref="AB4:AB5"/>
    <mergeCell ref="AC4:AC5"/>
    <mergeCell ref="BA4:BA5"/>
    <mergeCell ref="AD4:AD5"/>
    <mergeCell ref="AE4:AE5"/>
    <mergeCell ref="AF4:AF5"/>
    <mergeCell ref="AG4:AG5"/>
    <mergeCell ref="AH4:AH5"/>
    <mergeCell ref="AI4:AI5"/>
    <mergeCell ref="AJ4:AJ5"/>
    <mergeCell ref="AK4:AK5"/>
    <mergeCell ref="AL4:AL5"/>
    <mergeCell ref="AM4:AM5"/>
    <mergeCell ref="AN4:AN5"/>
    <mergeCell ref="AO4:AO5"/>
    <mergeCell ref="AV4:AV5"/>
    <mergeCell ref="AW4:AW5"/>
    <mergeCell ref="AX4:AX5"/>
    <mergeCell ref="AY4:AY5"/>
    <mergeCell ref="AZ4:AZ5"/>
    <mergeCell ref="AP4:AP5"/>
    <mergeCell ref="AQ4:AQ5"/>
    <mergeCell ref="AR4:AR5"/>
    <mergeCell ref="AS4:AS5"/>
    <mergeCell ref="AT4:AT5"/>
    <mergeCell ref="AU4:AU5"/>
  </mergeCells>
  <pageMargins left="0.78740157499999996" right="0.78740157499999996" top="0.984251969" bottom="0.984251969" header="0.5" footer="0.5"/>
  <pageSetup paperSize="9" orientation="portrait" horizontalDpi="300" verticalDpi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B3:T14"/>
  <sheetViews>
    <sheetView zoomScaleNormal="100" workbookViewId="0">
      <selection activeCell="D11" sqref="D11"/>
    </sheetView>
  </sheetViews>
  <sheetFormatPr baseColWidth="10" defaultColWidth="10.85546875" defaultRowHeight="15" x14ac:dyDescent="0.2"/>
  <cols>
    <col min="1" max="1" width="3" style="4" customWidth="1"/>
    <col min="2" max="2" width="17.140625" style="4" customWidth="1"/>
    <col min="3" max="20" width="12.7109375" style="4" customWidth="1"/>
    <col min="21" max="16384" width="10.85546875" style="4"/>
  </cols>
  <sheetData>
    <row r="3" spans="2:20" s="4" customFormat="1" ht="24" customHeight="1" x14ac:dyDescent="0.2">
      <c r="B3" s="88"/>
      <c r="C3" s="89" t="s">
        <v>41</v>
      </c>
      <c r="D3" s="89"/>
      <c r="E3" s="89"/>
      <c r="F3" s="89" t="s">
        <v>42</v>
      </c>
      <c r="G3" s="89"/>
      <c r="H3" s="89"/>
      <c r="I3" s="89" t="s">
        <v>40</v>
      </c>
      <c r="J3" s="89"/>
      <c r="K3" s="89"/>
      <c r="L3" s="89" t="s">
        <v>43</v>
      </c>
      <c r="M3" s="89"/>
      <c r="N3" s="89"/>
      <c r="O3" s="89" t="s">
        <v>19</v>
      </c>
      <c r="P3" s="89"/>
      <c r="Q3" s="89"/>
      <c r="R3" s="89" t="s">
        <v>18</v>
      </c>
      <c r="S3" s="89"/>
      <c r="T3" s="89"/>
    </row>
    <row r="4" spans="2:20" s="4" customFormat="1" ht="33.950000000000003" customHeight="1" x14ac:dyDescent="0.2">
      <c r="B4" s="90"/>
      <c r="C4" s="5" t="s">
        <v>143</v>
      </c>
      <c r="D4" s="5" t="s">
        <v>144</v>
      </c>
      <c r="E4" s="5" t="s">
        <v>17</v>
      </c>
      <c r="F4" s="5" t="s">
        <v>143</v>
      </c>
      <c r="G4" s="5" t="s">
        <v>144</v>
      </c>
      <c r="H4" s="5" t="s">
        <v>17</v>
      </c>
      <c r="I4" s="5" t="s">
        <v>143</v>
      </c>
      <c r="J4" s="5" t="s">
        <v>144</v>
      </c>
      <c r="K4" s="5" t="s">
        <v>17</v>
      </c>
      <c r="L4" s="5" t="s">
        <v>143</v>
      </c>
      <c r="M4" s="5" t="s">
        <v>144</v>
      </c>
      <c r="N4" s="5" t="s">
        <v>17</v>
      </c>
      <c r="O4" s="5" t="s">
        <v>143</v>
      </c>
      <c r="P4" s="5" t="s">
        <v>144</v>
      </c>
      <c r="Q4" s="5" t="s">
        <v>17</v>
      </c>
      <c r="R4" s="5" t="s">
        <v>143</v>
      </c>
      <c r="S4" s="5" t="s">
        <v>144</v>
      </c>
      <c r="T4" s="5" t="s">
        <v>17</v>
      </c>
    </row>
    <row r="5" spans="2:20" s="4" customFormat="1" ht="24" customHeight="1" x14ac:dyDescent="0.2">
      <c r="B5" s="91" t="s">
        <v>28</v>
      </c>
      <c r="C5" s="92"/>
      <c r="D5" s="92"/>
      <c r="E5" s="93"/>
      <c r="F5" s="92"/>
      <c r="G5" s="92"/>
      <c r="H5" s="93"/>
      <c r="I5" s="92"/>
      <c r="J5" s="92"/>
      <c r="K5" s="93"/>
      <c r="L5" s="92"/>
      <c r="M5" s="92"/>
      <c r="N5" s="93"/>
      <c r="O5" s="92"/>
      <c r="P5" s="92"/>
      <c r="Q5" s="93"/>
      <c r="R5" s="93"/>
      <c r="S5" s="93"/>
      <c r="T5" s="93"/>
    </row>
    <row r="6" spans="2:20" s="4" customFormat="1" ht="24" customHeight="1" x14ac:dyDescent="0.2">
      <c r="B6" s="91" t="s">
        <v>15</v>
      </c>
      <c r="C6" s="92"/>
      <c r="D6" s="92"/>
      <c r="E6" s="93"/>
      <c r="F6" s="92"/>
      <c r="G6" s="92"/>
      <c r="H6" s="93"/>
      <c r="I6" s="92"/>
      <c r="J6" s="92"/>
      <c r="K6" s="93"/>
      <c r="L6" s="92"/>
      <c r="M6" s="92"/>
      <c r="N6" s="93"/>
      <c r="O6" s="92"/>
      <c r="P6" s="92"/>
      <c r="Q6" s="93"/>
      <c r="R6" s="93"/>
      <c r="S6" s="93"/>
      <c r="T6" s="93"/>
    </row>
    <row r="7" spans="2:20" s="4" customFormat="1" ht="24" customHeight="1" x14ac:dyDescent="0.2">
      <c r="B7" s="91" t="s">
        <v>16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</row>
    <row r="8" spans="2:20" s="4" customFormat="1" ht="30" customHeight="1" x14ac:dyDescent="0.2"/>
    <row r="9" spans="2:20" s="4" customFormat="1" ht="30" customHeight="1" x14ac:dyDescent="0.25">
      <c r="B9" s="94"/>
    </row>
    <row r="10" spans="2:20" s="4" customFormat="1" ht="30" customHeight="1" x14ac:dyDescent="0.25">
      <c r="B10" s="94"/>
    </row>
    <row r="11" spans="2:20" s="4" customFormat="1" ht="30" customHeight="1" x14ac:dyDescent="0.25">
      <c r="B11" s="94"/>
    </row>
    <row r="12" spans="2:20" s="4" customFormat="1" ht="30" customHeight="1" x14ac:dyDescent="0.25">
      <c r="B12" s="94"/>
    </row>
    <row r="13" spans="2:20" s="4" customFormat="1" ht="30" customHeight="1" x14ac:dyDescent="0.25">
      <c r="B13" s="94"/>
    </row>
    <row r="14" spans="2:20" s="4" customFormat="1" x14ac:dyDescent="0.25">
      <c r="B14" s="94"/>
    </row>
  </sheetData>
  <mergeCells count="1">
    <mergeCell ref="B3:B4"/>
  </mergeCells>
  <pageMargins left="0.74803149606299213" right="0.74803149606299213" top="0.98425196850393704" bottom="0.98425196850393704" header="0.51181102362204722" footer="0.5118110236220472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B2:G33"/>
  <sheetViews>
    <sheetView zoomScaleNormal="100" workbookViewId="0">
      <selection activeCell="G8" sqref="G8"/>
    </sheetView>
  </sheetViews>
  <sheetFormatPr baseColWidth="10" defaultColWidth="10.85546875" defaultRowHeight="15" x14ac:dyDescent="0.2"/>
  <cols>
    <col min="1" max="1" width="1.28515625" style="95" customWidth="1"/>
    <col min="2" max="2" width="64.85546875" style="95" customWidth="1"/>
    <col min="3" max="5" width="18.7109375" style="95" customWidth="1"/>
    <col min="6" max="6" width="15.140625" style="95" customWidth="1"/>
    <col min="7" max="8" width="18.85546875" style="95" customWidth="1"/>
    <col min="9" max="9" width="2.42578125" style="95" customWidth="1"/>
    <col min="10" max="16384" width="10.85546875" style="95"/>
  </cols>
  <sheetData>
    <row r="2" spans="2:5" ht="24" customHeight="1" x14ac:dyDescent="0.2">
      <c r="B2" s="116" t="s">
        <v>158</v>
      </c>
      <c r="C2" s="117"/>
    </row>
    <row r="3" spans="2:5" ht="24" customHeight="1" x14ac:dyDescent="0.2">
      <c r="B3" s="96" t="s">
        <v>145</v>
      </c>
      <c r="C3" s="97">
        <v>45000000</v>
      </c>
    </row>
    <row r="4" spans="2:5" ht="24" customHeight="1" x14ac:dyDescent="0.2">
      <c r="B4" s="96" t="s">
        <v>146</v>
      </c>
      <c r="C4" s="97">
        <v>3250000</v>
      </c>
    </row>
    <row r="5" spans="2:5" ht="24" customHeight="1" x14ac:dyDescent="0.2">
      <c r="B5" s="96" t="s">
        <v>147</v>
      </c>
      <c r="C5" s="97">
        <v>900000</v>
      </c>
    </row>
    <row r="6" spans="2:5" ht="24" customHeight="1" x14ac:dyDescent="0.2">
      <c r="B6" s="96" t="s">
        <v>148</v>
      </c>
      <c r="C6" s="97">
        <v>37500000</v>
      </c>
    </row>
    <row r="7" spans="2:5" ht="24" customHeight="1" x14ac:dyDescent="0.2">
      <c r="B7" s="96" t="s">
        <v>149</v>
      </c>
      <c r="C7" s="97">
        <v>26500000</v>
      </c>
    </row>
    <row r="8" spans="2:5" ht="24" customHeight="1" x14ac:dyDescent="0.2">
      <c r="B8" s="98" t="s">
        <v>150</v>
      </c>
      <c r="C8" s="97">
        <v>4500000</v>
      </c>
    </row>
    <row r="9" spans="2:5" ht="33.950000000000003" customHeight="1" x14ac:dyDescent="0.2">
      <c r="B9" s="99" t="s">
        <v>151</v>
      </c>
      <c r="C9" s="97">
        <v>19000000</v>
      </c>
    </row>
    <row r="10" spans="2:5" ht="24" customHeight="1" x14ac:dyDescent="0.2"/>
    <row r="11" spans="2:5" ht="24" customHeight="1" x14ac:dyDescent="0.2"/>
    <row r="12" spans="2:5" ht="24" customHeight="1" x14ac:dyDescent="0.2">
      <c r="B12" s="116" t="s">
        <v>6</v>
      </c>
      <c r="C12" s="120"/>
      <c r="D12" s="120"/>
      <c r="E12" s="121"/>
    </row>
    <row r="13" spans="2:5" s="101" customFormat="1" ht="24" customHeight="1" x14ac:dyDescent="0.2">
      <c r="B13" s="122" t="s">
        <v>21</v>
      </c>
      <c r="C13" s="100" t="s">
        <v>24</v>
      </c>
      <c r="D13" s="100" t="s">
        <v>25</v>
      </c>
      <c r="E13" s="100" t="s">
        <v>26</v>
      </c>
    </row>
    <row r="14" spans="2:5" ht="24" customHeight="1" x14ac:dyDescent="0.2">
      <c r="B14" s="102" t="s">
        <v>23</v>
      </c>
      <c r="C14" s="115"/>
      <c r="D14" s="118"/>
      <c r="E14" s="119"/>
    </row>
    <row r="15" spans="2:5" ht="24" customHeight="1" x14ac:dyDescent="0.2">
      <c r="B15" s="98" t="s">
        <v>152</v>
      </c>
      <c r="C15" s="103">
        <v>1500000</v>
      </c>
      <c r="D15" s="104"/>
      <c r="E15" s="105"/>
    </row>
    <row r="16" spans="2:5" ht="24" customHeight="1" x14ac:dyDescent="0.2">
      <c r="B16" s="98" t="s">
        <v>32</v>
      </c>
      <c r="C16" s="106">
        <v>1.4</v>
      </c>
      <c r="D16" s="107"/>
      <c r="E16" s="105"/>
    </row>
    <row r="17" spans="2:7" ht="24" customHeight="1" x14ac:dyDescent="0.2">
      <c r="B17" s="98" t="s">
        <v>153</v>
      </c>
      <c r="C17" s="108">
        <v>22</v>
      </c>
      <c r="D17" s="109"/>
      <c r="E17" s="105"/>
    </row>
    <row r="18" spans="2:7" s="101" customFormat="1" ht="24" customHeight="1" x14ac:dyDescent="0.2">
      <c r="B18" s="98" t="s">
        <v>33</v>
      </c>
      <c r="C18" s="106">
        <v>0.03</v>
      </c>
      <c r="D18" s="107"/>
      <c r="E18" s="105"/>
    </row>
    <row r="19" spans="2:7" ht="24" customHeight="1" x14ac:dyDescent="0.2">
      <c r="B19" s="102" t="s">
        <v>22</v>
      </c>
      <c r="C19" s="115"/>
      <c r="D19" s="118"/>
      <c r="E19" s="119"/>
    </row>
    <row r="20" spans="2:7" ht="24" customHeight="1" x14ac:dyDescent="0.2">
      <c r="B20" s="98" t="s">
        <v>34</v>
      </c>
      <c r="C20" s="106">
        <v>0.65</v>
      </c>
      <c r="D20" s="107"/>
      <c r="E20" s="105"/>
    </row>
    <row r="21" spans="2:7" ht="24" customHeight="1" x14ac:dyDescent="0.2">
      <c r="B21" s="98" t="s">
        <v>35</v>
      </c>
      <c r="C21" s="106">
        <v>0.8</v>
      </c>
      <c r="D21" s="107"/>
      <c r="E21" s="105"/>
      <c r="F21" s="110"/>
    </row>
    <row r="22" spans="2:7" ht="17.100000000000001" customHeight="1" x14ac:dyDescent="0.2">
      <c r="E22" s="110"/>
    </row>
    <row r="23" spans="2:7" ht="17.100000000000001" customHeight="1" x14ac:dyDescent="0.2">
      <c r="E23" s="111"/>
    </row>
    <row r="24" spans="2:7" ht="17.100000000000001" customHeight="1" x14ac:dyDescent="0.2">
      <c r="E24" s="112"/>
      <c r="F24" s="112"/>
      <c r="G24" s="112"/>
    </row>
    <row r="25" spans="2:7" ht="17.100000000000001" customHeight="1" x14ac:dyDescent="0.2">
      <c r="E25" s="112"/>
      <c r="F25" s="112"/>
      <c r="G25" s="112"/>
    </row>
    <row r="26" spans="2:7" ht="17.100000000000001" customHeight="1" x14ac:dyDescent="0.2">
      <c r="E26" s="112"/>
      <c r="F26" s="112"/>
      <c r="G26" s="112"/>
    </row>
    <row r="27" spans="2:7" ht="17.100000000000001" customHeight="1" x14ac:dyDescent="0.2">
      <c r="E27" s="112"/>
      <c r="F27" s="112"/>
      <c r="G27" s="112"/>
    </row>
    <row r="28" spans="2:7" ht="30" customHeight="1" x14ac:dyDescent="0.2">
      <c r="E28" s="112"/>
      <c r="F28" s="112"/>
      <c r="G28" s="112"/>
    </row>
    <row r="29" spans="2:7" x14ac:dyDescent="0.2">
      <c r="E29" s="113"/>
      <c r="F29" s="113"/>
      <c r="G29" s="113"/>
    </row>
    <row r="31" spans="2:7" x14ac:dyDescent="0.2">
      <c r="F31" s="114"/>
    </row>
    <row r="33" spans="6:6" x14ac:dyDescent="0.2">
      <c r="F33" s="112"/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horizontalDpi="4294967292" verticalDpi="429496729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B2:G9"/>
  <sheetViews>
    <sheetView zoomScaleNormal="100" workbookViewId="0">
      <selection activeCell="K21" sqref="K21"/>
    </sheetView>
  </sheetViews>
  <sheetFormatPr baseColWidth="10" defaultColWidth="10.85546875" defaultRowHeight="15" x14ac:dyDescent="0.25"/>
  <cols>
    <col min="1" max="1" width="2.28515625" style="67" customWidth="1"/>
    <col min="2" max="2" width="28.5703125" style="67" customWidth="1"/>
    <col min="3" max="6" width="18.85546875" style="67" customWidth="1"/>
    <col min="7" max="16384" width="10.85546875" style="67"/>
  </cols>
  <sheetData>
    <row r="2" spans="2:7" s="36" customFormat="1" ht="24" customHeight="1" x14ac:dyDescent="0.2">
      <c r="B2" s="87" t="s">
        <v>14</v>
      </c>
      <c r="C2" s="89"/>
      <c r="D2" s="89"/>
      <c r="E2" s="89"/>
      <c r="F2" s="89"/>
    </row>
    <row r="3" spans="2:7" s="36" customFormat="1" ht="24" customHeight="1" x14ac:dyDescent="0.2">
      <c r="B3" s="123"/>
      <c r="C3" s="11" t="s">
        <v>10</v>
      </c>
      <c r="D3" s="11" t="s">
        <v>11</v>
      </c>
      <c r="E3" s="11" t="s">
        <v>12</v>
      </c>
      <c r="F3" s="11" t="s">
        <v>13</v>
      </c>
    </row>
    <row r="4" spans="2:7" s="36" customFormat="1" ht="24" customHeight="1" x14ac:dyDescent="0.2">
      <c r="B4" s="123" t="s">
        <v>154</v>
      </c>
      <c r="C4" s="124">
        <v>0</v>
      </c>
      <c r="D4" s="124">
        <v>0</v>
      </c>
      <c r="E4" s="124">
        <v>1100</v>
      </c>
      <c r="F4" s="124">
        <v>1800</v>
      </c>
      <c r="G4" s="125"/>
    </row>
    <row r="5" spans="2:7" s="36" customFormat="1" ht="24" customHeight="1" x14ac:dyDescent="0.2">
      <c r="B5" s="123" t="s">
        <v>155</v>
      </c>
      <c r="C5" s="124">
        <v>0</v>
      </c>
      <c r="D5" s="124">
        <v>0</v>
      </c>
      <c r="E5" s="124">
        <v>957</v>
      </c>
      <c r="F5" s="124">
        <v>1566</v>
      </c>
      <c r="G5" s="125"/>
    </row>
    <row r="6" spans="2:7" s="36" customFormat="1" ht="24" customHeight="1" x14ac:dyDescent="0.2">
      <c r="B6" s="123" t="s">
        <v>156</v>
      </c>
      <c r="C6" s="126">
        <v>0</v>
      </c>
      <c r="D6" s="126">
        <v>0</v>
      </c>
      <c r="E6" s="127"/>
      <c r="F6" s="127"/>
      <c r="G6" s="125"/>
    </row>
    <row r="7" spans="2:7" s="36" customFormat="1" ht="24" customHeight="1" x14ac:dyDescent="0.2">
      <c r="B7" s="123" t="s">
        <v>7</v>
      </c>
      <c r="C7" s="126">
        <v>0</v>
      </c>
      <c r="D7" s="126">
        <v>0</v>
      </c>
      <c r="E7" s="127"/>
      <c r="F7" s="127"/>
      <c r="G7" s="125"/>
    </row>
    <row r="8" spans="2:7" s="36" customFormat="1" ht="24" customHeight="1" x14ac:dyDescent="0.2">
      <c r="B8" s="123" t="s">
        <v>8</v>
      </c>
      <c r="C8" s="126">
        <v>0</v>
      </c>
      <c r="D8" s="126">
        <v>0</v>
      </c>
      <c r="E8" s="128">
        <v>12</v>
      </c>
      <c r="F8" s="128">
        <v>15</v>
      </c>
      <c r="G8" s="125"/>
    </row>
    <row r="9" spans="2:7" s="36" customFormat="1" ht="24" customHeight="1" x14ac:dyDescent="0.2">
      <c r="B9" s="123" t="s">
        <v>9</v>
      </c>
      <c r="C9" s="126">
        <v>0</v>
      </c>
      <c r="D9" s="126">
        <v>0</v>
      </c>
      <c r="E9" s="127"/>
      <c r="F9" s="127"/>
      <c r="G9" s="125"/>
    </row>
  </sheetData>
  <pageMargins left="0.74803149606299213" right="0.74803149606299213" top="0.98425196850393704" bottom="0.98425196850393704" header="0.51181102362204722" footer="0.5118110236220472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B3DAC-B196-514B-8FCA-73360CA682B3}">
  <dimension ref="B2:E249"/>
  <sheetViews>
    <sheetView zoomScaleNormal="100" workbookViewId="0">
      <selection activeCell="D14" sqref="D14"/>
    </sheetView>
  </sheetViews>
  <sheetFormatPr baseColWidth="10" defaultColWidth="10.85546875" defaultRowHeight="15" x14ac:dyDescent="0.25"/>
  <cols>
    <col min="1" max="1" width="2.42578125" style="129" customWidth="1"/>
    <col min="2" max="2" width="59.85546875" style="129" customWidth="1"/>
    <col min="3" max="5" width="18.85546875" style="129" customWidth="1"/>
    <col min="6" max="16384" width="10.85546875" style="129"/>
  </cols>
  <sheetData>
    <row r="2" spans="2:5" ht="24" customHeight="1" x14ac:dyDescent="0.25">
      <c r="B2" s="142" t="s">
        <v>110</v>
      </c>
      <c r="C2" s="142"/>
      <c r="D2" s="142"/>
      <c r="E2" s="142"/>
    </row>
    <row r="3" spans="2:5" ht="24" customHeight="1" x14ac:dyDescent="0.25">
      <c r="B3" s="143"/>
      <c r="C3" s="144" t="s">
        <v>111</v>
      </c>
      <c r="D3" s="144" t="s">
        <v>112</v>
      </c>
      <c r="E3" s="144" t="s">
        <v>113</v>
      </c>
    </row>
    <row r="4" spans="2:5" ht="24" customHeight="1" x14ac:dyDescent="0.25">
      <c r="B4" s="130" t="s">
        <v>126</v>
      </c>
      <c r="C4" s="131">
        <f>ROUND(C7*80,0)</f>
        <v>30400</v>
      </c>
      <c r="D4" s="131">
        <f>ROUND(D7*90,0)</f>
        <v>111600</v>
      </c>
      <c r="E4" s="131">
        <f>ROUND(E7*55,0)</f>
        <v>196900</v>
      </c>
    </row>
    <row r="5" spans="2:5" ht="24" customHeight="1" x14ac:dyDescent="0.25">
      <c r="B5" s="130" t="s">
        <v>127</v>
      </c>
      <c r="C5" s="131">
        <f>ROUND(C4*0.4,0)</f>
        <v>12160</v>
      </c>
      <c r="D5" s="131">
        <f>ROUND(D4*0.42,0)</f>
        <v>46872</v>
      </c>
      <c r="E5" s="131">
        <f>ROUND(E4*0.23,0)</f>
        <v>45287</v>
      </c>
    </row>
    <row r="6" spans="2:5" ht="24" customHeight="1" x14ac:dyDescent="0.25">
      <c r="B6" s="130" t="s">
        <v>114</v>
      </c>
      <c r="C6" s="131">
        <v>24</v>
      </c>
      <c r="D6" s="131">
        <v>20</v>
      </c>
      <c r="E6" s="131">
        <v>68</v>
      </c>
    </row>
    <row r="7" spans="2:5" ht="24" customHeight="1" x14ac:dyDescent="0.25">
      <c r="B7" s="130" t="s">
        <v>115</v>
      </c>
      <c r="C7" s="131">
        <v>380</v>
      </c>
      <c r="D7" s="131">
        <v>1240</v>
      </c>
      <c r="E7" s="131">
        <v>3580</v>
      </c>
    </row>
    <row r="8" spans="2:5" ht="24" customHeight="1" x14ac:dyDescent="0.25">
      <c r="B8" s="130" t="s">
        <v>116</v>
      </c>
      <c r="C8" s="131">
        <f>ROUND(C7*85,0)</f>
        <v>32300</v>
      </c>
      <c r="D8" s="131">
        <f>ROUND(D7*110,0)</f>
        <v>136400</v>
      </c>
      <c r="E8" s="131">
        <f>ROUND(E7*140,0)</f>
        <v>501200</v>
      </c>
    </row>
    <row r="9" spans="2:5" ht="24" customHeight="1" x14ac:dyDescent="0.25">
      <c r="B9" s="130" t="s">
        <v>117</v>
      </c>
      <c r="C9" s="131">
        <f>ROUND(C8*2%,0)</f>
        <v>646</v>
      </c>
      <c r="D9" s="131">
        <f>ROUND(D8*4%,0)</f>
        <v>5456</v>
      </c>
      <c r="E9" s="131">
        <f>ROUND(E8*3%,0)</f>
        <v>15036</v>
      </c>
    </row>
    <row r="10" spans="2:5" ht="24" customHeight="1" x14ac:dyDescent="0.25">
      <c r="B10" s="130" t="s">
        <v>118</v>
      </c>
      <c r="C10" s="131">
        <v>6100000</v>
      </c>
      <c r="D10" s="131">
        <v>6300000</v>
      </c>
      <c r="E10" s="131">
        <v>7800000</v>
      </c>
    </row>
    <row r="11" spans="2:5" ht="24" customHeight="1" x14ac:dyDescent="0.25"/>
    <row r="12" spans="2:5" ht="24" customHeight="1" x14ac:dyDescent="0.25">
      <c r="B12" s="145" t="s">
        <v>21</v>
      </c>
      <c r="C12" s="142" t="s">
        <v>119</v>
      </c>
      <c r="D12" s="142"/>
      <c r="E12" s="142"/>
    </row>
    <row r="13" spans="2:5" ht="24" customHeight="1" x14ac:dyDescent="0.25">
      <c r="B13" s="146"/>
      <c r="C13" s="144" t="s">
        <v>120</v>
      </c>
      <c r="D13" s="144" t="s">
        <v>121</v>
      </c>
      <c r="E13" s="144" t="s">
        <v>157</v>
      </c>
    </row>
    <row r="14" spans="2:5" ht="24" customHeight="1" x14ac:dyDescent="0.25">
      <c r="B14" s="130" t="s">
        <v>122</v>
      </c>
      <c r="C14" s="132">
        <v>0.05</v>
      </c>
      <c r="D14" s="133"/>
      <c r="E14" s="134"/>
    </row>
    <row r="15" spans="2:5" ht="24" customHeight="1" x14ac:dyDescent="0.25">
      <c r="B15" s="135" t="s">
        <v>128</v>
      </c>
      <c r="C15" s="136">
        <v>200000</v>
      </c>
      <c r="D15" s="137"/>
      <c r="E15" s="134"/>
    </row>
    <row r="16" spans="2:5" ht="24" customHeight="1" x14ac:dyDescent="0.25">
      <c r="B16" s="135" t="s">
        <v>129</v>
      </c>
      <c r="C16" s="136">
        <v>50</v>
      </c>
      <c r="D16" s="138"/>
      <c r="E16" s="134"/>
    </row>
    <row r="17" spans="2:5" ht="24" customHeight="1" x14ac:dyDescent="0.25">
      <c r="B17" s="135" t="s">
        <v>130</v>
      </c>
      <c r="C17" s="132">
        <v>0.25</v>
      </c>
      <c r="D17" s="133"/>
      <c r="E17" s="134"/>
    </row>
    <row r="18" spans="2:5" ht="24" customHeight="1" x14ac:dyDescent="0.25">
      <c r="B18" s="135" t="s">
        <v>123</v>
      </c>
      <c r="C18" s="132">
        <v>0.02</v>
      </c>
      <c r="D18" s="133"/>
      <c r="E18" s="134"/>
    </row>
    <row r="19" spans="2:5" ht="24" customHeight="1" x14ac:dyDescent="0.25">
      <c r="B19" s="135" t="s">
        <v>124</v>
      </c>
      <c r="C19" s="139">
        <v>120</v>
      </c>
      <c r="D19" s="140"/>
      <c r="E19" s="134"/>
    </row>
    <row r="20" spans="2:5" ht="24" customHeight="1" x14ac:dyDescent="0.25">
      <c r="B20" s="135" t="s">
        <v>125</v>
      </c>
      <c r="C20" s="132">
        <v>0.05</v>
      </c>
      <c r="D20" s="133"/>
      <c r="E20" s="134"/>
    </row>
    <row r="21" spans="2:5" ht="24" customHeight="1" x14ac:dyDescent="0.25"/>
    <row r="22" spans="2:5" ht="24" customHeight="1" x14ac:dyDescent="0.25">
      <c r="B22" s="141"/>
    </row>
    <row r="23" spans="2:5" ht="27.95" customHeight="1" x14ac:dyDescent="0.25"/>
    <row r="24" spans="2:5" ht="27.95" customHeight="1" x14ac:dyDescent="0.25"/>
    <row r="25" spans="2:5" ht="27.95" customHeight="1" x14ac:dyDescent="0.25"/>
    <row r="26" spans="2:5" ht="27.95" customHeight="1" x14ac:dyDescent="0.25"/>
    <row r="27" spans="2:5" ht="27.95" customHeight="1" x14ac:dyDescent="0.25"/>
    <row r="28" spans="2:5" ht="27.95" customHeight="1" x14ac:dyDescent="0.25"/>
    <row r="29" spans="2:5" ht="27.95" customHeight="1" x14ac:dyDescent="0.25"/>
    <row r="30" spans="2:5" ht="27.95" customHeight="1" x14ac:dyDescent="0.25"/>
    <row r="31" spans="2:5" ht="27.95" customHeight="1" x14ac:dyDescent="0.25"/>
    <row r="32" spans="2:5" ht="27.95" customHeight="1" x14ac:dyDescent="0.25"/>
    <row r="33" ht="27.95" customHeight="1" x14ac:dyDescent="0.25"/>
    <row r="34" ht="27.95" customHeight="1" x14ac:dyDescent="0.25"/>
    <row r="35" ht="27.95" customHeight="1" x14ac:dyDescent="0.25"/>
    <row r="36" ht="27.95" customHeight="1" x14ac:dyDescent="0.25"/>
    <row r="37" ht="27.95" customHeight="1" x14ac:dyDescent="0.25"/>
    <row r="38" ht="27.95" customHeight="1" x14ac:dyDescent="0.25"/>
    <row r="39" ht="27.95" customHeight="1" x14ac:dyDescent="0.25"/>
    <row r="40" ht="27.95" customHeight="1" x14ac:dyDescent="0.25"/>
    <row r="41" ht="27.95" customHeight="1" x14ac:dyDescent="0.25"/>
    <row r="42" ht="27.95" customHeight="1" x14ac:dyDescent="0.25"/>
    <row r="43" ht="27.95" customHeight="1" x14ac:dyDescent="0.25"/>
    <row r="44" ht="27.95" customHeight="1" x14ac:dyDescent="0.25"/>
    <row r="45" ht="27.95" customHeight="1" x14ac:dyDescent="0.25"/>
    <row r="46" ht="27.95" customHeight="1" x14ac:dyDescent="0.25"/>
    <row r="47" ht="27.95" customHeight="1" x14ac:dyDescent="0.25"/>
    <row r="48" ht="27.95" customHeight="1" x14ac:dyDescent="0.25"/>
    <row r="49" ht="27.95" customHeight="1" x14ac:dyDescent="0.25"/>
    <row r="50" ht="27.95" customHeight="1" x14ac:dyDescent="0.25"/>
    <row r="51" ht="27.95" customHeight="1" x14ac:dyDescent="0.25"/>
    <row r="52" ht="27.95" customHeight="1" x14ac:dyDescent="0.25"/>
    <row r="53" ht="27.95" customHeight="1" x14ac:dyDescent="0.25"/>
    <row r="54" ht="27.95" customHeight="1" x14ac:dyDescent="0.25"/>
    <row r="55" ht="27.95" customHeight="1" x14ac:dyDescent="0.25"/>
    <row r="56" ht="27.95" customHeight="1" x14ac:dyDescent="0.25"/>
    <row r="57" ht="27.95" customHeight="1" x14ac:dyDescent="0.25"/>
    <row r="58" ht="27.95" customHeight="1" x14ac:dyDescent="0.25"/>
    <row r="59" ht="27.95" customHeight="1" x14ac:dyDescent="0.25"/>
    <row r="60" ht="27.95" customHeight="1" x14ac:dyDescent="0.25"/>
    <row r="61" ht="27.95" customHeight="1" x14ac:dyDescent="0.25"/>
    <row r="62" ht="27.95" customHeight="1" x14ac:dyDescent="0.25"/>
    <row r="63" ht="27.95" customHeight="1" x14ac:dyDescent="0.25"/>
    <row r="64" ht="27.95" customHeight="1" x14ac:dyDescent="0.25"/>
    <row r="65" ht="27.95" customHeight="1" x14ac:dyDescent="0.25"/>
    <row r="66" ht="27.95" customHeight="1" x14ac:dyDescent="0.25"/>
    <row r="67" ht="27.95" customHeight="1" x14ac:dyDescent="0.25"/>
    <row r="68" ht="27.95" customHeight="1" x14ac:dyDescent="0.25"/>
    <row r="69" ht="27.95" customHeight="1" x14ac:dyDescent="0.25"/>
    <row r="70" ht="27.95" customHeight="1" x14ac:dyDescent="0.25"/>
    <row r="71" ht="27.95" customHeight="1" x14ac:dyDescent="0.25"/>
    <row r="72" ht="27.95" customHeight="1" x14ac:dyDescent="0.25"/>
    <row r="73" ht="27.95" customHeight="1" x14ac:dyDescent="0.25"/>
    <row r="74" ht="27.95" customHeight="1" x14ac:dyDescent="0.25"/>
    <row r="75" ht="27.95" customHeight="1" x14ac:dyDescent="0.25"/>
    <row r="76" ht="27.95" customHeight="1" x14ac:dyDescent="0.25"/>
    <row r="77" ht="27.95" customHeight="1" x14ac:dyDescent="0.25"/>
    <row r="78" ht="27.95" customHeight="1" x14ac:dyDescent="0.25"/>
    <row r="79" ht="27.95" customHeight="1" x14ac:dyDescent="0.25"/>
    <row r="80" ht="27.95" customHeight="1" x14ac:dyDescent="0.25"/>
    <row r="81" ht="27.95" customHeight="1" x14ac:dyDescent="0.25"/>
    <row r="82" ht="27.95" customHeight="1" x14ac:dyDescent="0.25"/>
    <row r="83" ht="27.95" customHeight="1" x14ac:dyDescent="0.25"/>
    <row r="84" ht="27.95" customHeight="1" x14ac:dyDescent="0.25"/>
    <row r="85" ht="27.95" customHeight="1" x14ac:dyDescent="0.25"/>
    <row r="86" ht="27.95" customHeight="1" x14ac:dyDescent="0.25"/>
    <row r="87" ht="27.95" customHeight="1" x14ac:dyDescent="0.25"/>
    <row r="88" ht="27.95" customHeight="1" x14ac:dyDescent="0.25"/>
    <row r="89" ht="27.95" customHeight="1" x14ac:dyDescent="0.25"/>
    <row r="90" ht="27.95" customHeight="1" x14ac:dyDescent="0.25"/>
    <row r="91" ht="27.95" customHeight="1" x14ac:dyDescent="0.25"/>
    <row r="92" ht="27.95" customHeight="1" x14ac:dyDescent="0.25"/>
    <row r="93" ht="27.95" customHeight="1" x14ac:dyDescent="0.25"/>
    <row r="94" ht="27.95" customHeight="1" x14ac:dyDescent="0.25"/>
    <row r="95" ht="27.95" customHeight="1" x14ac:dyDescent="0.25"/>
    <row r="96" ht="27.95" customHeight="1" x14ac:dyDescent="0.25"/>
    <row r="97" ht="27.95" customHeight="1" x14ac:dyDescent="0.25"/>
    <row r="98" ht="27.95" customHeight="1" x14ac:dyDescent="0.25"/>
    <row r="99" ht="27.95" customHeight="1" x14ac:dyDescent="0.25"/>
    <row r="100" ht="27.95" customHeight="1" x14ac:dyDescent="0.25"/>
    <row r="101" ht="27.95" customHeight="1" x14ac:dyDescent="0.25"/>
    <row r="102" ht="27.95" customHeight="1" x14ac:dyDescent="0.25"/>
    <row r="103" ht="27.95" customHeight="1" x14ac:dyDescent="0.25"/>
    <row r="104" ht="27.95" customHeight="1" x14ac:dyDescent="0.25"/>
    <row r="105" ht="27.95" customHeight="1" x14ac:dyDescent="0.25"/>
    <row r="106" ht="27.95" customHeight="1" x14ac:dyDescent="0.25"/>
    <row r="107" ht="27.95" customHeight="1" x14ac:dyDescent="0.25"/>
    <row r="108" ht="27.95" customHeight="1" x14ac:dyDescent="0.25"/>
    <row r="109" ht="27.95" customHeight="1" x14ac:dyDescent="0.25"/>
    <row r="110" ht="27.95" customHeight="1" x14ac:dyDescent="0.25"/>
    <row r="111" ht="27.95" customHeight="1" x14ac:dyDescent="0.25"/>
    <row r="112" ht="27.95" customHeight="1" x14ac:dyDescent="0.25"/>
    <row r="113" ht="27.95" customHeight="1" x14ac:dyDescent="0.25"/>
    <row r="114" ht="27.95" customHeight="1" x14ac:dyDescent="0.25"/>
    <row r="115" ht="27.95" customHeight="1" x14ac:dyDescent="0.25"/>
    <row r="116" ht="27.95" customHeight="1" x14ac:dyDescent="0.25"/>
    <row r="117" ht="27.95" customHeight="1" x14ac:dyDescent="0.25"/>
    <row r="118" ht="27.95" customHeight="1" x14ac:dyDescent="0.25"/>
    <row r="119" ht="27.95" customHeight="1" x14ac:dyDescent="0.25"/>
    <row r="120" ht="27.95" customHeight="1" x14ac:dyDescent="0.25"/>
    <row r="121" ht="27.95" customHeight="1" x14ac:dyDescent="0.25"/>
    <row r="122" ht="27.95" customHeight="1" x14ac:dyDescent="0.25"/>
    <row r="123" ht="27.95" customHeight="1" x14ac:dyDescent="0.25"/>
    <row r="124" ht="27.95" customHeight="1" x14ac:dyDescent="0.25"/>
    <row r="125" ht="27.95" customHeight="1" x14ac:dyDescent="0.25"/>
    <row r="126" ht="27.95" customHeight="1" x14ac:dyDescent="0.25"/>
    <row r="127" ht="27.95" customHeight="1" x14ac:dyDescent="0.25"/>
    <row r="128" ht="27.95" customHeight="1" x14ac:dyDescent="0.25"/>
    <row r="129" ht="27.95" customHeight="1" x14ac:dyDescent="0.25"/>
    <row r="130" ht="27.95" customHeight="1" x14ac:dyDescent="0.25"/>
    <row r="131" ht="27.95" customHeight="1" x14ac:dyDescent="0.25"/>
    <row r="132" ht="27.95" customHeight="1" x14ac:dyDescent="0.25"/>
    <row r="133" ht="27.95" customHeight="1" x14ac:dyDescent="0.25"/>
    <row r="134" ht="27.95" customHeight="1" x14ac:dyDescent="0.25"/>
    <row r="135" ht="27.95" customHeight="1" x14ac:dyDescent="0.25"/>
    <row r="136" ht="27.95" customHeight="1" x14ac:dyDescent="0.25"/>
    <row r="137" ht="27.95" customHeight="1" x14ac:dyDescent="0.25"/>
    <row r="138" ht="27.95" customHeight="1" x14ac:dyDescent="0.25"/>
    <row r="139" ht="27.95" customHeight="1" x14ac:dyDescent="0.25"/>
    <row r="140" ht="27.95" customHeight="1" x14ac:dyDescent="0.25"/>
    <row r="141" ht="27.95" customHeight="1" x14ac:dyDescent="0.25"/>
    <row r="142" ht="27.95" customHeight="1" x14ac:dyDescent="0.25"/>
    <row r="143" ht="27.95" customHeight="1" x14ac:dyDescent="0.25"/>
    <row r="144" ht="27.95" customHeight="1" x14ac:dyDescent="0.25"/>
    <row r="145" ht="27.95" customHeight="1" x14ac:dyDescent="0.25"/>
    <row r="146" ht="27.95" customHeight="1" x14ac:dyDescent="0.25"/>
    <row r="147" ht="27.95" customHeight="1" x14ac:dyDescent="0.25"/>
    <row r="148" ht="27.95" customHeight="1" x14ac:dyDescent="0.25"/>
    <row r="149" ht="27.95" customHeight="1" x14ac:dyDescent="0.25"/>
    <row r="150" ht="27.95" customHeight="1" x14ac:dyDescent="0.25"/>
    <row r="151" ht="27.95" customHeight="1" x14ac:dyDescent="0.25"/>
    <row r="152" ht="27.95" customHeight="1" x14ac:dyDescent="0.25"/>
    <row r="153" ht="27.95" customHeight="1" x14ac:dyDescent="0.25"/>
    <row r="154" ht="27.95" customHeight="1" x14ac:dyDescent="0.25"/>
    <row r="155" ht="27.95" customHeight="1" x14ac:dyDescent="0.25"/>
    <row r="156" ht="27.95" customHeight="1" x14ac:dyDescent="0.25"/>
    <row r="157" ht="27.95" customHeight="1" x14ac:dyDescent="0.25"/>
    <row r="158" ht="27.95" customHeight="1" x14ac:dyDescent="0.25"/>
    <row r="159" ht="27.95" customHeight="1" x14ac:dyDescent="0.25"/>
    <row r="160" ht="27.95" customHeight="1" x14ac:dyDescent="0.25"/>
    <row r="161" ht="27.95" customHeight="1" x14ac:dyDescent="0.25"/>
    <row r="162" ht="27.95" customHeight="1" x14ac:dyDescent="0.25"/>
    <row r="163" ht="27.95" customHeight="1" x14ac:dyDescent="0.25"/>
    <row r="164" ht="27.95" customHeight="1" x14ac:dyDescent="0.25"/>
    <row r="165" ht="27.95" customHeight="1" x14ac:dyDescent="0.25"/>
    <row r="166" ht="27.95" customHeight="1" x14ac:dyDescent="0.25"/>
    <row r="167" ht="27.95" customHeight="1" x14ac:dyDescent="0.25"/>
    <row r="168" ht="27.95" customHeight="1" x14ac:dyDescent="0.25"/>
    <row r="169" ht="27.95" customHeight="1" x14ac:dyDescent="0.25"/>
    <row r="170" ht="27.95" customHeight="1" x14ac:dyDescent="0.25"/>
    <row r="171" ht="27.95" customHeight="1" x14ac:dyDescent="0.25"/>
    <row r="172" ht="27.95" customHeight="1" x14ac:dyDescent="0.25"/>
    <row r="173" ht="27.95" customHeight="1" x14ac:dyDescent="0.25"/>
    <row r="174" ht="27.95" customHeight="1" x14ac:dyDescent="0.25"/>
    <row r="175" ht="27.95" customHeight="1" x14ac:dyDescent="0.25"/>
    <row r="176" ht="27.95" customHeight="1" x14ac:dyDescent="0.25"/>
    <row r="177" ht="27.95" customHeight="1" x14ac:dyDescent="0.25"/>
    <row r="178" ht="27.95" customHeight="1" x14ac:dyDescent="0.25"/>
    <row r="179" ht="27.95" customHeight="1" x14ac:dyDescent="0.25"/>
    <row r="180" ht="27.95" customHeight="1" x14ac:dyDescent="0.25"/>
    <row r="181" ht="27.95" customHeight="1" x14ac:dyDescent="0.25"/>
    <row r="182" ht="27.95" customHeight="1" x14ac:dyDescent="0.25"/>
    <row r="183" ht="27.95" customHeight="1" x14ac:dyDescent="0.25"/>
    <row r="184" ht="27.95" customHeight="1" x14ac:dyDescent="0.25"/>
    <row r="185" ht="27.95" customHeight="1" x14ac:dyDescent="0.25"/>
    <row r="186" ht="27.95" customHeight="1" x14ac:dyDescent="0.25"/>
    <row r="187" ht="27.95" customHeight="1" x14ac:dyDescent="0.25"/>
    <row r="188" ht="27.95" customHeight="1" x14ac:dyDescent="0.25"/>
    <row r="189" ht="27.95" customHeight="1" x14ac:dyDescent="0.25"/>
    <row r="190" ht="27.95" customHeight="1" x14ac:dyDescent="0.25"/>
    <row r="191" ht="27.95" customHeight="1" x14ac:dyDescent="0.25"/>
    <row r="192" ht="27.95" customHeight="1" x14ac:dyDescent="0.25"/>
    <row r="193" ht="27.95" customHeight="1" x14ac:dyDescent="0.25"/>
    <row r="194" ht="27.95" customHeight="1" x14ac:dyDescent="0.25"/>
    <row r="195" ht="27.95" customHeight="1" x14ac:dyDescent="0.25"/>
    <row r="196" ht="27.95" customHeight="1" x14ac:dyDescent="0.25"/>
    <row r="197" ht="27.95" customHeight="1" x14ac:dyDescent="0.25"/>
    <row r="198" ht="27.95" customHeight="1" x14ac:dyDescent="0.25"/>
    <row r="199" ht="27.95" customHeight="1" x14ac:dyDescent="0.25"/>
    <row r="200" ht="27.95" customHeight="1" x14ac:dyDescent="0.25"/>
    <row r="201" ht="27.95" customHeight="1" x14ac:dyDescent="0.25"/>
    <row r="202" ht="27.95" customHeight="1" x14ac:dyDescent="0.25"/>
    <row r="203" ht="27.95" customHeight="1" x14ac:dyDescent="0.25"/>
    <row r="204" ht="27.95" customHeight="1" x14ac:dyDescent="0.25"/>
    <row r="205" ht="27.95" customHeight="1" x14ac:dyDescent="0.25"/>
    <row r="206" ht="27.95" customHeight="1" x14ac:dyDescent="0.25"/>
    <row r="207" ht="27.95" customHeight="1" x14ac:dyDescent="0.25"/>
    <row r="208" ht="27.95" customHeight="1" x14ac:dyDescent="0.25"/>
    <row r="209" ht="27.95" customHeight="1" x14ac:dyDescent="0.25"/>
    <row r="210" ht="27.95" customHeight="1" x14ac:dyDescent="0.25"/>
    <row r="211" ht="27.95" customHeight="1" x14ac:dyDescent="0.25"/>
    <row r="212" ht="27.95" customHeight="1" x14ac:dyDescent="0.25"/>
    <row r="213" ht="27.95" customHeight="1" x14ac:dyDescent="0.25"/>
    <row r="214" ht="27.95" customHeight="1" x14ac:dyDescent="0.25"/>
    <row r="215" ht="27.95" customHeight="1" x14ac:dyDescent="0.25"/>
    <row r="216" ht="27.95" customHeight="1" x14ac:dyDescent="0.25"/>
    <row r="217" ht="27.95" customHeight="1" x14ac:dyDescent="0.25"/>
    <row r="218" ht="27.95" customHeight="1" x14ac:dyDescent="0.25"/>
    <row r="219" ht="27.95" customHeight="1" x14ac:dyDescent="0.25"/>
    <row r="220" ht="27.95" customHeight="1" x14ac:dyDescent="0.25"/>
    <row r="221" ht="27.95" customHeight="1" x14ac:dyDescent="0.25"/>
    <row r="222" ht="27.95" customHeight="1" x14ac:dyDescent="0.25"/>
    <row r="223" ht="27.95" customHeight="1" x14ac:dyDescent="0.25"/>
    <row r="224" ht="27.95" customHeight="1" x14ac:dyDescent="0.25"/>
    <row r="225" ht="27.95" customHeight="1" x14ac:dyDescent="0.25"/>
    <row r="226" ht="27.95" customHeight="1" x14ac:dyDescent="0.25"/>
    <row r="227" ht="27.95" customHeight="1" x14ac:dyDescent="0.25"/>
    <row r="228" ht="27.95" customHeight="1" x14ac:dyDescent="0.25"/>
    <row r="229" ht="27.95" customHeight="1" x14ac:dyDescent="0.25"/>
    <row r="230" ht="27.95" customHeight="1" x14ac:dyDescent="0.25"/>
    <row r="231" ht="27.95" customHeight="1" x14ac:dyDescent="0.25"/>
    <row r="232" ht="27.95" customHeight="1" x14ac:dyDescent="0.25"/>
    <row r="233" ht="27.95" customHeight="1" x14ac:dyDescent="0.25"/>
    <row r="234" ht="27.95" customHeight="1" x14ac:dyDescent="0.25"/>
    <row r="235" ht="27.95" customHeight="1" x14ac:dyDescent="0.25"/>
    <row r="236" ht="27.95" customHeight="1" x14ac:dyDescent="0.25"/>
    <row r="237" ht="27.95" customHeight="1" x14ac:dyDescent="0.25"/>
    <row r="238" ht="27.95" customHeight="1" x14ac:dyDescent="0.25"/>
    <row r="239" ht="27.95" customHeight="1" x14ac:dyDescent="0.25"/>
    <row r="240" ht="27.95" customHeight="1" x14ac:dyDescent="0.25"/>
    <row r="241" ht="27.95" customHeight="1" x14ac:dyDescent="0.25"/>
    <row r="242" ht="27.95" customHeight="1" x14ac:dyDescent="0.25"/>
    <row r="243" ht="27.95" customHeight="1" x14ac:dyDescent="0.25"/>
    <row r="244" ht="27.95" customHeight="1" x14ac:dyDescent="0.25"/>
    <row r="245" ht="27.95" customHeight="1" x14ac:dyDescent="0.25"/>
    <row r="246" ht="27.95" customHeight="1" x14ac:dyDescent="0.25"/>
    <row r="247" ht="27.95" customHeight="1" x14ac:dyDescent="0.25"/>
    <row r="248" ht="27.95" customHeight="1" x14ac:dyDescent="0.25"/>
    <row r="249" ht="27.95" customHeight="1" x14ac:dyDescent="0.25"/>
  </sheetData>
  <mergeCells count="3">
    <mergeCell ref="B2:E2"/>
    <mergeCell ref="B12:B13"/>
    <mergeCell ref="C12:E12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Daten für Situationsanalysen</vt:lpstr>
      <vt:lpstr>Marktgrößenanalyse</vt:lpstr>
      <vt:lpstr>Produktlebenszyklusanalysen</vt:lpstr>
      <vt:lpstr>Portfolioanalyse</vt:lpstr>
      <vt:lpstr>Preiselastizität der Nachfrage</vt:lpstr>
      <vt:lpstr>Preiskalkulation</vt:lpstr>
      <vt:lpstr>Mediaplan</vt:lpstr>
      <vt:lpstr>Betriebserfolg</vt:lpstr>
      <vt:lpstr>Werbeerfolg</vt:lpstr>
      <vt:lpstr>Deckungsbeitragserfolg</vt:lpstr>
      <vt:lpstr>E-Commerce-Erfolg</vt:lpstr>
    </vt:vector>
  </TitlesOfParts>
  <Company>Berufsbildende Schulen Osterholz-Scharmbeck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Arndt Beiderwieden</dc:creator>
  <cp:lastModifiedBy>Tom Gorontzy</cp:lastModifiedBy>
  <cp:lastPrinted>2009-06-18T06:24:25Z</cp:lastPrinted>
  <dcterms:created xsi:type="dcterms:W3CDTF">2005-12-23T18:37:54Z</dcterms:created>
  <dcterms:modified xsi:type="dcterms:W3CDTF">2025-10-03T18:01:39Z</dcterms:modified>
</cp:coreProperties>
</file>