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filterPrivacy="1" defaultThemeVersion="124226"/>
  <xr:revisionPtr revIDLastSave="0" documentId="13_ncr:1_{3AD49640-5D2D-42A2-A608-635F90996C4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Brösel OH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" l="1"/>
  <c r="P9" i="1"/>
  <c r="P10" i="1" s="1"/>
  <c r="B24" i="1" l="1"/>
  <c r="C24" i="1" l="1"/>
  <c r="E24" i="1" l="1"/>
  <c r="F24" i="1"/>
  <c r="G24" i="1"/>
  <c r="I24" i="1"/>
  <c r="D24" i="1"/>
  <c r="D25" i="1" l="1"/>
  <c r="E29" i="1" s="1"/>
  <c r="G25" i="1"/>
  <c r="F25" i="1"/>
  <c r="E25" i="1"/>
  <c r="E30" i="1" l="1"/>
  <c r="F32" i="1" s="1"/>
  <c r="H24" i="1"/>
  <c r="B25" i="1" l="1"/>
  <c r="F28" i="1" s="1"/>
  <c r="C25" i="1"/>
  <c r="H25" i="1"/>
  <c r="I25" i="1"/>
  <c r="F33" i="1" l="1"/>
  <c r="F35" i="1" s="1"/>
</calcChain>
</file>

<file path=xl/sharedStrings.xml><?xml version="1.0" encoding="utf-8"?>
<sst xmlns="http://schemas.openxmlformats.org/spreadsheetml/2006/main" count="35" uniqueCount="34">
  <si>
    <t>Rechnungskreis I</t>
  </si>
  <si>
    <t>Rechnungskreis II</t>
  </si>
  <si>
    <t>Erfolgsbereich</t>
  </si>
  <si>
    <t>Abgrenzungsbereich</t>
  </si>
  <si>
    <t>Unternehmensbezo-
gene Abgrenzungen</t>
  </si>
  <si>
    <t>Kostenrechnerische
Korrekturen</t>
  </si>
  <si>
    <t>Betriebsergebnis</t>
  </si>
  <si>
    <t>Konto</t>
  </si>
  <si>
    <t>Aufwen-
dungen</t>
  </si>
  <si>
    <t>Erträge</t>
  </si>
  <si>
    <t>neutrale
Aufwen-
dungen</t>
  </si>
  <si>
    <t>neutrale
Erträge</t>
  </si>
  <si>
    <t>Aufwand
laut FB</t>
  </si>
  <si>
    <t>Verrech-
nete
Kosten</t>
  </si>
  <si>
    <t>Kosten</t>
  </si>
  <si>
    <t>Leistun-
gen</t>
  </si>
  <si>
    <t>Summe</t>
  </si>
  <si>
    <t>Saldo</t>
  </si>
  <si>
    <t>Ergebnistabelle</t>
  </si>
  <si>
    <t>Gesamtergebnis der
Finanzbuchhaltung (FB)</t>
  </si>
  <si>
    <t>KLR-Bereich</t>
  </si>
  <si>
    <t>U-lohn</t>
  </si>
  <si>
    <t xml:space="preserve">Gesamtergebnis Rechnungskreis I </t>
  </si>
  <si>
    <t>Ergebnis aus unternehmensbezogenen Abgrenzungen</t>
  </si>
  <si>
    <t>Ergebnis aus kostenrechnerischen Korrekturen</t>
  </si>
  <si>
    <t xml:space="preserve"> = Neutrales Ergebnis</t>
  </si>
  <si>
    <t xml:space="preserve"> + Betriebsergebnis</t>
  </si>
  <si>
    <t>Gesamtergebnis Rechnungskreis II</t>
  </si>
  <si>
    <t>Anlagevermögen</t>
  </si>
  <si>
    <t>Umlaufvermögen</t>
  </si>
  <si>
    <t>Abzugskapital</t>
  </si>
  <si>
    <t>Betriebsnotwendiges Kapital</t>
  </si>
  <si>
    <t>davon</t>
  </si>
  <si>
    <t>Rohstoffaufwendungen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</si>
</sst>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4" fontId="0" fillId="0" borderId="1" xfId="0" applyNumberFormat="1" applyBorder="1"/>
    <xf numFmtId="4" fontId="0" fillId="0" borderId="5" xfId="0" applyNumberFormat="1" applyBorder="1"/>
    <xf numFmtId="4" fontId="0" fillId="0" borderId="7" xfId="0" applyNumberFormat="1" applyBorder="1"/>
    <xf numFmtId="4" fontId="0" fillId="0" borderId="0" xfId="0" applyNumberFormat="1"/>
    <xf numFmtId="4" fontId="0" fillId="0" borderId="2" xfId="0" applyNumberFormat="1" applyBorder="1"/>
    <xf numFmtId="0" fontId="1" fillId="0" borderId="1" xfId="0" applyFont="1" applyBorder="1" applyAlignment="1">
      <alignment horizontal="left" vertical="center"/>
    </xf>
    <xf numFmtId="1" fontId="1" fillId="0" borderId="1" xfId="0" applyNumberFormat="1" applyFont="1" applyBorder="1" applyAlignment="1">
      <alignment horizontal="left"/>
    </xf>
    <xf numFmtId="1" fontId="1" fillId="0" borderId="7" xfId="0" applyNumberFormat="1" applyFont="1" applyBorder="1" applyAlignment="1">
      <alignment horizontal="left"/>
    </xf>
    <xf numFmtId="0" fontId="0" fillId="0" borderId="25" xfId="0" applyBorder="1"/>
    <xf numFmtId="0" fontId="1" fillId="2" borderId="17" xfId="0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/>
    </xf>
    <xf numFmtId="0" fontId="4" fillId="3" borderId="1" xfId="0" applyFont="1" applyFill="1" applyBorder="1"/>
    <xf numFmtId="4" fontId="2" fillId="3" borderId="1" xfId="0" applyNumberFormat="1" applyFont="1" applyFill="1" applyBorder="1"/>
    <xf numFmtId="4" fontId="0" fillId="5" borderId="3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right" vertical="center"/>
    </xf>
    <xf numFmtId="4" fontId="0" fillId="5" borderId="1" xfId="0" applyNumberFormat="1" applyFill="1" applyBorder="1"/>
    <xf numFmtId="4" fontId="0" fillId="5" borderId="13" xfId="0" applyNumberFormat="1" applyFill="1" applyBorder="1"/>
    <xf numFmtId="4" fontId="0" fillId="5" borderId="4" xfId="0" applyNumberFormat="1" applyFill="1" applyBorder="1"/>
    <xf numFmtId="4" fontId="0" fillId="5" borderId="8" xfId="0" applyNumberFormat="1" applyFill="1" applyBorder="1"/>
    <xf numFmtId="4" fontId="0" fillId="5" borderId="7" xfId="0" applyNumberFormat="1" applyFill="1" applyBorder="1"/>
    <xf numFmtId="0" fontId="1" fillId="4" borderId="26" xfId="0" applyFont="1" applyFill="1" applyBorder="1"/>
    <xf numFmtId="4" fontId="1" fillId="4" borderId="27" xfId="0" applyNumberFormat="1" applyFont="1" applyFill="1" applyBorder="1"/>
    <xf numFmtId="4" fontId="1" fillId="4" borderId="28" xfId="0" applyNumberFormat="1" applyFont="1" applyFill="1" applyBorder="1"/>
    <xf numFmtId="4" fontId="1" fillId="4" borderId="29" xfId="0" applyNumberFormat="1" applyFont="1" applyFill="1" applyBorder="1"/>
    <xf numFmtId="4" fontId="1" fillId="4" borderId="30" xfId="0" applyNumberFormat="1" applyFont="1" applyFill="1" applyBorder="1"/>
    <xf numFmtId="4" fontId="5" fillId="2" borderId="24" xfId="0" applyNumberFormat="1" applyFont="1" applyFill="1" applyBorder="1"/>
    <xf numFmtId="4" fontId="5" fillId="2" borderId="16" xfId="0" applyNumberFormat="1" applyFont="1" applyFill="1" applyBorder="1"/>
    <xf numFmtId="4" fontId="0" fillId="5" borderId="4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0" borderId="2" xfId="0" applyNumberFormat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5" borderId="12" xfId="0" applyNumberFormat="1" applyFill="1" applyBorder="1"/>
    <xf numFmtId="4" fontId="0" fillId="0" borderId="15" xfId="0" applyNumberFormat="1" applyBorder="1"/>
    <xf numFmtId="4" fontId="0" fillId="5" borderId="18" xfId="0" applyNumberFormat="1" applyFill="1" applyBorder="1"/>
    <xf numFmtId="4" fontId="0" fillId="5" borderId="14" xfId="0" applyNumberFormat="1" applyFill="1" applyBorder="1"/>
    <xf numFmtId="4" fontId="0" fillId="0" borderId="19" xfId="0" applyNumberFormat="1" applyBorder="1"/>
    <xf numFmtId="4" fontId="0" fillId="5" borderId="20" xfId="0" applyNumberFormat="1" applyFill="1" applyBorder="1"/>
    <xf numFmtId="4" fontId="0" fillId="5" borderId="22" xfId="0" applyNumberFormat="1" applyFill="1" applyBorder="1"/>
    <xf numFmtId="4" fontId="0" fillId="5" borderId="23" xfId="0" applyNumberFormat="1" applyFill="1" applyBorder="1"/>
    <xf numFmtId="4" fontId="0" fillId="0" borderId="9" xfId="0" applyNumberFormat="1" applyBorder="1"/>
    <xf numFmtId="4" fontId="0" fillId="5" borderId="21" xfId="0" applyNumberFormat="1" applyFill="1" applyBorder="1"/>
    <xf numFmtId="4" fontId="0" fillId="5" borderId="10" xfId="0" applyNumberFormat="1" applyFill="1" applyBorder="1"/>
    <xf numFmtId="4" fontId="0" fillId="0" borderId="5" xfId="0" applyNumberFormat="1" applyBorder="1" applyAlignment="1"/>
    <xf numFmtId="4" fontId="0" fillId="5" borderId="4" xfId="0" applyNumberFormat="1" applyFill="1" applyBorder="1" applyAlignment="1"/>
    <xf numFmtId="4" fontId="0" fillId="5" borderId="1" xfId="0" applyNumberFormat="1" applyFill="1" applyBorder="1" applyAlignment="1"/>
    <xf numFmtId="4" fontId="0" fillId="0" borderId="11" xfId="0" applyNumberFormat="1" applyBorder="1"/>
    <xf numFmtId="0" fontId="0" fillId="0" borderId="1" xfId="0" applyBorder="1"/>
    <xf numFmtId="0" fontId="1" fillId="2" borderId="1" xfId="0" applyFont="1" applyFill="1" applyBorder="1"/>
    <xf numFmtId="0" fontId="6" fillId="0" borderId="0" xfId="0" applyFont="1"/>
    <xf numFmtId="0" fontId="0" fillId="0" borderId="0" xfId="0" quotePrefix="1"/>
    <xf numFmtId="0" fontId="0" fillId="0" borderId="0" xfId="0" applyBorder="1"/>
    <xf numFmtId="4" fontId="1" fillId="0" borderId="0" xfId="0" applyNumberFormat="1" applyFont="1" applyBorder="1"/>
    <xf numFmtId="4" fontId="0" fillId="0" borderId="0" xfId="0" applyNumberFormat="1" applyBorder="1"/>
    <xf numFmtId="4" fontId="1" fillId="2" borderId="1" xfId="0" applyNumberFormat="1" applyFont="1" applyFill="1" applyBorder="1"/>
    <xf numFmtId="4" fontId="1" fillId="0" borderId="1" xfId="0" applyNumberFormat="1" applyFont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3" borderId="1" xfId="0" applyFont="1" applyFill="1" applyBorder="1"/>
    <xf numFmtId="0" fontId="0" fillId="0" borderId="1" xfId="0" applyBorder="1"/>
    <xf numFmtId="0" fontId="1" fillId="2" borderId="1" xfId="0" applyFont="1" applyFill="1" applyBorder="1"/>
    <xf numFmtId="0" fontId="2" fillId="0" borderId="0" xfId="0" applyFont="1" applyAlignment="1">
      <alignment horizontal="left"/>
    </xf>
    <xf numFmtId="0" fontId="4" fillId="0" borderId="0" xfId="0" applyFont="1"/>
    <xf numFmtId="4" fontId="4" fillId="0" borderId="0" xfId="0" applyNumberFormat="1" applyFont="1"/>
    <xf numFmtId="9" fontId="4" fillId="0" borderId="0" xfId="0" applyNumberFormat="1" applyFont="1"/>
    <xf numFmtId="4" fontId="2" fillId="0" borderId="0" xfId="0" applyNumberFormat="1" applyFont="1"/>
    <xf numFmtId="164" fontId="4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5"/>
  <sheetViews>
    <sheetView tabSelected="1" zoomScale="110" zoomScaleNormal="110" workbookViewId="0">
      <selection activeCell="K23" sqref="K23"/>
    </sheetView>
  </sheetViews>
  <sheetFormatPr baseColWidth="10" defaultColWidth="8.85546875" defaultRowHeight="15" x14ac:dyDescent="0.25"/>
  <cols>
    <col min="1" max="9" width="12.7109375" customWidth="1"/>
    <col min="16" max="16" width="11.85546875" bestFit="1" customWidth="1"/>
    <col min="17" max="17" width="11.28515625" bestFit="1" customWidth="1"/>
  </cols>
  <sheetData>
    <row r="1" spans="1:19" ht="15.75" x14ac:dyDescent="0.25">
      <c r="A1" s="63" t="s">
        <v>18</v>
      </c>
      <c r="B1" s="64"/>
      <c r="C1" s="64"/>
      <c r="D1" s="64"/>
      <c r="E1" s="64"/>
      <c r="F1" s="64"/>
      <c r="G1" s="64"/>
      <c r="H1" s="64"/>
      <c r="I1" s="65"/>
    </row>
    <row r="2" spans="1:19" x14ac:dyDescent="0.25">
      <c r="A2" s="66" t="s">
        <v>0</v>
      </c>
      <c r="B2" s="67"/>
      <c r="C2" s="68"/>
      <c r="D2" s="67" t="s">
        <v>1</v>
      </c>
      <c r="E2" s="67"/>
      <c r="F2" s="67"/>
      <c r="G2" s="67"/>
      <c r="H2" s="67"/>
      <c r="I2" s="69"/>
    </row>
    <row r="3" spans="1:19" x14ac:dyDescent="0.25">
      <c r="A3" s="66" t="s">
        <v>2</v>
      </c>
      <c r="B3" s="67"/>
      <c r="C3" s="68"/>
      <c r="D3" s="67" t="s">
        <v>3</v>
      </c>
      <c r="E3" s="67"/>
      <c r="F3" s="67"/>
      <c r="G3" s="69"/>
      <c r="H3" s="66" t="s">
        <v>20</v>
      </c>
      <c r="I3" s="69"/>
    </row>
    <row r="4" spans="1:19" ht="28.9" customHeight="1" x14ac:dyDescent="0.25">
      <c r="A4" s="70" t="s">
        <v>19</v>
      </c>
      <c r="B4" s="71"/>
      <c r="C4" s="72"/>
      <c r="D4" s="73" t="s">
        <v>4</v>
      </c>
      <c r="E4" s="74"/>
      <c r="F4" s="70" t="s">
        <v>5</v>
      </c>
      <c r="G4" s="74"/>
      <c r="H4" s="75" t="s">
        <v>6</v>
      </c>
      <c r="I4" s="76"/>
    </row>
    <row r="5" spans="1:19" ht="45" x14ac:dyDescent="0.25">
      <c r="A5" s="11" t="s">
        <v>7</v>
      </c>
      <c r="B5" s="12" t="s">
        <v>8</v>
      </c>
      <c r="C5" s="13" t="s">
        <v>9</v>
      </c>
      <c r="D5" s="14" t="s">
        <v>10</v>
      </c>
      <c r="E5" s="15" t="s">
        <v>11</v>
      </c>
      <c r="F5" s="15" t="s">
        <v>12</v>
      </c>
      <c r="G5" s="15" t="s">
        <v>13</v>
      </c>
      <c r="H5" s="16" t="s">
        <v>14</v>
      </c>
      <c r="I5" s="12" t="s">
        <v>15</v>
      </c>
      <c r="M5" s="80">
        <v>7510</v>
      </c>
      <c r="N5" s="81"/>
      <c r="O5" s="81"/>
      <c r="P5" s="81"/>
    </row>
    <row r="6" spans="1:19" x14ac:dyDescent="0.25">
      <c r="A6" s="6" t="s">
        <v>21</v>
      </c>
      <c r="B6" s="34"/>
      <c r="C6" s="35"/>
      <c r="D6" s="36"/>
      <c r="E6" s="37"/>
      <c r="F6" s="38"/>
      <c r="G6" s="19"/>
      <c r="H6" s="20"/>
      <c r="I6" s="33"/>
      <c r="K6" s="56"/>
      <c r="M6" s="81" t="s">
        <v>28</v>
      </c>
      <c r="N6" s="81"/>
      <c r="O6" s="81"/>
      <c r="P6" s="82">
        <v>1800000</v>
      </c>
    </row>
    <row r="7" spans="1:19" x14ac:dyDescent="0.25">
      <c r="A7" s="7">
        <v>5000</v>
      </c>
      <c r="B7" s="1"/>
      <c r="C7" s="2">
        <v>3100000</v>
      </c>
      <c r="D7" s="23"/>
      <c r="E7" s="21"/>
      <c r="F7" s="21"/>
      <c r="G7" s="21"/>
      <c r="H7" s="21"/>
      <c r="I7" s="21"/>
      <c r="K7" s="56"/>
      <c r="M7" s="81" t="s">
        <v>29</v>
      </c>
      <c r="N7" s="81"/>
      <c r="O7" s="81"/>
      <c r="P7" s="82">
        <v>700000</v>
      </c>
    </row>
    <row r="8" spans="1:19" x14ac:dyDescent="0.25">
      <c r="A8" s="7">
        <v>5200</v>
      </c>
      <c r="B8" s="1"/>
      <c r="C8" s="2">
        <v>450000</v>
      </c>
      <c r="D8" s="23"/>
      <c r="E8" s="21"/>
      <c r="F8" s="21"/>
      <c r="G8" s="21"/>
      <c r="H8" s="21"/>
      <c r="I8" s="21"/>
      <c r="K8" s="56"/>
      <c r="M8" s="81" t="s">
        <v>30</v>
      </c>
      <c r="N8" s="83"/>
      <c r="O8" s="81"/>
      <c r="P8" s="82">
        <v>500000</v>
      </c>
    </row>
    <row r="9" spans="1:19" x14ac:dyDescent="0.25">
      <c r="A9" s="7">
        <v>5202</v>
      </c>
      <c r="B9" s="1">
        <v>20000</v>
      </c>
      <c r="C9" s="2"/>
      <c r="D9" s="23"/>
      <c r="E9" s="22"/>
      <c r="F9" s="21"/>
      <c r="G9" s="21"/>
      <c r="H9" s="21"/>
      <c r="I9" s="21"/>
      <c r="K9" s="56"/>
      <c r="M9" s="81" t="s">
        <v>31</v>
      </c>
      <c r="N9" s="81"/>
      <c r="O9" s="81"/>
      <c r="P9" s="82">
        <f>P6+P7-P8</f>
        <v>2000000</v>
      </c>
    </row>
    <row r="10" spans="1:19" x14ac:dyDescent="0.25">
      <c r="A10" s="7">
        <v>5400</v>
      </c>
      <c r="B10" s="1"/>
      <c r="C10" s="2">
        <v>65000</v>
      </c>
      <c r="D10" s="39"/>
      <c r="E10" s="22"/>
      <c r="F10" s="22"/>
      <c r="G10" s="22"/>
      <c r="H10" s="21"/>
      <c r="I10" s="21"/>
      <c r="K10" s="56"/>
      <c r="M10" s="81" t="s">
        <v>32</v>
      </c>
      <c r="N10" s="83">
        <v>0.04</v>
      </c>
      <c r="O10" s="81"/>
      <c r="P10" s="84">
        <f>P9*N10</f>
        <v>80000</v>
      </c>
    </row>
    <row r="11" spans="1:19" x14ac:dyDescent="0.25">
      <c r="A11" s="7">
        <v>5710</v>
      </c>
      <c r="B11" s="5"/>
      <c r="C11" s="40">
        <v>30000</v>
      </c>
      <c r="D11" s="41"/>
      <c r="E11" s="22"/>
      <c r="F11" s="22"/>
      <c r="G11" s="39"/>
      <c r="H11" s="23"/>
      <c r="I11" s="21"/>
      <c r="K11" s="56"/>
      <c r="M11" s="81"/>
      <c r="N11" s="81"/>
      <c r="O11" s="81"/>
      <c r="P11" s="81"/>
    </row>
    <row r="12" spans="1:19" x14ac:dyDescent="0.25">
      <c r="A12" s="7">
        <v>6000</v>
      </c>
      <c r="B12" s="5">
        <v>670000</v>
      </c>
      <c r="C12" s="2"/>
      <c r="D12" s="42"/>
      <c r="E12" s="21"/>
      <c r="F12" s="21"/>
      <c r="G12" s="23"/>
      <c r="H12" s="23"/>
      <c r="I12" s="21"/>
      <c r="M12" s="81"/>
      <c r="N12" s="81"/>
      <c r="O12" s="81"/>
      <c r="P12" s="81"/>
      <c r="S12" s="57"/>
    </row>
    <row r="13" spans="1:19" x14ac:dyDescent="0.25">
      <c r="A13" s="7">
        <v>6080</v>
      </c>
      <c r="B13" s="5">
        <v>300000</v>
      </c>
      <c r="C13" s="43"/>
      <c r="D13" s="44"/>
      <c r="E13" s="45"/>
      <c r="F13" s="45"/>
      <c r="G13" s="46"/>
      <c r="H13" s="23"/>
      <c r="I13" s="21"/>
      <c r="K13" s="56"/>
      <c r="M13" s="80">
        <v>6930</v>
      </c>
      <c r="N13" s="81"/>
      <c r="O13" s="81"/>
      <c r="P13" s="81"/>
    </row>
    <row r="14" spans="1:19" x14ac:dyDescent="0.25">
      <c r="A14" s="7">
        <v>6200</v>
      </c>
      <c r="B14" s="5">
        <v>700000</v>
      </c>
      <c r="C14" s="2"/>
      <c r="D14" s="42"/>
      <c r="E14" s="21"/>
      <c r="F14" s="21"/>
      <c r="G14" s="23"/>
      <c r="H14" s="23"/>
      <c r="I14" s="21"/>
      <c r="K14" s="56"/>
      <c r="M14" s="81" t="s">
        <v>33</v>
      </c>
      <c r="N14" s="81"/>
      <c r="O14" s="81"/>
      <c r="P14" s="82">
        <v>670000</v>
      </c>
    </row>
    <row r="15" spans="1:19" x14ac:dyDescent="0.25">
      <c r="A15" s="7">
        <v>6300</v>
      </c>
      <c r="B15" s="5">
        <v>500000</v>
      </c>
      <c r="C15" s="47"/>
      <c r="D15" s="48"/>
      <c r="E15" s="24"/>
      <c r="F15" s="24"/>
      <c r="G15" s="49"/>
      <c r="H15" s="23"/>
      <c r="I15" s="21"/>
      <c r="K15" s="56"/>
      <c r="M15" s="81" t="s">
        <v>32</v>
      </c>
      <c r="N15" s="85">
        <v>3.5000000000000003E-2</v>
      </c>
      <c r="O15" s="81"/>
      <c r="P15" s="84">
        <f>P14*N15</f>
        <v>23450.000000000004</v>
      </c>
    </row>
    <row r="16" spans="1:19" x14ac:dyDescent="0.25">
      <c r="A16" s="7">
        <v>6400</v>
      </c>
      <c r="B16" s="5">
        <v>250000</v>
      </c>
      <c r="C16" s="47"/>
      <c r="D16" s="48"/>
      <c r="E16" s="24"/>
      <c r="F16" s="24"/>
      <c r="G16" s="49"/>
      <c r="H16" s="23"/>
      <c r="I16" s="21"/>
      <c r="K16" s="56"/>
    </row>
    <row r="17" spans="1:11" x14ac:dyDescent="0.25">
      <c r="A17" s="7">
        <v>6520</v>
      </c>
      <c r="B17" s="1">
        <v>220000</v>
      </c>
      <c r="C17" s="2"/>
      <c r="D17" s="23"/>
      <c r="E17" s="21"/>
      <c r="F17" s="24"/>
      <c r="G17" s="24"/>
      <c r="H17" s="21"/>
      <c r="I17" s="21"/>
      <c r="K17" s="56"/>
    </row>
    <row r="18" spans="1:11" x14ac:dyDescent="0.25">
      <c r="A18" s="7">
        <v>6700</v>
      </c>
      <c r="B18" s="1">
        <v>45000</v>
      </c>
      <c r="C18" s="50"/>
      <c r="D18" s="51"/>
      <c r="E18" s="52"/>
      <c r="F18" s="52"/>
      <c r="G18" s="52"/>
      <c r="H18" s="21"/>
      <c r="I18" s="21"/>
      <c r="K18" s="56"/>
    </row>
    <row r="19" spans="1:11" x14ac:dyDescent="0.25">
      <c r="A19" s="7">
        <v>6930</v>
      </c>
      <c r="B19" s="1">
        <v>30000</v>
      </c>
      <c r="C19" s="2"/>
      <c r="D19" s="23"/>
      <c r="E19" s="21"/>
      <c r="F19" s="21"/>
      <c r="G19" s="21"/>
      <c r="H19" s="21"/>
      <c r="I19" s="21"/>
      <c r="K19" s="56"/>
    </row>
    <row r="20" spans="1:11" x14ac:dyDescent="0.25">
      <c r="A20" s="7">
        <v>7510</v>
      </c>
      <c r="B20" s="1">
        <v>50000</v>
      </c>
      <c r="C20" s="2"/>
      <c r="D20" s="23"/>
      <c r="E20" s="21"/>
      <c r="F20" s="21"/>
      <c r="G20" s="21"/>
      <c r="H20" s="21"/>
      <c r="I20" s="21"/>
      <c r="K20" s="56"/>
    </row>
    <row r="21" spans="1:11" x14ac:dyDescent="0.25">
      <c r="A21" s="7"/>
      <c r="B21" s="1"/>
      <c r="C21" s="2"/>
      <c r="D21" s="23"/>
      <c r="E21" s="21"/>
      <c r="F21" s="21"/>
      <c r="G21" s="21"/>
      <c r="H21" s="21"/>
      <c r="I21" s="21"/>
    </row>
    <row r="22" spans="1:11" x14ac:dyDescent="0.25">
      <c r="A22" s="7"/>
      <c r="B22" s="1"/>
      <c r="C22" s="2"/>
      <c r="D22" s="23"/>
      <c r="E22" s="21"/>
      <c r="F22" s="21"/>
      <c r="G22" s="21"/>
      <c r="H22" s="21"/>
      <c r="I22" s="21"/>
    </row>
    <row r="23" spans="1:11" ht="15.75" thickBot="1" x14ac:dyDescent="0.3">
      <c r="A23" s="8"/>
      <c r="B23" s="3"/>
      <c r="C23" s="53"/>
      <c r="D23" s="23"/>
      <c r="E23" s="25"/>
      <c r="F23" s="25"/>
      <c r="G23" s="25"/>
      <c r="H23" s="25"/>
      <c r="I23" s="25"/>
    </row>
    <row r="24" spans="1:11" ht="15.75" thickBot="1" x14ac:dyDescent="0.3">
      <c r="A24" s="26" t="s">
        <v>16</v>
      </c>
      <c r="B24" s="27">
        <f>SUM(B6:B23)</f>
        <v>2785000</v>
      </c>
      <c r="C24" s="28">
        <f>SUM(C7:C11)</f>
        <v>3645000</v>
      </c>
      <c r="D24" s="29">
        <f>SUM(D6:D23)</f>
        <v>0</v>
      </c>
      <c r="E24" s="29">
        <f t="shared" ref="E24:I24" si="0">SUM(E6:E23)</f>
        <v>0</v>
      </c>
      <c r="F24" s="29">
        <f t="shared" si="0"/>
        <v>0</v>
      </c>
      <c r="G24" s="29">
        <f t="shared" si="0"/>
        <v>0</v>
      </c>
      <c r="H24" s="29">
        <f t="shared" si="0"/>
        <v>0</v>
      </c>
      <c r="I24" s="30">
        <f t="shared" si="0"/>
        <v>0</v>
      </c>
      <c r="J24" s="9"/>
    </row>
    <row r="25" spans="1:11" ht="15.75" thickBot="1" x14ac:dyDescent="0.3">
      <c r="A25" s="10" t="s">
        <v>17</v>
      </c>
      <c r="B25" s="31">
        <f>IF(B24&lt;C24,(B24-C24)*-1,"")</f>
        <v>860000</v>
      </c>
      <c r="C25" s="31" t="str">
        <f>IF(C24&lt;B24,C24-B24,"")</f>
        <v/>
      </c>
      <c r="D25" s="31" t="str">
        <f>IF(D24&lt;E24,(D24-E24)*-1,"")</f>
        <v/>
      </c>
      <c r="E25" s="31" t="str">
        <f>IF(E24&lt;D24,E24-D24,"")</f>
        <v/>
      </c>
      <c r="F25" s="31" t="str">
        <f>IF(F24&lt;G24,(F24-G24)*-1,"")</f>
        <v/>
      </c>
      <c r="G25" s="31" t="str">
        <f>IF(G24&lt;F24,G24-F24,"")</f>
        <v/>
      </c>
      <c r="H25" s="31" t="str">
        <f>IF(H24&lt;I24,(H24-I24)*-1,"")</f>
        <v/>
      </c>
      <c r="I25" s="32" t="str">
        <f>IF(I24&lt;H24,I24-H24,"")</f>
        <v/>
      </c>
    </row>
    <row r="27" spans="1:11" x14ac:dyDescent="0.25">
      <c r="B27" s="4"/>
    </row>
    <row r="28" spans="1:11" x14ac:dyDescent="0.25">
      <c r="A28" s="77" t="s">
        <v>22</v>
      </c>
      <c r="B28" s="77"/>
      <c r="C28" s="77"/>
      <c r="D28" s="77"/>
      <c r="E28" s="17"/>
      <c r="F28" s="18">
        <f>B25</f>
        <v>860000</v>
      </c>
      <c r="G28" s="58"/>
      <c r="H28" s="59"/>
    </row>
    <row r="29" spans="1:11" x14ac:dyDescent="0.25">
      <c r="A29" s="78" t="s">
        <v>23</v>
      </c>
      <c r="B29" s="78"/>
      <c r="C29" s="78"/>
      <c r="D29" s="78"/>
      <c r="E29" s="1">
        <f>SUM(D25:E25)</f>
        <v>0</v>
      </c>
      <c r="F29" s="54"/>
      <c r="G29" s="60"/>
      <c r="H29" s="58"/>
    </row>
    <row r="30" spans="1:11" x14ac:dyDescent="0.25">
      <c r="A30" s="78" t="s">
        <v>24</v>
      </c>
      <c r="B30" s="78"/>
      <c r="C30" s="78"/>
      <c r="D30" s="78"/>
      <c r="E30" s="1">
        <f>SUM(F25:G25)</f>
        <v>0</v>
      </c>
      <c r="F30" s="54"/>
      <c r="G30" s="60"/>
      <c r="H30" s="58"/>
    </row>
    <row r="31" spans="1:11" x14ac:dyDescent="0.25">
      <c r="A31" s="78"/>
      <c r="B31" s="78"/>
      <c r="C31" s="78"/>
      <c r="D31" s="78"/>
      <c r="E31" s="78"/>
      <c r="F31" s="78"/>
      <c r="G31" s="58"/>
      <c r="H31" s="60"/>
    </row>
    <row r="32" spans="1:11" x14ac:dyDescent="0.25">
      <c r="A32" s="79" t="s">
        <v>25</v>
      </c>
      <c r="B32" s="79"/>
      <c r="C32" s="79"/>
      <c r="D32" s="79"/>
      <c r="E32" s="55"/>
      <c r="F32" s="61">
        <f>IF(ISERROR(E29+E30),"",E29+E30)</f>
        <v>0</v>
      </c>
      <c r="G32" s="58"/>
      <c r="H32" s="59"/>
    </row>
    <row r="33" spans="1:8" x14ac:dyDescent="0.25">
      <c r="A33" s="78" t="s">
        <v>26</v>
      </c>
      <c r="B33" s="78"/>
      <c r="C33" s="78"/>
      <c r="D33" s="78"/>
      <c r="E33" s="54"/>
      <c r="F33" s="62">
        <f>SUM(H25:I25)</f>
        <v>0</v>
      </c>
      <c r="G33" s="58"/>
      <c r="H33" s="59"/>
    </row>
    <row r="34" spans="1:8" x14ac:dyDescent="0.25">
      <c r="A34" s="78"/>
      <c r="B34" s="78"/>
      <c r="C34" s="78"/>
      <c r="D34" s="78"/>
      <c r="E34" s="78"/>
      <c r="F34" s="78"/>
      <c r="G34" s="58"/>
      <c r="H34" s="58"/>
    </row>
    <row r="35" spans="1:8" x14ac:dyDescent="0.25">
      <c r="A35" s="77" t="s">
        <v>27</v>
      </c>
      <c r="B35" s="77"/>
      <c r="C35" s="77"/>
      <c r="D35" s="77"/>
      <c r="E35" s="18"/>
      <c r="F35" s="18">
        <f>IF(ISERROR(F32+F33),"",F32+F33)</f>
        <v>0</v>
      </c>
      <c r="G35" s="58"/>
      <c r="H35" s="59"/>
    </row>
  </sheetData>
  <mergeCells count="18">
    <mergeCell ref="A29:D29"/>
    <mergeCell ref="A30:D30"/>
    <mergeCell ref="A32:D32"/>
    <mergeCell ref="A33:D33"/>
    <mergeCell ref="A35:D35"/>
    <mergeCell ref="A31:F31"/>
    <mergeCell ref="A34:F34"/>
    <mergeCell ref="A4:C4"/>
    <mergeCell ref="D4:E4"/>
    <mergeCell ref="F4:G4"/>
    <mergeCell ref="H4:I4"/>
    <mergeCell ref="A28:D28"/>
    <mergeCell ref="A1:I1"/>
    <mergeCell ref="A2:C2"/>
    <mergeCell ref="D2:I2"/>
    <mergeCell ref="A3:C3"/>
    <mergeCell ref="D3:G3"/>
    <mergeCell ref="H3:I3"/>
  </mergeCells>
  <pageMargins left="0.7" right="0.7" top="0.75" bottom="0.75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Brösel OHG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2021-01-30T10:23:10Z</dcterms:modified>
</cp:coreProperties>
</file>