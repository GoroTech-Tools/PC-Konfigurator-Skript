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-15" yWindow="-15" windowWidth="12600" windowHeight="12360"/>
  </bookViews>
  <sheets>
    <sheet name="LS 10.2_Arbeitsauftrag 3b-d" sheetId="4" r:id="rId1"/>
  </sheets>
  <calcPr calcId="145621"/>
</workbook>
</file>

<file path=xl/calcChain.xml><?xml version="1.0" encoding="utf-8"?>
<calcChain xmlns="http://schemas.openxmlformats.org/spreadsheetml/2006/main">
  <c r="D134" i="4" l="1"/>
  <c r="F134" i="4" s="1"/>
  <c r="F133" i="4" s="1"/>
  <c r="G132" i="4"/>
  <c r="D132" i="4"/>
  <c r="D131" i="4"/>
  <c r="G131" i="4" s="1"/>
  <c r="G130" i="4" s="1"/>
  <c r="D129" i="4"/>
  <c r="F129" i="4" s="1"/>
  <c r="F130" i="4" s="1"/>
  <c r="D127" i="4"/>
  <c r="G127" i="4" s="1"/>
  <c r="D126" i="4"/>
  <c r="G126" i="4" s="1"/>
  <c r="D123" i="4"/>
  <c r="F123" i="4" s="1"/>
  <c r="F124" i="4" s="1"/>
  <c r="D120" i="4"/>
  <c r="G120" i="4" s="1"/>
  <c r="G121" i="4" s="1"/>
  <c r="D101" i="4"/>
  <c r="D99" i="4"/>
  <c r="D98" i="4"/>
  <c r="D96" i="4"/>
  <c r="F96" i="4" s="1"/>
  <c r="F97" i="4" s="1"/>
  <c r="D94" i="4"/>
  <c r="G94" i="4" s="1"/>
  <c r="D93" i="4"/>
  <c r="G93" i="4" s="1"/>
  <c r="D90" i="4"/>
  <c r="F90" i="4" s="1"/>
  <c r="F91" i="4" s="1"/>
  <c r="D87" i="4"/>
  <c r="G87" i="4" s="1"/>
  <c r="G88" i="4" s="1"/>
  <c r="F101" i="4"/>
  <c r="G63" i="4"/>
  <c r="D61" i="4"/>
  <c r="D60" i="4"/>
  <c r="D57" i="4"/>
  <c r="D54" i="4"/>
  <c r="D66" i="4"/>
  <c r="D65" i="4"/>
  <c r="G128" i="4" l="1"/>
  <c r="G95" i="4"/>
  <c r="F100" i="4"/>
  <c r="G98" i="4" s="1"/>
  <c r="G99" i="4"/>
  <c r="D29" i="4"/>
  <c r="D28" i="4"/>
  <c r="D25" i="4"/>
  <c r="D22" i="4"/>
  <c r="D31" i="4"/>
  <c r="D33" i="4"/>
  <c r="D34" i="4"/>
  <c r="D36" i="4"/>
  <c r="G97" i="4" l="1"/>
  <c r="F66" i="4" l="1"/>
  <c r="F65" i="4"/>
  <c r="D68" i="4"/>
  <c r="F61" i="4"/>
  <c r="F60" i="4"/>
  <c r="G57" i="4"/>
  <c r="G58" i="4" s="1"/>
  <c r="F54" i="4"/>
  <c r="F55" i="4" s="1"/>
  <c r="F62" i="4" l="1"/>
  <c r="F64" i="4"/>
  <c r="G68" i="4"/>
  <c r="G67" i="4" s="1"/>
  <c r="G36" i="4"/>
  <c r="F34" i="4"/>
  <c r="F33" i="4"/>
  <c r="F32" i="4"/>
  <c r="G31" i="4"/>
  <c r="G32" i="4" s="1"/>
  <c r="F29" i="4"/>
  <c r="F28" i="4"/>
  <c r="G25" i="4"/>
  <c r="G26" i="4" s="1"/>
  <c r="F22" i="4"/>
  <c r="F23" i="4" s="1"/>
  <c r="F30" i="4" l="1"/>
  <c r="F35" i="4"/>
  <c r="G35" i="4" s="1"/>
  <c r="G37" i="4" l="1"/>
</calcChain>
</file>

<file path=xl/sharedStrings.xml><?xml version="1.0" encoding="utf-8"?>
<sst xmlns="http://schemas.openxmlformats.org/spreadsheetml/2006/main" count="170" uniqueCount="32">
  <si>
    <t>Normalkosten</t>
  </si>
  <si>
    <t>DesertFox</t>
  </si>
  <si>
    <t>Fertigungsmaterial</t>
  </si>
  <si>
    <t>Fertigungslöhne</t>
  </si>
  <si>
    <t>Verkaufspreis pro Stück</t>
  </si>
  <si>
    <t>verkaufte Menge</t>
  </si>
  <si>
    <t>Istkosten</t>
  </si>
  <si>
    <t>Gewinn</t>
  </si>
  <si>
    <t>Vertreterprovision</t>
  </si>
  <si>
    <t>Kundenskonto</t>
  </si>
  <si>
    <t>Kundenrabatt</t>
  </si>
  <si>
    <t>Zuschlagskalkulation 
(Senkung des Verkaufspreises und Steigung des Fertigungsmaterials)</t>
  </si>
  <si>
    <t>+</t>
  </si>
  <si>
    <t>=</t>
  </si>
  <si>
    <t>Materialgemeinkosten</t>
  </si>
  <si>
    <t>Materialkosten</t>
  </si>
  <si>
    <t>Fertigungsgemeinkosten</t>
  </si>
  <si>
    <t>Fertigungskosten</t>
  </si>
  <si>
    <t>Herstellkosten</t>
  </si>
  <si>
    <t>Verwaltungsgemeinkosten</t>
  </si>
  <si>
    <t>Vertriebsgemeinkosten</t>
  </si>
  <si>
    <t>Selbstkosten</t>
  </si>
  <si>
    <t>Barverkaufspreis</t>
  </si>
  <si>
    <t>Zielverkaufspreis</t>
  </si>
  <si>
    <t>Listenverkaufspreis</t>
  </si>
  <si>
    <t>Kostenträgerstückrechnung (Zuschlagskalkulation) auf Normalkostenbasis</t>
  </si>
  <si>
    <t>Kostenträgerstückrechnung (Zuschlagskalkulation) auf Istkostenbasis</t>
  </si>
  <si>
    <t>Zuschlagskalkulation als Rückwärtskalkulation</t>
  </si>
  <si>
    <t>Zuschlagskalkulation als Differenzkalkulation</t>
  </si>
  <si>
    <t>Zuschlagskalkulation 
(Senkung des Verkaufspreises)</t>
  </si>
  <si>
    <t>Zuschlagskalkulation 
mit Istkosten</t>
  </si>
  <si>
    <t>Zuschlagskalkulation 
mit Normalkosten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</si>
</sst>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2" fillId="0" borderId="1" xfId="0" applyFon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4" borderId="1" xfId="0" applyFont="1" applyFill="1" applyBorder="1"/>
    <xf numFmtId="164" fontId="2" fillId="4" borderId="1" xfId="0" applyNumberFormat="1" applyFont="1" applyFill="1" applyBorder="1"/>
    <xf numFmtId="0" fontId="0" fillId="0" borderId="1" xfId="0" applyNumberFormat="1" applyBorder="1"/>
    <xf numFmtId="10" fontId="0" fillId="0" borderId="1" xfId="0" applyNumberFormat="1" applyBorder="1"/>
    <xf numFmtId="10" fontId="2" fillId="4" borderId="1" xfId="0" applyNumberFormat="1" applyFont="1" applyFill="1" applyBorder="1"/>
    <xf numFmtId="0" fontId="0" fillId="0" borderId="0" xfId="0" applyFont="1"/>
    <xf numFmtId="0" fontId="2" fillId="0" borderId="0" xfId="0" applyFont="1"/>
    <xf numFmtId="0" fontId="0" fillId="0" borderId="1" xfId="0" applyFont="1" applyBorder="1"/>
    <xf numFmtId="10" fontId="0" fillId="0" borderId="1" xfId="0" applyNumberFormat="1" applyFont="1" applyBorder="1"/>
    <xf numFmtId="10" fontId="2" fillId="0" borderId="1" xfId="0" applyNumberFormat="1" applyFont="1" applyBorder="1"/>
    <xf numFmtId="164" fontId="0" fillId="0" borderId="1" xfId="0" applyNumberFormat="1" applyFont="1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4" borderId="1" xfId="0" quotePrefix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0" fontId="3" fillId="2" borderId="1" xfId="0" applyFont="1" applyFill="1" applyBorder="1" applyAlignment="1">
      <alignment horizontal="center"/>
    </xf>
    <xf numFmtId="0" fontId="0" fillId="3" borderId="1" xfId="0" applyFill="1" applyBorder="1"/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right"/>
    </xf>
    <xf numFmtId="0" fontId="1" fillId="2" borderId="1" xfId="0" applyFont="1" applyFill="1" applyBorder="1"/>
    <xf numFmtId="0" fontId="0" fillId="0" borderId="5" xfId="0" applyBorder="1"/>
    <xf numFmtId="10" fontId="0" fillId="0" borderId="5" xfId="0" applyNumberFormat="1" applyBorder="1"/>
    <xf numFmtId="164" fontId="0" fillId="0" borderId="5" xfId="0" applyNumberFormat="1" applyBorder="1"/>
    <xf numFmtId="0" fontId="0" fillId="0" borderId="1" xfId="0" quotePrefix="1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0" fillId="4" borderId="1" xfId="0" applyFill="1" applyBorder="1"/>
    <xf numFmtId="0" fontId="2" fillId="4" borderId="1" xfId="0" quotePrefix="1" applyFont="1" applyFill="1" applyBorder="1" applyAlignment="1">
      <alignment horizontal="center"/>
    </xf>
    <xf numFmtId="0" fontId="0" fillId="6" borderId="1" xfId="0" quotePrefix="1" applyFill="1" applyBorder="1" applyAlignment="1">
      <alignment horizontal="center"/>
    </xf>
    <xf numFmtId="0" fontId="0" fillId="6" borderId="1" xfId="0" applyFont="1" applyFill="1" applyBorder="1"/>
    <xf numFmtId="10" fontId="0" fillId="6" borderId="1" xfId="0" applyNumberFormat="1" applyFont="1" applyFill="1" applyBorder="1"/>
    <xf numFmtId="164" fontId="0" fillId="6" borderId="1" xfId="0" applyNumberFormat="1" applyFont="1" applyFill="1" applyBorder="1"/>
    <xf numFmtId="0" fontId="2" fillId="6" borderId="1" xfId="0" quotePrefix="1" applyFont="1" applyFill="1" applyBorder="1" applyAlignment="1">
      <alignment horizontal="center"/>
    </xf>
    <xf numFmtId="0" fontId="2" fillId="6" borderId="1" xfId="0" applyFont="1" applyFill="1" applyBorder="1"/>
    <xf numFmtId="10" fontId="2" fillId="6" borderId="1" xfId="0" applyNumberFormat="1" applyFont="1" applyFill="1" applyBorder="1"/>
    <xf numFmtId="164" fontId="2" fillId="6" borderId="1" xfId="0" applyNumberFormat="1" applyFont="1" applyFill="1" applyBorder="1"/>
    <xf numFmtId="0" fontId="0" fillId="6" borderId="1" xfId="0" applyFill="1" applyBorder="1"/>
    <xf numFmtId="10" fontId="0" fillId="6" borderId="1" xfId="0" applyNumberFormat="1" applyFill="1" applyBorder="1"/>
    <xf numFmtId="164" fontId="0" fillId="6" borderId="1" xfId="0" applyNumberFormat="1" applyFill="1" applyBorder="1"/>
    <xf numFmtId="0" fontId="0" fillId="6" borderId="5" xfId="0" applyFill="1" applyBorder="1"/>
    <xf numFmtId="10" fontId="0" fillId="6" borderId="5" xfId="0" applyNumberFormat="1" applyFill="1" applyBorder="1"/>
    <xf numFmtId="164" fontId="0" fillId="6" borderId="5" xfId="0" applyNumberFormat="1" applyFill="1" applyBorder="1"/>
    <xf numFmtId="0" fontId="3" fillId="2" borderId="2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wrapText="1"/>
    </xf>
    <xf numFmtId="0" fontId="0" fillId="4" borderId="5" xfId="0" applyFill="1" applyBorder="1"/>
    <xf numFmtId="10" fontId="0" fillId="4" borderId="5" xfId="0" applyNumberFormat="1" applyFill="1" applyBorder="1"/>
    <xf numFmtId="164" fontId="0" fillId="4" borderId="5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52</xdr:row>
      <xdr:rowOff>38100</xdr:rowOff>
    </xdr:from>
    <xdr:to>
      <xdr:col>7</xdr:col>
      <xdr:colOff>381000</xdr:colOff>
      <xdr:row>61</xdr:row>
      <xdr:rowOff>135467</xdr:rowOff>
    </xdr:to>
    <xdr:cxnSp macro="">
      <xdr:nvCxnSpPr>
        <xdr:cNvPr id="3" name="Gerade Verbindung mit Pfeil 2"/>
        <xdr:cNvCxnSpPr/>
      </xdr:nvCxnSpPr>
      <xdr:spPr>
        <a:xfrm>
          <a:off x="6572250" y="9867900"/>
          <a:ext cx="0" cy="1811867"/>
        </a:xfrm>
        <a:prstGeom prst="straightConnector1">
          <a:avLst/>
        </a:prstGeom>
        <a:ln w="28575">
          <a:solidFill>
            <a:schemeClr val="accent5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381000</xdr:colOff>
      <xdr:row>63</xdr:row>
      <xdr:rowOff>8469</xdr:rowOff>
    </xdr:from>
    <xdr:to>
      <xdr:col>7</xdr:col>
      <xdr:colOff>381002</xdr:colOff>
      <xdr:row>68</xdr:row>
      <xdr:rowOff>177800</xdr:rowOff>
    </xdr:to>
    <xdr:cxnSp macro="">
      <xdr:nvCxnSpPr>
        <xdr:cNvPr id="5" name="Gerade Verbindung mit Pfeil 4"/>
        <xdr:cNvCxnSpPr/>
      </xdr:nvCxnSpPr>
      <xdr:spPr>
        <a:xfrm flipV="1">
          <a:off x="5901267" y="9541936"/>
          <a:ext cx="2" cy="1100664"/>
        </a:xfrm>
        <a:prstGeom prst="straightConnector1">
          <a:avLst/>
        </a:prstGeom>
        <a:ln w="28575">
          <a:solidFill>
            <a:schemeClr val="accent5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414866</xdr:colOff>
      <xdr:row>19</xdr:row>
      <xdr:rowOff>95250</xdr:rowOff>
    </xdr:from>
    <xdr:to>
      <xdr:col>7</xdr:col>
      <xdr:colOff>414866</xdr:colOff>
      <xdr:row>36</xdr:row>
      <xdr:rowOff>103716</xdr:rowOff>
    </xdr:to>
    <xdr:cxnSp macro="">
      <xdr:nvCxnSpPr>
        <xdr:cNvPr id="13" name="Gerade Verbindung mit Pfeil 12"/>
        <xdr:cNvCxnSpPr/>
      </xdr:nvCxnSpPr>
      <xdr:spPr>
        <a:xfrm>
          <a:off x="6768041" y="2914650"/>
          <a:ext cx="0" cy="3256491"/>
        </a:xfrm>
        <a:prstGeom prst="straightConnector1">
          <a:avLst/>
        </a:prstGeom>
        <a:ln w="28575">
          <a:solidFill>
            <a:schemeClr val="accent5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403860</xdr:colOff>
      <xdr:row>92</xdr:row>
      <xdr:rowOff>9525</xdr:rowOff>
    </xdr:from>
    <xdr:to>
      <xdr:col>7</xdr:col>
      <xdr:colOff>403860</xdr:colOff>
      <xdr:row>102</xdr:row>
      <xdr:rowOff>3384</xdr:rowOff>
    </xdr:to>
    <xdr:cxnSp macro="">
      <xdr:nvCxnSpPr>
        <xdr:cNvPr id="6" name="Gerade Verbindung mit Pfeil 5"/>
        <xdr:cNvCxnSpPr/>
      </xdr:nvCxnSpPr>
      <xdr:spPr>
        <a:xfrm flipV="1">
          <a:off x="6595110" y="17421225"/>
          <a:ext cx="0" cy="1898859"/>
        </a:xfrm>
        <a:prstGeom prst="straightConnector1">
          <a:avLst/>
        </a:prstGeom>
        <a:ln w="28575">
          <a:solidFill>
            <a:schemeClr val="accent5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390525</xdr:colOff>
      <xdr:row>85</xdr:row>
      <xdr:rowOff>57151</xdr:rowOff>
    </xdr:from>
    <xdr:to>
      <xdr:col>7</xdr:col>
      <xdr:colOff>390526</xdr:colOff>
      <xdr:row>88</xdr:row>
      <xdr:rowOff>28575</xdr:rowOff>
    </xdr:to>
    <xdr:cxnSp macro="">
      <xdr:nvCxnSpPr>
        <xdr:cNvPr id="7" name="Gerade Verbindung mit Pfeil 6"/>
        <xdr:cNvCxnSpPr/>
      </xdr:nvCxnSpPr>
      <xdr:spPr>
        <a:xfrm flipV="1">
          <a:off x="6581775" y="16135351"/>
          <a:ext cx="1" cy="542924"/>
        </a:xfrm>
        <a:prstGeom prst="straightConnector1">
          <a:avLst/>
        </a:prstGeom>
        <a:ln w="28575">
          <a:solidFill>
            <a:schemeClr val="accent5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394335</xdr:colOff>
      <xdr:row>88</xdr:row>
      <xdr:rowOff>45720</xdr:rowOff>
    </xdr:from>
    <xdr:to>
      <xdr:col>7</xdr:col>
      <xdr:colOff>394335</xdr:colOff>
      <xdr:row>91</xdr:row>
      <xdr:rowOff>0</xdr:rowOff>
    </xdr:to>
    <xdr:cxnSp macro="">
      <xdr:nvCxnSpPr>
        <xdr:cNvPr id="8" name="Gerade Verbindung mit Pfeil 7"/>
        <xdr:cNvCxnSpPr/>
      </xdr:nvCxnSpPr>
      <xdr:spPr>
        <a:xfrm>
          <a:off x="6585585" y="16695420"/>
          <a:ext cx="0" cy="525780"/>
        </a:xfrm>
        <a:prstGeom prst="straightConnector1">
          <a:avLst/>
        </a:prstGeom>
        <a:ln w="28575">
          <a:solidFill>
            <a:schemeClr val="accent5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403860</xdr:colOff>
      <xdr:row>128</xdr:row>
      <xdr:rowOff>171450</xdr:rowOff>
    </xdr:from>
    <xdr:to>
      <xdr:col>7</xdr:col>
      <xdr:colOff>403860</xdr:colOff>
      <xdr:row>135</xdr:row>
      <xdr:rowOff>3385</xdr:rowOff>
    </xdr:to>
    <xdr:cxnSp macro="">
      <xdr:nvCxnSpPr>
        <xdr:cNvPr id="14" name="Gerade Verbindung mit Pfeil 13"/>
        <xdr:cNvCxnSpPr/>
      </xdr:nvCxnSpPr>
      <xdr:spPr>
        <a:xfrm flipV="1">
          <a:off x="6595110" y="25241250"/>
          <a:ext cx="0" cy="1165435"/>
        </a:xfrm>
        <a:prstGeom prst="straightConnector1">
          <a:avLst/>
        </a:prstGeom>
        <a:ln w="28575">
          <a:solidFill>
            <a:schemeClr val="accent5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118</xdr:row>
      <xdr:rowOff>57150</xdr:rowOff>
    </xdr:from>
    <xdr:to>
      <xdr:col>7</xdr:col>
      <xdr:colOff>409575</xdr:colOff>
      <xdr:row>128</xdr:row>
      <xdr:rowOff>0</xdr:rowOff>
    </xdr:to>
    <xdr:cxnSp macro="">
      <xdr:nvCxnSpPr>
        <xdr:cNvPr id="16" name="Gerade Verbindung mit Pfeil 15"/>
        <xdr:cNvCxnSpPr/>
      </xdr:nvCxnSpPr>
      <xdr:spPr>
        <a:xfrm>
          <a:off x="6600825" y="23221950"/>
          <a:ext cx="0" cy="1847850"/>
        </a:xfrm>
        <a:prstGeom prst="straightConnector1">
          <a:avLst/>
        </a:prstGeom>
        <a:ln w="28575">
          <a:solidFill>
            <a:schemeClr val="accent5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5"/>
  <sheetViews>
    <sheetView tabSelected="1" zoomScaleNormal="100" workbookViewId="0">
      <selection activeCell="O121" sqref="O121"/>
    </sheetView>
  </sheetViews>
  <sheetFormatPr baseColWidth="10" defaultRowHeight="15" x14ac:dyDescent="0.25"/>
  <cols>
    <col min="1" max="1" width="9" customWidth="1"/>
    <col min="2" max="2" width="3.85546875" customWidth="1"/>
    <col min="3" max="3" width="33.140625" bestFit="1" customWidth="1"/>
    <col min="4" max="4" width="12.5703125" bestFit="1" customWidth="1"/>
  </cols>
  <sheetData>
    <row r="1" spans="2:4" ht="15.75" x14ac:dyDescent="0.25">
      <c r="B1" s="16" t="s">
        <v>25</v>
      </c>
    </row>
    <row r="3" spans="2:4" ht="15.75" x14ac:dyDescent="0.25">
      <c r="B3" s="28" t="s">
        <v>1</v>
      </c>
      <c r="C3" s="29"/>
      <c r="D3" s="30"/>
    </row>
    <row r="4" spans="2:4" x14ac:dyDescent="0.25">
      <c r="B4" s="24" t="s">
        <v>2</v>
      </c>
      <c r="C4" s="24"/>
      <c r="D4" s="3"/>
    </row>
    <row r="5" spans="2:4" x14ac:dyDescent="0.25">
      <c r="B5" s="24" t="s">
        <v>3</v>
      </c>
      <c r="C5" s="24"/>
      <c r="D5" s="3"/>
    </row>
    <row r="6" spans="2:4" x14ac:dyDescent="0.25">
      <c r="B6" s="31" t="s">
        <v>4</v>
      </c>
      <c r="C6" s="31"/>
      <c r="D6" s="3"/>
    </row>
    <row r="7" spans="2:4" x14ac:dyDescent="0.25">
      <c r="B7" s="31" t="s">
        <v>5</v>
      </c>
      <c r="C7" s="31"/>
      <c r="D7" s="7"/>
    </row>
    <row r="8" spans="2:4" ht="14.25" customHeight="1" x14ac:dyDescent="0.25"/>
    <row r="9" spans="2:4" ht="14.25" customHeight="1" x14ac:dyDescent="0.25">
      <c r="B9" s="25" t="s">
        <v>0</v>
      </c>
      <c r="C9" s="26"/>
      <c r="D9" s="27"/>
    </row>
    <row r="10" spans="2:4" ht="14.25" customHeight="1" x14ac:dyDescent="0.25">
      <c r="B10" s="32" t="s">
        <v>14</v>
      </c>
      <c r="C10" s="32"/>
      <c r="D10" s="1"/>
    </row>
    <row r="11" spans="2:4" ht="14.25" customHeight="1" x14ac:dyDescent="0.25">
      <c r="B11" s="32" t="s">
        <v>16</v>
      </c>
      <c r="C11" s="32"/>
      <c r="D11" s="1"/>
    </row>
    <row r="12" spans="2:4" ht="14.25" customHeight="1" x14ac:dyDescent="0.25">
      <c r="B12" s="32" t="s">
        <v>19</v>
      </c>
      <c r="C12" s="32"/>
      <c r="D12" s="1"/>
    </row>
    <row r="13" spans="2:4" ht="14.25" customHeight="1" x14ac:dyDescent="0.25">
      <c r="B13" s="32" t="s">
        <v>20</v>
      </c>
      <c r="C13" s="32"/>
      <c r="D13" s="1"/>
    </row>
    <row r="14" spans="2:4" ht="14.25" customHeight="1" x14ac:dyDescent="0.25">
      <c r="B14" s="21"/>
      <c r="C14" s="21"/>
      <c r="D14" s="22"/>
    </row>
    <row r="15" spans="2:4" x14ac:dyDescent="0.25">
      <c r="B15" s="32" t="s">
        <v>7</v>
      </c>
      <c r="C15" s="32"/>
      <c r="D15" s="1"/>
    </row>
    <row r="16" spans="2:4" x14ac:dyDescent="0.25">
      <c r="B16" s="32" t="s">
        <v>8</v>
      </c>
      <c r="C16" s="32"/>
      <c r="D16" s="1"/>
    </row>
    <row r="17" spans="2:7" x14ac:dyDescent="0.25">
      <c r="B17" s="32" t="s">
        <v>9</v>
      </c>
      <c r="C17" s="32"/>
      <c r="D17" s="1"/>
    </row>
    <row r="18" spans="2:7" x14ac:dyDescent="0.25">
      <c r="B18" s="32" t="s">
        <v>10</v>
      </c>
      <c r="C18" s="32"/>
      <c r="D18" s="1"/>
    </row>
    <row r="20" spans="2:7" ht="30.75" customHeight="1" x14ac:dyDescent="0.25">
      <c r="B20" s="55" t="s">
        <v>31</v>
      </c>
      <c r="C20" s="23"/>
      <c r="D20" s="23"/>
      <c r="E20" s="23"/>
      <c r="F20" s="23"/>
      <c r="G20" s="23"/>
    </row>
    <row r="21" spans="2:7" x14ac:dyDescent="0.25">
      <c r="B21" s="1"/>
      <c r="C21" s="33" t="s">
        <v>2</v>
      </c>
      <c r="D21" s="34"/>
      <c r="E21" s="35"/>
      <c r="F21" s="34">
        <v>1</v>
      </c>
      <c r="G21" s="34"/>
    </row>
    <row r="22" spans="2:7" s="10" customFormat="1" x14ac:dyDescent="0.25">
      <c r="B22" s="36" t="s">
        <v>12</v>
      </c>
      <c r="C22" s="12" t="s">
        <v>14</v>
      </c>
      <c r="D22" s="13">
        <f>C10</f>
        <v>0</v>
      </c>
      <c r="E22" s="15"/>
      <c r="F22" s="13">
        <f>D22</f>
        <v>0</v>
      </c>
      <c r="G22" s="13"/>
    </row>
    <row r="23" spans="2:7" s="11" customFormat="1" x14ac:dyDescent="0.25">
      <c r="B23" s="37" t="s">
        <v>13</v>
      </c>
      <c r="C23" s="2" t="s">
        <v>15</v>
      </c>
      <c r="D23" s="14"/>
      <c r="E23" s="4"/>
      <c r="F23" s="14">
        <f>SUM(F21:F22)</f>
        <v>1</v>
      </c>
      <c r="G23" s="14"/>
    </row>
    <row r="24" spans="2:7" x14ac:dyDescent="0.25">
      <c r="B24" s="1"/>
      <c r="C24" s="1" t="s">
        <v>3</v>
      </c>
      <c r="D24" s="8"/>
      <c r="E24" s="3"/>
      <c r="F24" s="8"/>
      <c r="G24" s="8">
        <v>1</v>
      </c>
    </row>
    <row r="25" spans="2:7" x14ac:dyDescent="0.25">
      <c r="B25" s="36" t="s">
        <v>12</v>
      </c>
      <c r="C25" s="1" t="s">
        <v>16</v>
      </c>
      <c r="D25" s="8">
        <f>C11</f>
        <v>0</v>
      </c>
      <c r="E25" s="3"/>
      <c r="F25" s="8"/>
      <c r="G25" s="8">
        <f>D25</f>
        <v>0</v>
      </c>
    </row>
    <row r="26" spans="2:7" s="11" customFormat="1" x14ac:dyDescent="0.25">
      <c r="B26" s="37" t="s">
        <v>13</v>
      </c>
      <c r="C26" s="2" t="s">
        <v>17</v>
      </c>
      <c r="D26" s="14"/>
      <c r="E26" s="4"/>
      <c r="F26" s="14"/>
      <c r="G26" s="14">
        <f>SUM(G24:G25)</f>
        <v>1</v>
      </c>
    </row>
    <row r="27" spans="2:7" x14ac:dyDescent="0.25">
      <c r="B27" s="38"/>
      <c r="C27" s="5" t="s">
        <v>18</v>
      </c>
      <c r="D27" s="9"/>
      <c r="E27" s="6"/>
      <c r="F27" s="9">
        <v>1</v>
      </c>
      <c r="G27" s="9"/>
    </row>
    <row r="28" spans="2:7" x14ac:dyDescent="0.25">
      <c r="B28" s="36" t="s">
        <v>12</v>
      </c>
      <c r="C28" s="1" t="s">
        <v>19</v>
      </c>
      <c r="D28" s="8">
        <f>C12</f>
        <v>0</v>
      </c>
      <c r="E28" s="3"/>
      <c r="F28" s="8">
        <f>D28</f>
        <v>0</v>
      </c>
      <c r="G28" s="8"/>
    </row>
    <row r="29" spans="2:7" x14ac:dyDescent="0.25">
      <c r="B29" s="36" t="s">
        <v>12</v>
      </c>
      <c r="C29" s="1" t="s">
        <v>20</v>
      </c>
      <c r="D29" s="8">
        <f>C13</f>
        <v>0</v>
      </c>
      <c r="E29" s="3"/>
      <c r="F29" s="8">
        <f>D29</f>
        <v>0</v>
      </c>
      <c r="G29" s="8"/>
    </row>
    <row r="30" spans="2:7" x14ac:dyDescent="0.25">
      <c r="B30" s="39" t="s">
        <v>13</v>
      </c>
      <c r="C30" s="5" t="s">
        <v>21</v>
      </c>
      <c r="D30" s="9"/>
      <c r="E30" s="6"/>
      <c r="F30" s="9">
        <f>SUM(F27:F29)</f>
        <v>1</v>
      </c>
      <c r="G30" s="9">
        <v>1</v>
      </c>
    </row>
    <row r="31" spans="2:7" x14ac:dyDescent="0.25">
      <c r="B31" s="36" t="s">
        <v>12</v>
      </c>
      <c r="C31" s="1" t="s">
        <v>7</v>
      </c>
      <c r="D31" s="8">
        <f>C15</f>
        <v>0</v>
      </c>
      <c r="E31" s="3"/>
      <c r="F31" s="8"/>
      <c r="G31" s="8">
        <f>D31</f>
        <v>0</v>
      </c>
    </row>
    <row r="32" spans="2:7" x14ac:dyDescent="0.25">
      <c r="B32" s="37" t="s">
        <v>13</v>
      </c>
      <c r="C32" s="2" t="s">
        <v>22</v>
      </c>
      <c r="D32" s="14"/>
      <c r="E32" s="4"/>
      <c r="F32" s="14">
        <f>G30-D33-D34</f>
        <v>1</v>
      </c>
      <c r="G32" s="14">
        <f>SUM(G30:G31)</f>
        <v>1</v>
      </c>
    </row>
    <row r="33" spans="2:7" x14ac:dyDescent="0.25">
      <c r="B33" s="36" t="s">
        <v>12</v>
      </c>
      <c r="C33" s="1" t="s">
        <v>8</v>
      </c>
      <c r="D33" s="8">
        <f>C16</f>
        <v>0</v>
      </c>
      <c r="E33" s="3"/>
      <c r="F33" s="8">
        <f>D33</f>
        <v>0</v>
      </c>
      <c r="G33" s="8"/>
    </row>
    <row r="34" spans="2:7" x14ac:dyDescent="0.25">
      <c r="B34" s="36" t="s">
        <v>12</v>
      </c>
      <c r="C34" s="1" t="s">
        <v>9</v>
      </c>
      <c r="D34" s="8">
        <f>C17</f>
        <v>0</v>
      </c>
      <c r="E34" s="3"/>
      <c r="F34" s="8">
        <f>D34</f>
        <v>0</v>
      </c>
      <c r="G34" s="8"/>
    </row>
    <row r="35" spans="2:7" x14ac:dyDescent="0.25">
      <c r="B35" s="37" t="s">
        <v>13</v>
      </c>
      <c r="C35" s="2" t="s">
        <v>23</v>
      </c>
      <c r="D35" s="14"/>
      <c r="E35" s="4"/>
      <c r="F35" s="14">
        <f>SUM(F32:F34)</f>
        <v>1</v>
      </c>
      <c r="G35" s="14">
        <f>F35-D36</f>
        <v>1</v>
      </c>
    </row>
    <row r="36" spans="2:7" x14ac:dyDescent="0.25">
      <c r="B36" s="36" t="s">
        <v>12</v>
      </c>
      <c r="C36" s="1" t="s">
        <v>10</v>
      </c>
      <c r="D36" s="8">
        <f>C18</f>
        <v>0</v>
      </c>
      <c r="E36" s="3"/>
      <c r="F36" s="8"/>
      <c r="G36" s="8">
        <f>D36</f>
        <v>0</v>
      </c>
    </row>
    <row r="37" spans="2:7" x14ac:dyDescent="0.25">
      <c r="B37" s="44" t="s">
        <v>13</v>
      </c>
      <c r="C37" s="45" t="s">
        <v>24</v>
      </c>
      <c r="D37" s="46"/>
      <c r="E37" s="47"/>
      <c r="F37" s="46"/>
      <c r="G37" s="46">
        <f>SUM(G35:G36)</f>
        <v>1</v>
      </c>
    </row>
    <row r="40" spans="2:7" ht="15.75" x14ac:dyDescent="0.25">
      <c r="B40" s="16" t="s">
        <v>26</v>
      </c>
    </row>
    <row r="42" spans="2:7" ht="14.25" customHeight="1" x14ac:dyDescent="0.25">
      <c r="B42" s="25" t="s">
        <v>6</v>
      </c>
      <c r="C42" s="26"/>
      <c r="D42" s="27"/>
    </row>
    <row r="43" spans="2:7" ht="14.25" customHeight="1" x14ac:dyDescent="0.25">
      <c r="B43" s="32" t="s">
        <v>14</v>
      </c>
      <c r="C43" s="32"/>
      <c r="D43" s="1"/>
    </row>
    <row r="44" spans="2:7" ht="14.25" customHeight="1" x14ac:dyDescent="0.25">
      <c r="B44" s="32" t="s">
        <v>16</v>
      </c>
      <c r="C44" s="32"/>
      <c r="D44" s="1"/>
    </row>
    <row r="45" spans="2:7" ht="14.25" customHeight="1" x14ac:dyDescent="0.25">
      <c r="B45" s="32" t="s">
        <v>19</v>
      </c>
      <c r="C45" s="32"/>
      <c r="D45" s="1"/>
    </row>
    <row r="46" spans="2:7" ht="14.25" customHeight="1" x14ac:dyDescent="0.25">
      <c r="B46" s="32" t="s">
        <v>20</v>
      </c>
      <c r="C46" s="32"/>
      <c r="D46" s="1"/>
    </row>
    <row r="47" spans="2:7" ht="14.25" customHeight="1" x14ac:dyDescent="0.25">
      <c r="B47" s="21"/>
      <c r="C47" s="21"/>
      <c r="D47" s="22"/>
    </row>
    <row r="48" spans="2:7" x14ac:dyDescent="0.25">
      <c r="B48" s="32" t="s">
        <v>8</v>
      </c>
      <c r="C48" s="32"/>
      <c r="D48" s="1"/>
    </row>
    <row r="49" spans="2:7" x14ac:dyDescent="0.25">
      <c r="B49" s="32" t="s">
        <v>9</v>
      </c>
      <c r="C49" s="32"/>
      <c r="D49" s="1"/>
    </row>
    <row r="50" spans="2:7" x14ac:dyDescent="0.25">
      <c r="B50" s="32" t="s">
        <v>10</v>
      </c>
      <c r="C50" s="32"/>
      <c r="D50" s="8"/>
    </row>
    <row r="52" spans="2:7" ht="30.75" customHeight="1" x14ac:dyDescent="0.25">
      <c r="B52" s="55" t="s">
        <v>30</v>
      </c>
      <c r="C52" s="23"/>
      <c r="D52" s="23"/>
      <c r="E52" s="23"/>
      <c r="F52" s="23"/>
      <c r="G52" s="23"/>
    </row>
    <row r="53" spans="2:7" x14ac:dyDescent="0.25">
      <c r="B53" s="17"/>
      <c r="C53" s="33" t="s">
        <v>2</v>
      </c>
      <c r="D53" s="34"/>
      <c r="E53" s="35"/>
      <c r="F53" s="34">
        <v>1</v>
      </c>
      <c r="G53" s="34"/>
    </row>
    <row r="54" spans="2:7" x14ac:dyDescent="0.25">
      <c r="B54" s="18" t="s">
        <v>12</v>
      </c>
      <c r="C54" s="12" t="s">
        <v>14</v>
      </c>
      <c r="D54" s="13">
        <f>D43</f>
        <v>0</v>
      </c>
      <c r="E54" s="15"/>
      <c r="F54" s="13">
        <f>D54</f>
        <v>0</v>
      </c>
      <c r="G54" s="13"/>
    </row>
    <row r="55" spans="2:7" x14ac:dyDescent="0.25">
      <c r="B55" s="18" t="s">
        <v>13</v>
      </c>
      <c r="C55" s="2" t="s">
        <v>15</v>
      </c>
      <c r="D55" s="14"/>
      <c r="E55" s="4"/>
      <c r="F55" s="14">
        <f>SUM(F53:F54)</f>
        <v>1</v>
      </c>
      <c r="G55" s="14"/>
    </row>
    <row r="56" spans="2:7" x14ac:dyDescent="0.25">
      <c r="B56" s="17"/>
      <c r="C56" s="1" t="s">
        <v>3</v>
      </c>
      <c r="D56" s="8"/>
      <c r="E56" s="3"/>
      <c r="F56" s="8"/>
      <c r="G56" s="8">
        <v>1</v>
      </c>
    </row>
    <row r="57" spans="2:7" x14ac:dyDescent="0.25">
      <c r="B57" s="18" t="s">
        <v>12</v>
      </c>
      <c r="C57" s="1" t="s">
        <v>16</v>
      </c>
      <c r="D57" s="8">
        <f>D44</f>
        <v>0</v>
      </c>
      <c r="E57" s="3"/>
      <c r="F57" s="8"/>
      <c r="G57" s="8">
        <f>D57</f>
        <v>0</v>
      </c>
    </row>
    <row r="58" spans="2:7" x14ac:dyDescent="0.25">
      <c r="B58" s="18" t="s">
        <v>13</v>
      </c>
      <c r="C58" s="2" t="s">
        <v>17</v>
      </c>
      <c r="D58" s="14"/>
      <c r="E58" s="4"/>
      <c r="F58" s="14"/>
      <c r="G58" s="14">
        <f>SUM(G56:G57)</f>
        <v>1</v>
      </c>
    </row>
    <row r="59" spans="2:7" x14ac:dyDescent="0.25">
      <c r="B59" s="20"/>
      <c r="C59" s="5" t="s">
        <v>18</v>
      </c>
      <c r="D59" s="9"/>
      <c r="E59" s="6"/>
      <c r="F59" s="9">
        <v>1</v>
      </c>
      <c r="G59" s="9"/>
    </row>
    <row r="60" spans="2:7" x14ac:dyDescent="0.25">
      <c r="B60" s="18" t="s">
        <v>12</v>
      </c>
      <c r="C60" s="1" t="s">
        <v>19</v>
      </c>
      <c r="D60" s="8">
        <f>D45</f>
        <v>0</v>
      </c>
      <c r="E60" s="3"/>
      <c r="F60" s="8">
        <f>D60</f>
        <v>0</v>
      </c>
      <c r="G60" s="8"/>
    </row>
    <row r="61" spans="2:7" x14ac:dyDescent="0.25">
      <c r="B61" s="18" t="s">
        <v>12</v>
      </c>
      <c r="C61" s="1" t="s">
        <v>20</v>
      </c>
      <c r="D61" s="8">
        <f>D46</f>
        <v>0</v>
      </c>
      <c r="E61" s="3"/>
      <c r="F61" s="8">
        <f>D61</f>
        <v>0</v>
      </c>
      <c r="G61" s="8"/>
    </row>
    <row r="62" spans="2:7" x14ac:dyDescent="0.25">
      <c r="B62" s="19" t="s">
        <v>13</v>
      </c>
      <c r="C62" s="5" t="s">
        <v>21</v>
      </c>
      <c r="D62" s="9"/>
      <c r="E62" s="6"/>
      <c r="F62" s="9">
        <f>SUM(F59:F61)</f>
        <v>1</v>
      </c>
      <c r="G62" s="9">
        <v>1</v>
      </c>
    </row>
    <row r="63" spans="2:7" x14ac:dyDescent="0.25">
      <c r="B63" s="40" t="s">
        <v>12</v>
      </c>
      <c r="C63" s="41" t="s">
        <v>7</v>
      </c>
      <c r="D63" s="42"/>
      <c r="E63" s="43"/>
      <c r="F63" s="42"/>
      <c r="G63" s="42" t="str">
        <f>IF(E62=0,"",E63/E62)</f>
        <v/>
      </c>
    </row>
    <row r="64" spans="2:7" x14ac:dyDescent="0.25">
      <c r="B64" s="18" t="s">
        <v>13</v>
      </c>
      <c r="C64" s="2" t="s">
        <v>22</v>
      </c>
      <c r="D64" s="14"/>
      <c r="E64" s="4"/>
      <c r="F64" s="14">
        <f>F67-F66-F65</f>
        <v>1</v>
      </c>
      <c r="G64" s="14"/>
    </row>
    <row r="65" spans="2:7" x14ac:dyDescent="0.25">
      <c r="B65" s="18" t="s">
        <v>12</v>
      </c>
      <c r="C65" s="1" t="s">
        <v>8</v>
      </c>
      <c r="D65" s="8">
        <f>D48</f>
        <v>0</v>
      </c>
      <c r="E65" s="3"/>
      <c r="F65" s="8">
        <f>D65</f>
        <v>0</v>
      </c>
      <c r="G65" s="8"/>
    </row>
    <row r="66" spans="2:7" x14ac:dyDescent="0.25">
      <c r="B66" s="18" t="s">
        <v>12</v>
      </c>
      <c r="C66" s="1" t="s">
        <v>9</v>
      </c>
      <c r="D66" s="8">
        <f>D49</f>
        <v>0</v>
      </c>
      <c r="E66" s="3"/>
      <c r="F66" s="8">
        <f>D66</f>
        <v>0</v>
      </c>
      <c r="G66" s="8"/>
    </row>
    <row r="67" spans="2:7" x14ac:dyDescent="0.25">
      <c r="B67" s="18" t="s">
        <v>13</v>
      </c>
      <c r="C67" s="2" t="s">
        <v>23</v>
      </c>
      <c r="D67" s="14"/>
      <c r="E67" s="4"/>
      <c r="F67" s="14">
        <v>1</v>
      </c>
      <c r="G67" s="14">
        <f>G69-G68</f>
        <v>1</v>
      </c>
    </row>
    <row r="68" spans="2:7" x14ac:dyDescent="0.25">
      <c r="B68" s="18" t="s">
        <v>12</v>
      </c>
      <c r="C68" s="1" t="s">
        <v>10</v>
      </c>
      <c r="D68" s="8">
        <f>C18</f>
        <v>0</v>
      </c>
      <c r="E68" s="3"/>
      <c r="F68" s="8"/>
      <c r="G68" s="8">
        <f>D68</f>
        <v>0</v>
      </c>
    </row>
    <row r="69" spans="2:7" x14ac:dyDescent="0.25">
      <c r="B69" s="19" t="s">
        <v>13</v>
      </c>
      <c r="C69" s="5" t="s">
        <v>24</v>
      </c>
      <c r="D69" s="9"/>
      <c r="E69" s="6"/>
      <c r="F69" s="9"/>
      <c r="G69" s="9">
        <v>1</v>
      </c>
    </row>
    <row r="72" spans="2:7" ht="15.75" x14ac:dyDescent="0.25">
      <c r="B72" s="16" t="s">
        <v>27</v>
      </c>
    </row>
    <row r="74" spans="2:7" ht="14.25" customHeight="1" x14ac:dyDescent="0.25">
      <c r="B74" s="25"/>
      <c r="C74" s="26"/>
      <c r="D74" s="27"/>
    </row>
    <row r="75" spans="2:7" ht="14.25" customHeight="1" x14ac:dyDescent="0.25">
      <c r="B75" s="32" t="s">
        <v>14</v>
      </c>
      <c r="C75" s="32"/>
      <c r="D75" s="1"/>
    </row>
    <row r="76" spans="2:7" ht="14.25" customHeight="1" x14ac:dyDescent="0.25">
      <c r="B76" s="32" t="s">
        <v>16</v>
      </c>
      <c r="C76" s="32"/>
      <c r="D76" s="1"/>
    </row>
    <row r="77" spans="2:7" ht="14.25" customHeight="1" x14ac:dyDescent="0.25">
      <c r="B77" s="32" t="s">
        <v>19</v>
      </c>
      <c r="C77" s="32"/>
      <c r="D77" s="1"/>
    </row>
    <row r="78" spans="2:7" ht="14.25" customHeight="1" x14ac:dyDescent="0.25">
      <c r="B78" s="32" t="s">
        <v>20</v>
      </c>
      <c r="C78" s="32"/>
      <c r="D78" s="1"/>
    </row>
    <row r="79" spans="2:7" ht="14.25" customHeight="1" x14ac:dyDescent="0.25">
      <c r="B79" s="21"/>
      <c r="C79" s="21"/>
      <c r="D79" s="22"/>
    </row>
    <row r="80" spans="2:7" x14ac:dyDescent="0.25">
      <c r="B80" s="32" t="s">
        <v>7</v>
      </c>
      <c r="C80" s="32"/>
      <c r="D80" s="1"/>
    </row>
    <row r="81" spans="2:7" x14ac:dyDescent="0.25">
      <c r="B81" s="32" t="s">
        <v>8</v>
      </c>
      <c r="C81" s="32"/>
      <c r="D81" s="1"/>
    </row>
    <row r="82" spans="2:7" x14ac:dyDescent="0.25">
      <c r="B82" s="32" t="s">
        <v>9</v>
      </c>
      <c r="C82" s="32"/>
      <c r="D82" s="1"/>
    </row>
    <row r="83" spans="2:7" x14ac:dyDescent="0.25">
      <c r="B83" s="32" t="s">
        <v>10</v>
      </c>
      <c r="C83" s="32"/>
      <c r="D83" s="1"/>
    </row>
    <row r="85" spans="2:7" ht="31.5" customHeight="1" x14ac:dyDescent="0.25">
      <c r="B85" s="54" t="s">
        <v>29</v>
      </c>
      <c r="C85" s="29"/>
      <c r="D85" s="29"/>
      <c r="E85" s="29"/>
      <c r="F85" s="29"/>
      <c r="G85" s="30"/>
    </row>
    <row r="86" spans="2:7" x14ac:dyDescent="0.25">
      <c r="B86" s="48"/>
      <c r="C86" s="51" t="s">
        <v>2</v>
      </c>
      <c r="D86" s="52"/>
      <c r="E86" s="53"/>
      <c r="F86" s="52"/>
      <c r="G86" s="52">
        <v>1</v>
      </c>
    </row>
    <row r="87" spans="2:7" x14ac:dyDescent="0.25">
      <c r="B87" s="18" t="s">
        <v>12</v>
      </c>
      <c r="C87" s="12" t="s">
        <v>14</v>
      </c>
      <c r="D87" s="13">
        <f>D75</f>
        <v>0</v>
      </c>
      <c r="E87" s="15"/>
      <c r="F87" s="13"/>
      <c r="G87" s="13">
        <f>D87</f>
        <v>0</v>
      </c>
    </row>
    <row r="88" spans="2:7" x14ac:dyDescent="0.25">
      <c r="B88" s="18" t="s">
        <v>13</v>
      </c>
      <c r="C88" s="2" t="s">
        <v>15</v>
      </c>
      <c r="D88" s="14"/>
      <c r="E88" s="4"/>
      <c r="F88" s="14"/>
      <c r="G88" s="14">
        <f>SUM(G86:G87)</f>
        <v>1</v>
      </c>
    </row>
    <row r="89" spans="2:7" x14ac:dyDescent="0.25">
      <c r="B89" s="1"/>
      <c r="C89" s="1" t="s">
        <v>3</v>
      </c>
      <c r="D89" s="8"/>
      <c r="E89" s="3"/>
      <c r="F89" s="8">
        <v>1</v>
      </c>
      <c r="G89" s="8"/>
    </row>
    <row r="90" spans="2:7" x14ac:dyDescent="0.25">
      <c r="B90" s="18" t="s">
        <v>12</v>
      </c>
      <c r="C90" s="1" t="s">
        <v>16</v>
      </c>
      <c r="D90" s="8">
        <f>D76</f>
        <v>0</v>
      </c>
      <c r="E90" s="3"/>
      <c r="F90" s="8">
        <f>D90</f>
        <v>0</v>
      </c>
      <c r="G90" s="8"/>
    </row>
    <row r="91" spans="2:7" x14ac:dyDescent="0.25">
      <c r="B91" s="18" t="s">
        <v>13</v>
      </c>
      <c r="C91" s="2" t="s">
        <v>17</v>
      </c>
      <c r="D91" s="14"/>
      <c r="E91" s="4"/>
      <c r="F91" s="14">
        <f>SUM(F89:F90)</f>
        <v>1</v>
      </c>
      <c r="G91" s="14"/>
    </row>
    <row r="92" spans="2:7" x14ac:dyDescent="0.25">
      <c r="B92" s="48"/>
      <c r="C92" s="45" t="s">
        <v>18</v>
      </c>
      <c r="D92" s="46"/>
      <c r="E92" s="47"/>
      <c r="F92" s="46"/>
      <c r="G92" s="46">
        <v>1</v>
      </c>
    </row>
    <row r="93" spans="2:7" x14ac:dyDescent="0.25">
      <c r="B93" s="18" t="s">
        <v>12</v>
      </c>
      <c r="C93" s="1" t="s">
        <v>19</v>
      </c>
      <c r="D93" s="8">
        <f>D77</f>
        <v>0</v>
      </c>
      <c r="E93" s="3"/>
      <c r="F93" s="8"/>
      <c r="G93" s="8">
        <f>D93</f>
        <v>0</v>
      </c>
    </row>
    <row r="94" spans="2:7" x14ac:dyDescent="0.25">
      <c r="B94" s="18" t="s">
        <v>12</v>
      </c>
      <c r="C94" s="1" t="s">
        <v>20</v>
      </c>
      <c r="D94" s="8">
        <f>D78</f>
        <v>0</v>
      </c>
      <c r="E94" s="3"/>
      <c r="F94" s="8"/>
      <c r="G94" s="8">
        <f>D94</f>
        <v>0</v>
      </c>
    </row>
    <row r="95" spans="2:7" x14ac:dyDescent="0.25">
      <c r="B95" s="18" t="s">
        <v>13</v>
      </c>
      <c r="C95" s="5" t="s">
        <v>21</v>
      </c>
      <c r="D95" s="9"/>
      <c r="E95" s="6"/>
      <c r="F95" s="9">
        <v>1</v>
      </c>
      <c r="G95" s="9">
        <f>SUM(G92:G94)</f>
        <v>1</v>
      </c>
    </row>
    <row r="96" spans="2:7" x14ac:dyDescent="0.25">
      <c r="B96" s="18" t="s">
        <v>12</v>
      </c>
      <c r="C96" s="1" t="s">
        <v>7</v>
      </c>
      <c r="D96" s="8">
        <f>D80</f>
        <v>0</v>
      </c>
      <c r="E96" s="3"/>
      <c r="F96" s="8">
        <f>D96</f>
        <v>0</v>
      </c>
      <c r="G96" s="8"/>
    </row>
    <row r="97" spans="2:7" x14ac:dyDescent="0.25">
      <c r="B97" s="18" t="s">
        <v>13</v>
      </c>
      <c r="C97" s="2" t="s">
        <v>22</v>
      </c>
      <c r="D97" s="14"/>
      <c r="E97" s="4"/>
      <c r="F97" s="14">
        <f>SUM(F95:F96)</f>
        <v>1</v>
      </c>
      <c r="G97" s="14">
        <f>G100-G99-G98</f>
        <v>1</v>
      </c>
    </row>
    <row r="98" spans="2:7" x14ac:dyDescent="0.25">
      <c r="B98" s="18" t="s">
        <v>12</v>
      </c>
      <c r="C98" s="1" t="s">
        <v>8</v>
      </c>
      <c r="D98" s="8">
        <f>D81</f>
        <v>0</v>
      </c>
      <c r="E98" s="3"/>
      <c r="F98" s="8"/>
      <c r="G98" s="8">
        <f>D98</f>
        <v>0</v>
      </c>
    </row>
    <row r="99" spans="2:7" x14ac:dyDescent="0.25">
      <c r="B99" s="18" t="s">
        <v>12</v>
      </c>
      <c r="C99" s="1" t="s">
        <v>9</v>
      </c>
      <c r="D99" s="8">
        <f>D82</f>
        <v>0</v>
      </c>
      <c r="E99" s="3"/>
      <c r="F99" s="8"/>
      <c r="G99" s="8">
        <f>D99</f>
        <v>0</v>
      </c>
    </row>
    <row r="100" spans="2:7" x14ac:dyDescent="0.25">
      <c r="B100" s="18" t="s">
        <v>13</v>
      </c>
      <c r="C100" s="2" t="s">
        <v>23</v>
      </c>
      <c r="D100" s="14"/>
      <c r="E100" s="4"/>
      <c r="F100" s="14">
        <f>F102-F101</f>
        <v>1</v>
      </c>
      <c r="G100" s="14">
        <v>1</v>
      </c>
    </row>
    <row r="101" spans="2:7" x14ac:dyDescent="0.25">
      <c r="B101" s="18" t="s">
        <v>12</v>
      </c>
      <c r="C101" s="1" t="s">
        <v>10</v>
      </c>
      <c r="D101" s="8">
        <f>D83</f>
        <v>0</v>
      </c>
      <c r="E101" s="3"/>
      <c r="F101" s="8">
        <f>D101</f>
        <v>0</v>
      </c>
      <c r="G101" s="8"/>
    </row>
    <row r="102" spans="2:7" x14ac:dyDescent="0.25">
      <c r="B102" s="18" t="s">
        <v>13</v>
      </c>
      <c r="C102" s="5" t="s">
        <v>24</v>
      </c>
      <c r="D102" s="9"/>
      <c r="E102" s="6"/>
      <c r="F102" s="9">
        <v>1</v>
      </c>
      <c r="G102" s="9"/>
    </row>
    <row r="105" spans="2:7" ht="15.75" x14ac:dyDescent="0.25">
      <c r="B105" s="16" t="s">
        <v>28</v>
      </c>
    </row>
    <row r="107" spans="2:7" ht="15.75" x14ac:dyDescent="0.25">
      <c r="B107" s="25"/>
      <c r="C107" s="26"/>
      <c r="D107" s="27"/>
    </row>
    <row r="108" spans="2:7" x14ac:dyDescent="0.25">
      <c r="B108" s="32" t="s">
        <v>14</v>
      </c>
      <c r="C108" s="32"/>
      <c r="D108" s="1"/>
    </row>
    <row r="109" spans="2:7" x14ac:dyDescent="0.25">
      <c r="B109" s="32" t="s">
        <v>16</v>
      </c>
      <c r="C109" s="32"/>
      <c r="D109" s="1"/>
    </row>
    <row r="110" spans="2:7" x14ac:dyDescent="0.25">
      <c r="B110" s="32" t="s">
        <v>19</v>
      </c>
      <c r="C110" s="32"/>
      <c r="D110" s="1"/>
    </row>
    <row r="111" spans="2:7" x14ac:dyDescent="0.25">
      <c r="B111" s="32" t="s">
        <v>20</v>
      </c>
      <c r="C111" s="32"/>
      <c r="D111" s="1"/>
    </row>
    <row r="112" spans="2:7" x14ac:dyDescent="0.25">
      <c r="B112" s="21"/>
      <c r="C112" s="21"/>
      <c r="D112" s="22"/>
    </row>
    <row r="113" spans="2:7" x14ac:dyDescent="0.25">
      <c r="B113" s="32" t="s">
        <v>7</v>
      </c>
      <c r="C113" s="32"/>
      <c r="D113" s="1"/>
    </row>
    <row r="114" spans="2:7" x14ac:dyDescent="0.25">
      <c r="B114" s="32" t="s">
        <v>8</v>
      </c>
      <c r="C114" s="32"/>
      <c r="D114" s="1"/>
    </row>
    <row r="115" spans="2:7" x14ac:dyDescent="0.25">
      <c r="B115" s="32" t="s">
        <v>9</v>
      </c>
      <c r="C115" s="32"/>
      <c r="D115" s="1"/>
    </row>
    <row r="116" spans="2:7" x14ac:dyDescent="0.25">
      <c r="B116" s="32" t="s">
        <v>10</v>
      </c>
      <c r="C116" s="32"/>
      <c r="D116" s="1"/>
    </row>
    <row r="118" spans="2:7" ht="30.75" customHeight="1" x14ac:dyDescent="0.25">
      <c r="B118" s="54" t="s">
        <v>11</v>
      </c>
      <c r="C118" s="29"/>
      <c r="D118" s="29"/>
      <c r="E118" s="29"/>
      <c r="F118" s="29"/>
      <c r="G118" s="30"/>
    </row>
    <row r="119" spans="2:7" x14ac:dyDescent="0.25">
      <c r="B119" s="38"/>
      <c r="C119" s="56" t="s">
        <v>2</v>
      </c>
      <c r="D119" s="57"/>
      <c r="E119" s="58"/>
      <c r="F119" s="57"/>
      <c r="G119" s="57">
        <v>1</v>
      </c>
    </row>
    <row r="120" spans="2:7" x14ac:dyDescent="0.25">
      <c r="B120" s="18" t="s">
        <v>12</v>
      </c>
      <c r="C120" s="12" t="s">
        <v>14</v>
      </c>
      <c r="D120" s="13">
        <f>D108</f>
        <v>0</v>
      </c>
      <c r="E120" s="15"/>
      <c r="F120" s="13"/>
      <c r="G120" s="13">
        <f>D120</f>
        <v>0</v>
      </c>
    </row>
    <row r="121" spans="2:7" x14ac:dyDescent="0.25">
      <c r="B121" s="18" t="s">
        <v>13</v>
      </c>
      <c r="C121" s="2" t="s">
        <v>15</v>
      </c>
      <c r="D121" s="14"/>
      <c r="E121" s="4"/>
      <c r="F121" s="14"/>
      <c r="G121" s="14">
        <f>SUM(G119:G120)</f>
        <v>1</v>
      </c>
    </row>
    <row r="122" spans="2:7" x14ac:dyDescent="0.25">
      <c r="B122" s="1"/>
      <c r="C122" s="1" t="s">
        <v>3</v>
      </c>
      <c r="D122" s="8"/>
      <c r="E122" s="3"/>
      <c r="F122" s="8">
        <v>1</v>
      </c>
      <c r="G122" s="8"/>
    </row>
    <row r="123" spans="2:7" x14ac:dyDescent="0.25">
      <c r="B123" s="18" t="s">
        <v>12</v>
      </c>
      <c r="C123" s="1" t="s">
        <v>16</v>
      </c>
      <c r="D123" s="8">
        <f>D109</f>
        <v>0</v>
      </c>
      <c r="E123" s="3"/>
      <c r="F123" s="8">
        <f>D123</f>
        <v>0</v>
      </c>
      <c r="G123" s="8"/>
    </row>
    <row r="124" spans="2:7" x14ac:dyDescent="0.25">
      <c r="B124" s="18" t="s">
        <v>13</v>
      </c>
      <c r="C124" s="2" t="s">
        <v>17</v>
      </c>
      <c r="D124" s="14"/>
      <c r="E124" s="4"/>
      <c r="F124" s="14">
        <f>SUM(F122:F123)</f>
        <v>1</v>
      </c>
      <c r="G124" s="14"/>
    </row>
    <row r="125" spans="2:7" x14ac:dyDescent="0.25">
      <c r="B125" s="38"/>
      <c r="C125" s="5" t="s">
        <v>18</v>
      </c>
      <c r="D125" s="9"/>
      <c r="E125" s="6"/>
      <c r="F125" s="9"/>
      <c r="G125" s="9">
        <v>1</v>
      </c>
    </row>
    <row r="126" spans="2:7" x14ac:dyDescent="0.25">
      <c r="B126" s="18" t="s">
        <v>12</v>
      </c>
      <c r="C126" s="1" t="s">
        <v>19</v>
      </c>
      <c r="D126" s="8">
        <f>D110</f>
        <v>0</v>
      </c>
      <c r="E126" s="3"/>
      <c r="F126" s="8"/>
      <c r="G126" s="8">
        <f>D126</f>
        <v>0</v>
      </c>
    </row>
    <row r="127" spans="2:7" x14ac:dyDescent="0.25">
      <c r="B127" s="18" t="s">
        <v>12</v>
      </c>
      <c r="C127" s="1" t="s">
        <v>20</v>
      </c>
      <c r="D127" s="8">
        <f>D111</f>
        <v>0</v>
      </c>
      <c r="E127" s="3"/>
      <c r="F127" s="8"/>
      <c r="G127" s="8">
        <f>D127</f>
        <v>0</v>
      </c>
    </row>
    <row r="128" spans="2:7" x14ac:dyDescent="0.25">
      <c r="B128" s="19" t="s">
        <v>13</v>
      </c>
      <c r="C128" s="5" t="s">
        <v>21</v>
      </c>
      <c r="D128" s="9"/>
      <c r="E128" s="6"/>
      <c r="F128" s="9">
        <v>1</v>
      </c>
      <c r="G128" s="9">
        <f>SUM(G125:G127)</f>
        <v>1</v>
      </c>
    </row>
    <row r="129" spans="2:7" x14ac:dyDescent="0.25">
      <c r="B129" s="40" t="s">
        <v>12</v>
      </c>
      <c r="C129" s="48" t="s">
        <v>7</v>
      </c>
      <c r="D129" s="49">
        <f>D113</f>
        <v>0</v>
      </c>
      <c r="E129" s="50"/>
      <c r="F129" s="49">
        <f>D129</f>
        <v>0</v>
      </c>
      <c r="G129" s="49"/>
    </row>
    <row r="130" spans="2:7" x14ac:dyDescent="0.25">
      <c r="B130" s="18" t="s">
        <v>13</v>
      </c>
      <c r="C130" s="2" t="s">
        <v>22</v>
      </c>
      <c r="D130" s="14"/>
      <c r="E130" s="4"/>
      <c r="F130" s="14">
        <f>SUM(F128:F129)</f>
        <v>1</v>
      </c>
      <c r="G130" s="14">
        <f>G133-G132-G131</f>
        <v>1</v>
      </c>
    </row>
    <row r="131" spans="2:7" x14ac:dyDescent="0.25">
      <c r="B131" s="18" t="s">
        <v>12</v>
      </c>
      <c r="C131" s="1" t="s">
        <v>8</v>
      </c>
      <c r="D131" s="8">
        <f>D114</f>
        <v>0</v>
      </c>
      <c r="E131" s="3"/>
      <c r="F131" s="8"/>
      <c r="G131" s="8">
        <f>D131</f>
        <v>0</v>
      </c>
    </row>
    <row r="132" spans="2:7" x14ac:dyDescent="0.25">
      <c r="B132" s="18" t="s">
        <v>12</v>
      </c>
      <c r="C132" s="1" t="s">
        <v>9</v>
      </c>
      <c r="D132" s="8">
        <f>D115</f>
        <v>0</v>
      </c>
      <c r="E132" s="3"/>
      <c r="F132" s="8"/>
      <c r="G132" s="8">
        <f>D132</f>
        <v>0</v>
      </c>
    </row>
    <row r="133" spans="2:7" x14ac:dyDescent="0.25">
      <c r="B133" s="18" t="s">
        <v>13</v>
      </c>
      <c r="C133" s="2" t="s">
        <v>23</v>
      </c>
      <c r="D133" s="14"/>
      <c r="E133" s="4"/>
      <c r="F133" s="14">
        <f>F135-F134</f>
        <v>1</v>
      </c>
      <c r="G133" s="14">
        <v>1</v>
      </c>
    </row>
    <row r="134" spans="2:7" x14ac:dyDescent="0.25">
      <c r="B134" s="18" t="s">
        <v>12</v>
      </c>
      <c r="C134" s="1" t="s">
        <v>10</v>
      </c>
      <c r="D134" s="8">
        <f>D116</f>
        <v>0</v>
      </c>
      <c r="E134" s="3"/>
      <c r="F134" s="8">
        <f>D134</f>
        <v>0</v>
      </c>
      <c r="G134" s="8"/>
    </row>
    <row r="135" spans="2:7" x14ac:dyDescent="0.25">
      <c r="B135" s="19" t="s">
        <v>13</v>
      </c>
      <c r="C135" s="5" t="s">
        <v>24</v>
      </c>
      <c r="D135" s="9"/>
      <c r="E135" s="6"/>
      <c r="F135" s="9">
        <v>1</v>
      </c>
      <c r="G135" s="9"/>
    </row>
  </sheetData>
  <mergeCells count="44">
    <mergeCell ref="B116:C116"/>
    <mergeCell ref="B118:G118"/>
    <mergeCell ref="B110:C110"/>
    <mergeCell ref="B111:C111"/>
    <mergeCell ref="B113:C113"/>
    <mergeCell ref="B114:C114"/>
    <mergeCell ref="B115:C115"/>
    <mergeCell ref="B52:G52"/>
    <mergeCell ref="B85:G85"/>
    <mergeCell ref="B107:D107"/>
    <mergeCell ref="B108:C108"/>
    <mergeCell ref="B109:C109"/>
    <mergeCell ref="B74:D74"/>
    <mergeCell ref="B75:C75"/>
    <mergeCell ref="B76:C76"/>
    <mergeCell ref="B77:C77"/>
    <mergeCell ref="B78:C78"/>
    <mergeCell ref="B80:C80"/>
    <mergeCell ref="B81:C81"/>
    <mergeCell ref="B82:C82"/>
    <mergeCell ref="B83:C83"/>
    <mergeCell ref="B3:D3"/>
    <mergeCell ref="B4:C4"/>
    <mergeCell ref="B5:C5"/>
    <mergeCell ref="B10:C10"/>
    <mergeCell ref="B11:C11"/>
    <mergeCell ref="B12:C12"/>
    <mergeCell ref="B13:C13"/>
    <mergeCell ref="B15:C15"/>
    <mergeCell ref="B16:C16"/>
    <mergeCell ref="B17:C17"/>
    <mergeCell ref="B18:C18"/>
    <mergeCell ref="B9:D9"/>
    <mergeCell ref="B6:C6"/>
    <mergeCell ref="B7:C7"/>
    <mergeCell ref="B42:D42"/>
    <mergeCell ref="B43:C43"/>
    <mergeCell ref="B44:C44"/>
    <mergeCell ref="B45:C45"/>
    <mergeCell ref="B46:C46"/>
    <mergeCell ref="B48:C48"/>
    <mergeCell ref="B49:C49"/>
    <mergeCell ref="B50:C50"/>
    <mergeCell ref="B20:G20"/>
  </mergeCells>
  <pageMargins left="0.7" right="0.7" top="0.78740157499999996" bottom="0.78740157499999996" header="0.3" footer="0.3"/>
  <pageSetup paperSize="9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LS 10.2_Arbeitsauftrag 3b-d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2018-08-28T15:04:25Z</dcterms:modified>
</cp:coreProperties>
</file>