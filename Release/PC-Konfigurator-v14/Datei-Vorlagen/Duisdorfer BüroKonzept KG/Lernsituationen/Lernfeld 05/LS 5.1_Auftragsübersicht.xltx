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/>
  <workbookPr defaultThemeVersion="124226"/>
  <mc:AlternateContent xmlns:mc="http://schemas.openxmlformats.org/markup-compatibility/2006">
    <mc:Choice Requires="x15">
      <x15ac:absPath xmlns:x15ac="http://schemas.microsoft.com/office/spreadsheetml/2010/11/ac" url="G:\NeueDokumentenvorlagen\Lernsituationen\Marketing und Vertrieb\"/>
    </mc:Choice>
  </mc:AlternateContent>
  <xr:revisionPtr revIDLastSave="0" documentId="13_ncr:1_{F1C06152-E305-49D9-9EEF-98A77F6195C4}" xr6:coauthVersionLast="47" xr6:coauthVersionMax="47" xr10:uidLastSave="{00000000-0000-0000-0000-000000000000}"/>
  <bookViews>
    <workbookView xWindow="3330" yWindow="1725" windowWidth="21090" windowHeight="13320" xr2:uid="{00000000-000D-0000-FFFF-FFFF00000000}"/>
  </bookViews>
  <sheets>
    <sheet name="Umsatzübersicht" sheetId="1" r:id="rId1"/>
    <sheet name="Kunden" sheetId="2" r:id="rId2"/>
    <sheet name="Artikel" sheetId="3" r:id="rId3"/>
  </sheets>
  <definedNames>
    <definedName name="_xlnm._FilterDatabase" localSheetId="0" hidden="1">Umsatzübersicht!$A$3:$K$68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6" i="1" l="1"/>
  <c r="D66" i="1"/>
  <c r="D52" i="1"/>
  <c r="D40" i="1"/>
  <c r="D65" i="1" l="1"/>
  <c r="D64" i="1"/>
  <c r="D63" i="1"/>
  <c r="D62" i="1"/>
  <c r="D61" i="1"/>
  <c r="D60" i="1"/>
  <c r="D59" i="1"/>
  <c r="D58" i="1"/>
  <c r="D57" i="1"/>
  <c r="D56" i="1"/>
  <c r="D55" i="1"/>
  <c r="D54" i="1"/>
  <c r="D53" i="1"/>
  <c r="D51" i="1"/>
  <c r="D50" i="1"/>
  <c r="D49" i="1"/>
  <c r="D48" i="1"/>
  <c r="D47" i="1"/>
  <c r="D45" i="1"/>
  <c r="D44" i="1"/>
  <c r="D43" i="1"/>
  <c r="D42" i="1"/>
  <c r="D41" i="1"/>
  <c r="D39" i="1"/>
  <c r="D38" i="1"/>
  <c r="D37" i="1"/>
  <c r="D36" i="1"/>
  <c r="D35" i="1"/>
  <c r="D34" i="1"/>
  <c r="D33" i="1"/>
  <c r="D32" i="1"/>
  <c r="D30" i="1"/>
  <c r="D29" i="1"/>
  <c r="D31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 l="1"/>
</calcChain>
</file>

<file path=xl/sharedStrings.xml><?xml version="1.0" encoding="utf-8"?>
<sst xmlns="http://schemas.openxmlformats.org/spreadsheetml/2006/main" count="84" uniqueCount="65">
  <si>
    <t>Auftragsübersicht Januar bis Juni 20XX - eigene Erzeugnisse</t>
  </si>
  <si>
    <t>Kunden-Nr.</t>
  </si>
  <si>
    <t>Name 1</t>
  </si>
  <si>
    <t xml:space="preserve"> Rabattsatz</t>
  </si>
  <si>
    <t>Datum</t>
  </si>
  <si>
    <t>Monat</t>
  </si>
  <si>
    <t>Artikel-Nr.</t>
  </si>
  <si>
    <t>Artikelbezeichnung</t>
  </si>
  <si>
    <t>Menge</t>
  </si>
  <si>
    <t>Listenpreis
pro Stück</t>
  </si>
  <si>
    <t>Rabatt
pro Stück</t>
  </si>
  <si>
    <t>Gesamtbetrag</t>
  </si>
  <si>
    <t>Kundenliste</t>
  </si>
  <si>
    <t>Name1</t>
  </si>
  <si>
    <t>Name2</t>
  </si>
  <si>
    <t>Straße Nummer</t>
  </si>
  <si>
    <t>PLZ</t>
  </si>
  <si>
    <t>Ort</t>
  </si>
  <si>
    <t>Rabattsatz %</t>
  </si>
  <si>
    <t>Neuhoff KG</t>
  </si>
  <si>
    <t>RaumDesign</t>
  </si>
  <si>
    <t>Brunnenstraße 3</t>
  </si>
  <si>
    <t>Hannover</t>
  </si>
  <si>
    <t>Intermöbel GmbH</t>
  </si>
  <si>
    <t>Großhandel für Büromöbel</t>
  </si>
  <si>
    <t>Kaiserstraße</t>
  </si>
  <si>
    <t>Siegen</t>
  </si>
  <si>
    <t>Stadt Bonn</t>
  </si>
  <si>
    <t>Gebäudemanagement</t>
  </si>
  <si>
    <t>Berliner Platz 2</t>
  </si>
  <si>
    <t>Bonn</t>
  </si>
  <si>
    <t>Frohn KG</t>
  </si>
  <si>
    <t>Büroausstattung</t>
  </si>
  <si>
    <t>Lerchenweg 44</t>
  </si>
  <si>
    <t>Heidelberg</t>
  </si>
  <si>
    <t>Birkmann OHG</t>
  </si>
  <si>
    <t>Alles fürs Büro</t>
  </si>
  <si>
    <t>Im Ruhrfeld 35 a</t>
  </si>
  <si>
    <t>Norderstedt</t>
  </si>
  <si>
    <t>Gilles &amp; Partner</t>
  </si>
  <si>
    <t>Möbelgroßhandlung</t>
  </si>
  <si>
    <t>Königstraße 28</t>
  </si>
  <si>
    <t>Naumburg</t>
  </si>
  <si>
    <t>Stammhaus KG</t>
  </si>
  <si>
    <t>Bürokonzepte</t>
  </si>
  <si>
    <t>Berliner Damm 9</t>
  </si>
  <si>
    <t>Koblenz</t>
  </si>
  <si>
    <t>Rhenag GmbH</t>
  </si>
  <si>
    <t>Bürogroßhandel</t>
  </si>
  <si>
    <t>Annostraße 56</t>
  </si>
  <si>
    <t>Mannheim</t>
  </si>
  <si>
    <t>Warengruppen: eigene Erzeugnisse</t>
  </si>
  <si>
    <t>Warengruppe</t>
  </si>
  <si>
    <t>Einzelpreis</t>
  </si>
  <si>
    <t>Schreibtisch Ökostar</t>
  </si>
  <si>
    <t>Schreibtisch Ahorn</t>
  </si>
  <si>
    <t>Schreibtisch weiß C-Füße</t>
  </si>
  <si>
    <t>Konferenztischelement lichtgrau</t>
  </si>
  <si>
    <t>Mehrzwecktisch oval lichtgrau</t>
  </si>
  <si>
    <t>Bürostuhl Comfort</t>
  </si>
  <si>
    <t>Bandscheiben-Drehstuhl extra</t>
  </si>
  <si>
    <t>Chefsessel Bonn Maxx</t>
  </si>
  <si>
    <t>Bürosessel Tenno</t>
  </si>
  <si>
    <t>Hocker Milano</t>
  </si>
  <si>
    <t>Ventilator Orkano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</si>
</sst>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#,##0.00\ &quot;€&quot;"/>
    <numFmt numFmtId="165" formatCode="00000"/>
    <numFmt numFmtId="167" formatCode="dd/mm/"/>
    <numFmt numFmtId="168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25">
    <xf numFmtId="0" fontId="0" fillId="0" borderId="0" xfId="0"/>
    <xf numFmtId="0" fontId="2" fillId="0" borderId="1" xfId="2" applyFont="1" applyBorder="1" applyAlignment="1">
      <alignment horizontal="left" vertical="center"/>
    </xf>
    <xf numFmtId="0" fontId="2" fillId="0" borderId="1" xfId="2" applyFont="1" applyBorder="1" applyAlignment="1">
      <alignment vertical="center"/>
    </xf>
    <xf numFmtId="1" fontId="2" fillId="0" borderId="1" xfId="2" applyNumberFormat="1" applyFont="1" applyBorder="1" applyAlignment="1">
      <alignment vertical="center"/>
    </xf>
    <xf numFmtId="165" fontId="2" fillId="0" borderId="1" xfId="2" applyNumberFormat="1" applyFont="1" applyBorder="1" applyAlignment="1">
      <alignment horizontal="center" vertical="center"/>
    </xf>
    <xf numFmtId="168" fontId="2" fillId="0" borderId="1" xfId="2" applyNumberFormat="1" applyFont="1" applyBorder="1" applyAlignment="1">
      <alignment vertical="center"/>
    </xf>
    <xf numFmtId="0" fontId="5" fillId="0" borderId="0" xfId="0" applyFont="1"/>
    <xf numFmtId="0" fontId="4" fillId="0" borderId="0" xfId="0" applyFont="1" applyFill="1" applyBorder="1" applyAlignment="1">
      <alignment horizontal="center"/>
    </xf>
    <xf numFmtId="0" fontId="5" fillId="0" borderId="0" xfId="0" applyFont="1" applyFill="1"/>
    <xf numFmtId="0" fontId="5" fillId="0" borderId="1" xfId="0" applyFont="1" applyBorder="1" applyAlignment="1">
      <alignment horizontal="left"/>
    </xf>
    <xf numFmtId="0" fontId="5" fillId="0" borderId="1" xfId="0" applyFont="1" applyBorder="1"/>
    <xf numFmtId="164" fontId="5" fillId="0" borderId="1" xfId="1" applyNumberFormat="1" applyFont="1" applyBorder="1"/>
    <xf numFmtId="167" fontId="5" fillId="0" borderId="1" xfId="1" applyNumberFormat="1" applyFont="1" applyBorder="1"/>
    <xf numFmtId="0" fontId="5" fillId="0" borderId="2" xfId="0" applyFont="1" applyBorder="1" applyAlignment="1">
      <alignment horizontal="left"/>
    </xf>
    <xf numFmtId="167" fontId="5" fillId="0" borderId="1" xfId="0" applyNumberFormat="1" applyFont="1" applyBorder="1"/>
    <xf numFmtId="44" fontId="5" fillId="0" borderId="3" xfId="1" applyFont="1" applyFill="1" applyBorder="1"/>
    <xf numFmtId="0" fontId="5" fillId="0" borderId="0" xfId="0" applyFont="1" applyFill="1" applyBorder="1"/>
    <xf numFmtId="0" fontId="4" fillId="2" borderId="0" xfId="0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left" vertical="center"/>
    </xf>
    <xf numFmtId="0" fontId="3" fillId="2" borderId="1" xfId="2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</cellXfs>
  <cellStyles count="3">
    <cellStyle name="Standard" xfId="0" builtinId="0"/>
    <cellStyle name="Standard 2" xfId="2" xr:uid="{00000000-0005-0000-0000-000001000000}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68"/>
  <sheetViews>
    <sheetView tabSelected="1" zoomScaleNormal="100" workbookViewId="0">
      <selection activeCell="A4" sqref="A4"/>
    </sheetView>
  </sheetViews>
  <sheetFormatPr baseColWidth="10" defaultColWidth="11.42578125" defaultRowHeight="12.75" x14ac:dyDescent="0.2"/>
  <cols>
    <col min="1" max="1" width="11.42578125" style="6"/>
    <col min="2" max="2" width="18.28515625" style="6" bestFit="1" customWidth="1"/>
    <col min="3" max="3" width="11.42578125" style="6"/>
    <col min="4" max="4" width="7.140625" style="6" bestFit="1" customWidth="1"/>
    <col min="5" max="6" width="11.42578125" style="6"/>
    <col min="7" max="7" width="31.140625" style="6" bestFit="1" customWidth="1"/>
    <col min="8" max="10" width="11.42578125" style="6"/>
    <col min="11" max="11" width="14.28515625" style="6" bestFit="1" customWidth="1"/>
    <col min="12" max="16384" width="11.42578125" style="6"/>
  </cols>
  <sheetData>
    <row r="1" spans="1:11" ht="24" customHeight="1" x14ac:dyDescent="0.2">
      <c r="A1" s="23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</row>
    <row r="3" spans="1:11" ht="25.5" x14ac:dyDescent="0.2">
      <c r="A3" s="20" t="s">
        <v>1</v>
      </c>
      <c r="B3" s="21" t="s">
        <v>2</v>
      </c>
      <c r="C3" s="21" t="s">
        <v>3</v>
      </c>
      <c r="D3" s="21" t="s">
        <v>4</v>
      </c>
      <c r="E3" s="21" t="s">
        <v>5</v>
      </c>
      <c r="F3" s="21" t="s">
        <v>6</v>
      </c>
      <c r="G3" s="21" t="s">
        <v>7</v>
      </c>
      <c r="H3" s="21" t="s">
        <v>8</v>
      </c>
      <c r="I3" s="24" t="s">
        <v>9</v>
      </c>
      <c r="J3" s="24" t="s">
        <v>10</v>
      </c>
      <c r="K3" s="21" t="s">
        <v>11</v>
      </c>
    </row>
    <row r="4" spans="1:11" x14ac:dyDescent="0.2">
      <c r="A4" s="1">
        <v>2401</v>
      </c>
      <c r="B4" s="10"/>
      <c r="C4" s="10"/>
      <c r="D4" s="12">
        <f>DATE(,1,5)</f>
        <v>5</v>
      </c>
      <c r="E4" s="10"/>
      <c r="F4" s="13">
        <v>202114</v>
      </c>
      <c r="G4" s="10"/>
      <c r="H4" s="10">
        <v>14</v>
      </c>
      <c r="I4" s="10"/>
      <c r="J4" s="10"/>
      <c r="K4" s="10"/>
    </row>
    <row r="5" spans="1:11" x14ac:dyDescent="0.2">
      <c r="A5" s="1">
        <v>2406</v>
      </c>
      <c r="B5" s="10"/>
      <c r="C5" s="10"/>
      <c r="D5" s="12">
        <f>DATE(,1,7)</f>
        <v>7</v>
      </c>
      <c r="E5" s="10"/>
      <c r="F5" s="13">
        <v>101111</v>
      </c>
      <c r="G5" s="10"/>
      <c r="H5" s="10">
        <v>35</v>
      </c>
      <c r="I5" s="10"/>
      <c r="J5" s="10"/>
      <c r="K5" s="10"/>
    </row>
    <row r="6" spans="1:11" x14ac:dyDescent="0.2">
      <c r="A6" s="1">
        <v>2408</v>
      </c>
      <c r="B6" s="10"/>
      <c r="C6" s="10"/>
      <c r="D6" s="12">
        <f>DATE(,1,12)</f>
        <v>12</v>
      </c>
      <c r="E6" s="10"/>
      <c r="F6" s="13">
        <v>401589</v>
      </c>
      <c r="G6" s="10"/>
      <c r="H6" s="10">
        <v>14</v>
      </c>
      <c r="I6" s="10"/>
      <c r="J6" s="10"/>
      <c r="K6" s="10"/>
    </row>
    <row r="7" spans="1:11" x14ac:dyDescent="0.2">
      <c r="A7" s="1">
        <v>2402</v>
      </c>
      <c r="B7" s="10"/>
      <c r="C7" s="10"/>
      <c r="D7" s="12">
        <f>DATE(,1,12)</f>
        <v>12</v>
      </c>
      <c r="E7" s="10"/>
      <c r="F7" s="13">
        <v>202112</v>
      </c>
      <c r="G7" s="10"/>
      <c r="H7" s="10">
        <v>41</v>
      </c>
      <c r="I7" s="10"/>
      <c r="J7" s="10"/>
      <c r="K7" s="10"/>
    </row>
    <row r="8" spans="1:11" x14ac:dyDescent="0.2">
      <c r="A8" s="1">
        <v>2405</v>
      </c>
      <c r="B8" s="10"/>
      <c r="C8" s="10"/>
      <c r="D8" s="12">
        <f>DATE(,1,15)</f>
        <v>15</v>
      </c>
      <c r="E8" s="10"/>
      <c r="F8" s="13">
        <v>202113</v>
      </c>
      <c r="G8" s="10"/>
      <c r="H8" s="10">
        <v>26</v>
      </c>
      <c r="I8" s="10"/>
      <c r="J8" s="10"/>
      <c r="K8" s="10"/>
    </row>
    <row r="9" spans="1:11" x14ac:dyDescent="0.2">
      <c r="A9" s="1">
        <v>2407</v>
      </c>
      <c r="B9" s="10"/>
      <c r="C9" s="10"/>
      <c r="D9" s="12">
        <f>DATE(,1,17)</f>
        <v>17</v>
      </c>
      <c r="E9" s="10"/>
      <c r="F9" s="13">
        <v>101112</v>
      </c>
      <c r="G9" s="10"/>
      <c r="H9" s="10">
        <v>23</v>
      </c>
      <c r="I9" s="10"/>
      <c r="J9" s="10"/>
      <c r="K9" s="10"/>
    </row>
    <row r="10" spans="1:11" x14ac:dyDescent="0.2">
      <c r="A10" s="1">
        <v>2401</v>
      </c>
      <c r="B10" s="10"/>
      <c r="C10" s="10"/>
      <c r="D10" s="12">
        <f>DATE(,1,18)</f>
        <v>18</v>
      </c>
      <c r="E10" s="10"/>
      <c r="F10" s="13">
        <v>202112</v>
      </c>
      <c r="G10" s="10"/>
      <c r="H10" s="10">
        <v>16</v>
      </c>
      <c r="I10" s="10"/>
      <c r="J10" s="10"/>
      <c r="K10" s="10"/>
    </row>
    <row r="11" spans="1:11" x14ac:dyDescent="0.2">
      <c r="A11" s="1">
        <v>2404</v>
      </c>
      <c r="B11" s="10"/>
      <c r="C11" s="10"/>
      <c r="D11" s="12">
        <f>DATE(,1,18)</f>
        <v>18</v>
      </c>
      <c r="E11" s="10"/>
      <c r="F11" s="13">
        <v>101115</v>
      </c>
      <c r="G11" s="10"/>
      <c r="H11" s="10">
        <v>31</v>
      </c>
      <c r="I11" s="10"/>
      <c r="J11" s="10"/>
      <c r="K11" s="10"/>
    </row>
    <row r="12" spans="1:11" x14ac:dyDescent="0.2">
      <c r="A12" s="1">
        <v>2402</v>
      </c>
      <c r="B12" s="10"/>
      <c r="C12" s="10"/>
      <c r="D12" s="12">
        <f>DATE(,1,24)</f>
        <v>24</v>
      </c>
      <c r="E12" s="10"/>
      <c r="F12" s="13">
        <v>202115</v>
      </c>
      <c r="G12" s="10"/>
      <c r="H12" s="10">
        <v>16</v>
      </c>
      <c r="I12" s="10"/>
      <c r="J12" s="10"/>
      <c r="K12" s="10"/>
    </row>
    <row r="13" spans="1:11" x14ac:dyDescent="0.2">
      <c r="A13" s="1">
        <v>2408</v>
      </c>
      <c r="B13" s="10"/>
      <c r="C13" s="10"/>
      <c r="D13" s="12">
        <f>DATE(,1,26)</f>
        <v>26</v>
      </c>
      <c r="E13" s="10"/>
      <c r="F13" s="13">
        <v>101113</v>
      </c>
      <c r="G13" s="10"/>
      <c r="H13" s="10">
        <v>48</v>
      </c>
      <c r="I13" s="10"/>
      <c r="J13" s="10"/>
      <c r="K13" s="10"/>
    </row>
    <row r="14" spans="1:11" x14ac:dyDescent="0.2">
      <c r="A14" s="1">
        <v>2401</v>
      </c>
      <c r="B14" s="10"/>
      <c r="C14" s="10"/>
      <c r="D14" s="12">
        <f>DATE(,1,30)</f>
        <v>30</v>
      </c>
      <c r="E14" s="10"/>
      <c r="F14" s="13">
        <v>202114</v>
      </c>
      <c r="G14" s="10"/>
      <c r="H14" s="10">
        <v>36</v>
      </c>
      <c r="I14" s="10"/>
      <c r="J14" s="10"/>
      <c r="K14" s="10"/>
    </row>
    <row r="15" spans="1:11" x14ac:dyDescent="0.2">
      <c r="A15" s="1">
        <v>2405</v>
      </c>
      <c r="B15" s="10"/>
      <c r="C15" s="10"/>
      <c r="D15" s="12">
        <f>DATE(,1,30)</f>
        <v>30</v>
      </c>
      <c r="E15" s="10"/>
      <c r="F15" s="13">
        <v>101114</v>
      </c>
      <c r="G15" s="10"/>
      <c r="H15" s="10">
        <v>56</v>
      </c>
      <c r="I15" s="10"/>
      <c r="J15" s="10"/>
      <c r="K15" s="10"/>
    </row>
    <row r="16" spans="1:11" x14ac:dyDescent="0.2">
      <c r="A16" s="1">
        <v>2406</v>
      </c>
      <c r="B16" s="10"/>
      <c r="C16" s="10"/>
      <c r="D16" s="12">
        <f>DATE(,2,2)</f>
        <v>33</v>
      </c>
      <c r="E16" s="10"/>
      <c r="F16" s="13">
        <v>202111</v>
      </c>
      <c r="G16" s="10"/>
      <c r="H16" s="10">
        <v>41</v>
      </c>
      <c r="I16" s="10"/>
      <c r="J16" s="10"/>
      <c r="K16" s="10"/>
    </row>
    <row r="17" spans="1:11" x14ac:dyDescent="0.2">
      <c r="A17" s="1">
        <v>2403</v>
      </c>
      <c r="B17" s="10"/>
      <c r="C17" s="10"/>
      <c r="D17" s="12">
        <f>DATE(,2,2)</f>
        <v>33</v>
      </c>
      <c r="E17" s="10"/>
      <c r="F17" s="13">
        <v>202115</v>
      </c>
      <c r="G17" s="10"/>
      <c r="H17" s="10">
        <v>24</v>
      </c>
      <c r="I17" s="10"/>
      <c r="J17" s="10"/>
      <c r="K17" s="10"/>
    </row>
    <row r="18" spans="1:11" x14ac:dyDescent="0.2">
      <c r="A18" s="1">
        <v>2408</v>
      </c>
      <c r="B18" s="10"/>
      <c r="C18" s="10"/>
      <c r="D18" s="12">
        <f>DATE(,2,5)</f>
        <v>36</v>
      </c>
      <c r="E18" s="10"/>
      <c r="F18" s="13">
        <v>401589</v>
      </c>
      <c r="G18" s="10"/>
      <c r="H18" s="10">
        <v>11</v>
      </c>
      <c r="I18" s="10"/>
      <c r="J18" s="10"/>
      <c r="K18" s="10"/>
    </row>
    <row r="19" spans="1:11" x14ac:dyDescent="0.2">
      <c r="A19" s="1">
        <v>2408</v>
      </c>
      <c r="B19" s="10"/>
      <c r="C19" s="10"/>
      <c r="D19" s="12">
        <f>DATE(,2,6)</f>
        <v>37</v>
      </c>
      <c r="E19" s="10"/>
      <c r="F19" s="13">
        <v>101111</v>
      </c>
      <c r="G19" s="10"/>
      <c r="H19" s="10">
        <v>16</v>
      </c>
      <c r="I19" s="10"/>
      <c r="J19" s="10"/>
      <c r="K19" s="10"/>
    </row>
    <row r="20" spans="1:11" x14ac:dyDescent="0.2">
      <c r="A20" s="1">
        <v>2405</v>
      </c>
      <c r="B20" s="10"/>
      <c r="C20" s="10"/>
      <c r="D20" s="12">
        <f>DATE(,2,8)</f>
        <v>39</v>
      </c>
      <c r="E20" s="10"/>
      <c r="F20" s="13">
        <v>401589</v>
      </c>
      <c r="G20" s="10"/>
      <c r="H20" s="10">
        <v>27</v>
      </c>
      <c r="I20" s="10"/>
      <c r="J20" s="10"/>
      <c r="K20" s="10"/>
    </row>
    <row r="21" spans="1:11" x14ac:dyDescent="0.2">
      <c r="A21" s="1">
        <v>2406</v>
      </c>
      <c r="B21" s="10"/>
      <c r="C21" s="10"/>
      <c r="D21" s="12">
        <f>DATE(,2,12)</f>
        <v>43</v>
      </c>
      <c r="E21" s="10"/>
      <c r="F21" s="13">
        <v>202112</v>
      </c>
      <c r="G21" s="10"/>
      <c r="H21" s="10">
        <v>26</v>
      </c>
      <c r="I21" s="10"/>
      <c r="J21" s="10"/>
      <c r="K21" s="10"/>
    </row>
    <row r="22" spans="1:11" x14ac:dyDescent="0.2">
      <c r="A22" s="1">
        <v>2402</v>
      </c>
      <c r="B22" s="10"/>
      <c r="C22" s="10"/>
      <c r="D22" s="12">
        <f>DATE(,2,12)</f>
        <v>43</v>
      </c>
      <c r="E22" s="10"/>
      <c r="F22" s="13">
        <v>202111</v>
      </c>
      <c r="G22" s="10"/>
      <c r="H22" s="10">
        <v>31</v>
      </c>
      <c r="I22" s="10"/>
      <c r="J22" s="10"/>
      <c r="K22" s="10"/>
    </row>
    <row r="23" spans="1:11" x14ac:dyDescent="0.2">
      <c r="A23" s="1">
        <v>2401</v>
      </c>
      <c r="B23" s="10"/>
      <c r="C23" s="10"/>
      <c r="D23" s="12">
        <f>DATE(,2,16)</f>
        <v>47</v>
      </c>
      <c r="E23" s="10"/>
      <c r="F23" s="13">
        <v>101113</v>
      </c>
      <c r="G23" s="10"/>
      <c r="H23" s="10">
        <v>46</v>
      </c>
      <c r="I23" s="10"/>
      <c r="J23" s="10"/>
      <c r="K23" s="10"/>
    </row>
    <row r="24" spans="1:11" x14ac:dyDescent="0.2">
      <c r="A24" s="1">
        <v>2405</v>
      </c>
      <c r="B24" s="10"/>
      <c r="C24" s="10"/>
      <c r="D24" s="12">
        <f>DATE(,2,19)</f>
        <v>50</v>
      </c>
      <c r="E24" s="10"/>
      <c r="F24" s="13">
        <v>202114</v>
      </c>
      <c r="G24" s="10"/>
      <c r="H24" s="10">
        <v>25</v>
      </c>
      <c r="I24" s="10"/>
      <c r="J24" s="10"/>
      <c r="K24" s="10"/>
    </row>
    <row r="25" spans="1:11" x14ac:dyDescent="0.2">
      <c r="A25" s="1">
        <v>2403</v>
      </c>
      <c r="B25" s="10"/>
      <c r="C25" s="10"/>
      <c r="D25" s="12">
        <f>DATE(,2,21)</f>
        <v>52</v>
      </c>
      <c r="E25" s="10"/>
      <c r="F25" s="13">
        <v>101112</v>
      </c>
      <c r="G25" s="10"/>
      <c r="H25" s="10">
        <v>14</v>
      </c>
      <c r="I25" s="10"/>
      <c r="J25" s="10"/>
      <c r="K25" s="10"/>
    </row>
    <row r="26" spans="1:11" x14ac:dyDescent="0.2">
      <c r="A26" s="1">
        <v>2407</v>
      </c>
      <c r="B26" s="10"/>
      <c r="C26" s="10"/>
      <c r="D26" s="12">
        <f>DATE(,2,24)</f>
        <v>55</v>
      </c>
      <c r="E26" s="10"/>
      <c r="F26" s="13">
        <v>202112</v>
      </c>
      <c r="G26" s="10"/>
      <c r="H26" s="10">
        <v>12</v>
      </c>
      <c r="I26" s="10"/>
      <c r="J26" s="10"/>
      <c r="K26" s="10"/>
    </row>
    <row r="27" spans="1:11" x14ac:dyDescent="0.2">
      <c r="A27" s="1">
        <v>2408</v>
      </c>
      <c r="B27" s="10"/>
      <c r="C27" s="10"/>
      <c r="D27" s="12">
        <f>DATE(,2,27)</f>
        <v>58</v>
      </c>
      <c r="E27" s="10"/>
      <c r="F27" s="13">
        <v>202111</v>
      </c>
      <c r="G27" s="10"/>
      <c r="H27" s="10">
        <v>17</v>
      </c>
      <c r="I27" s="10"/>
      <c r="J27" s="10"/>
      <c r="K27" s="10"/>
    </row>
    <row r="28" spans="1:11" x14ac:dyDescent="0.2">
      <c r="A28" s="1">
        <v>2406</v>
      </c>
      <c r="B28" s="10"/>
      <c r="C28" s="10"/>
      <c r="D28" s="12">
        <f>DATE(,2,27)</f>
        <v>58</v>
      </c>
      <c r="E28" s="10"/>
      <c r="F28" s="13">
        <v>101111</v>
      </c>
      <c r="G28" s="10"/>
      <c r="H28" s="10">
        <v>13</v>
      </c>
      <c r="I28" s="10"/>
      <c r="J28" s="10"/>
      <c r="K28" s="10"/>
    </row>
    <row r="29" spans="1:11" x14ac:dyDescent="0.2">
      <c r="A29" s="1">
        <v>2404</v>
      </c>
      <c r="B29" s="10"/>
      <c r="C29" s="10"/>
      <c r="D29" s="12">
        <f>DATE(,3,2)</f>
        <v>62</v>
      </c>
      <c r="E29" s="10"/>
      <c r="F29" s="13">
        <v>202115</v>
      </c>
      <c r="G29" s="10"/>
      <c r="H29" s="10">
        <v>17</v>
      </c>
      <c r="I29" s="10"/>
      <c r="J29" s="10"/>
      <c r="K29" s="10"/>
    </row>
    <row r="30" spans="1:11" x14ac:dyDescent="0.2">
      <c r="A30" s="1">
        <v>2401</v>
      </c>
      <c r="B30" s="10"/>
      <c r="C30" s="10"/>
      <c r="D30" s="12">
        <f>DATE(,3,7)</f>
        <v>67</v>
      </c>
      <c r="E30" s="10"/>
      <c r="F30" s="13">
        <v>101111</v>
      </c>
      <c r="G30" s="10"/>
      <c r="H30" s="10">
        <v>21</v>
      </c>
      <c r="I30" s="10"/>
      <c r="J30" s="10"/>
      <c r="K30" s="10"/>
    </row>
    <row r="31" spans="1:11" x14ac:dyDescent="0.2">
      <c r="A31" s="1">
        <v>2405</v>
      </c>
      <c r="B31" s="10"/>
      <c r="C31" s="10"/>
      <c r="D31" s="12">
        <f t="shared" ref="D31" si="0">DATE(,3,10)</f>
        <v>70</v>
      </c>
      <c r="E31" s="10"/>
      <c r="F31" s="13">
        <v>101112</v>
      </c>
      <c r="G31" s="10"/>
      <c r="H31" s="10">
        <v>56</v>
      </c>
      <c r="I31" s="10"/>
      <c r="J31" s="10"/>
      <c r="K31" s="10"/>
    </row>
    <row r="32" spans="1:11" x14ac:dyDescent="0.2">
      <c r="A32" s="1">
        <v>2405</v>
      </c>
      <c r="B32" s="10"/>
      <c r="C32" s="10"/>
      <c r="D32" s="12">
        <f>DATE(,3,10)</f>
        <v>70</v>
      </c>
      <c r="E32" s="10"/>
      <c r="F32" s="13">
        <v>401589</v>
      </c>
      <c r="G32" s="10"/>
      <c r="H32" s="10">
        <v>14</v>
      </c>
      <c r="I32" s="10"/>
      <c r="J32" s="10"/>
      <c r="K32" s="10"/>
    </row>
    <row r="33" spans="1:11" x14ac:dyDescent="0.2">
      <c r="A33" s="1">
        <v>2401</v>
      </c>
      <c r="B33" s="10"/>
      <c r="C33" s="10"/>
      <c r="D33" s="12">
        <f>DATE(,3,15)</f>
        <v>75</v>
      </c>
      <c r="E33" s="10"/>
      <c r="F33" s="13">
        <v>202113</v>
      </c>
      <c r="G33" s="10"/>
      <c r="H33" s="10">
        <v>17</v>
      </c>
      <c r="I33" s="10"/>
      <c r="J33" s="10"/>
      <c r="K33" s="10"/>
    </row>
    <row r="34" spans="1:11" x14ac:dyDescent="0.2">
      <c r="A34" s="1">
        <v>2403</v>
      </c>
      <c r="B34" s="10"/>
      <c r="C34" s="10"/>
      <c r="D34" s="12">
        <f>DATE(,3,19)</f>
        <v>79</v>
      </c>
      <c r="E34" s="10"/>
      <c r="F34" s="13">
        <v>101114</v>
      </c>
      <c r="G34" s="10"/>
      <c r="H34" s="10">
        <v>24</v>
      </c>
      <c r="I34" s="10"/>
      <c r="J34" s="10"/>
      <c r="K34" s="10"/>
    </row>
    <row r="35" spans="1:11" x14ac:dyDescent="0.2">
      <c r="A35" s="1">
        <v>2408</v>
      </c>
      <c r="B35" s="10"/>
      <c r="C35" s="10"/>
      <c r="D35" s="12">
        <f>DATE(,3,21)</f>
        <v>81</v>
      </c>
      <c r="E35" s="10"/>
      <c r="F35" s="13">
        <v>202111</v>
      </c>
      <c r="G35" s="10"/>
      <c r="H35" s="10">
        <v>38</v>
      </c>
      <c r="I35" s="10"/>
      <c r="J35" s="10"/>
      <c r="K35" s="10"/>
    </row>
    <row r="36" spans="1:11" x14ac:dyDescent="0.2">
      <c r="A36" s="1">
        <v>2402</v>
      </c>
      <c r="B36" s="10"/>
      <c r="C36" s="10"/>
      <c r="D36" s="12">
        <f>DATE(,3,24)</f>
        <v>84</v>
      </c>
      <c r="E36" s="10"/>
      <c r="F36" s="13">
        <v>101115</v>
      </c>
      <c r="G36" s="10"/>
      <c r="H36" s="10">
        <v>16</v>
      </c>
      <c r="I36" s="10"/>
      <c r="J36" s="10"/>
      <c r="K36" s="10"/>
    </row>
    <row r="37" spans="1:11" x14ac:dyDescent="0.2">
      <c r="A37" s="1">
        <v>2405</v>
      </c>
      <c r="B37" s="10"/>
      <c r="C37" s="10"/>
      <c r="D37" s="12">
        <f>DATE(,3,26)</f>
        <v>86</v>
      </c>
      <c r="E37" s="10"/>
      <c r="F37" s="13">
        <v>202114</v>
      </c>
      <c r="G37" s="10"/>
      <c r="H37" s="10">
        <v>18</v>
      </c>
      <c r="I37" s="10"/>
      <c r="J37" s="10"/>
      <c r="K37" s="10"/>
    </row>
    <row r="38" spans="1:11" x14ac:dyDescent="0.2">
      <c r="A38" s="1">
        <v>2407</v>
      </c>
      <c r="B38" s="10"/>
      <c r="C38" s="10"/>
      <c r="D38" s="12">
        <f>DATE(,3,29)</f>
        <v>89</v>
      </c>
      <c r="E38" s="10"/>
      <c r="F38" s="13">
        <v>101111</v>
      </c>
      <c r="G38" s="10"/>
      <c r="H38" s="10">
        <v>24</v>
      </c>
      <c r="I38" s="10"/>
      <c r="J38" s="10"/>
      <c r="K38" s="10"/>
    </row>
    <row r="39" spans="1:11" x14ac:dyDescent="0.2">
      <c r="A39" s="1">
        <v>2406</v>
      </c>
      <c r="B39" s="10"/>
      <c r="C39" s="10"/>
      <c r="D39" s="12">
        <f>DATE(,4,3)</f>
        <v>94</v>
      </c>
      <c r="E39" s="10"/>
      <c r="F39" s="13">
        <v>101112</v>
      </c>
      <c r="G39" s="10"/>
      <c r="H39" s="10">
        <v>12</v>
      </c>
      <c r="I39" s="10"/>
      <c r="J39" s="10"/>
      <c r="K39" s="10"/>
    </row>
    <row r="40" spans="1:11" x14ac:dyDescent="0.2">
      <c r="A40" s="1">
        <v>2408</v>
      </c>
      <c r="B40" s="10"/>
      <c r="C40" s="10"/>
      <c r="D40" s="12">
        <f>DATE(,4,4)</f>
        <v>95</v>
      </c>
      <c r="E40" s="10"/>
      <c r="F40" s="13">
        <v>101111</v>
      </c>
      <c r="G40" s="10"/>
      <c r="H40" s="10">
        <v>9</v>
      </c>
      <c r="I40" s="10"/>
      <c r="J40" s="10"/>
      <c r="K40" s="10"/>
    </row>
    <row r="41" spans="1:11" x14ac:dyDescent="0.2">
      <c r="A41" s="1">
        <v>2404</v>
      </c>
      <c r="B41" s="10"/>
      <c r="C41" s="10"/>
      <c r="D41" s="12">
        <f>DATE(,4,8)</f>
        <v>99</v>
      </c>
      <c r="E41" s="10"/>
      <c r="F41" s="13">
        <v>202111</v>
      </c>
      <c r="G41" s="10"/>
      <c r="H41" s="10">
        <v>16</v>
      </c>
      <c r="I41" s="10"/>
      <c r="J41" s="10"/>
      <c r="K41" s="10"/>
    </row>
    <row r="42" spans="1:11" x14ac:dyDescent="0.2">
      <c r="A42" s="1">
        <v>2402</v>
      </c>
      <c r="B42" s="10"/>
      <c r="C42" s="10"/>
      <c r="D42" s="12">
        <f>DATE(,4,9)</f>
        <v>100</v>
      </c>
      <c r="E42" s="10"/>
      <c r="F42" s="13">
        <v>101111</v>
      </c>
      <c r="G42" s="10"/>
      <c r="H42" s="10">
        <v>17</v>
      </c>
      <c r="I42" s="10"/>
      <c r="J42" s="10"/>
      <c r="K42" s="10"/>
    </row>
    <row r="43" spans="1:11" x14ac:dyDescent="0.2">
      <c r="A43" s="1">
        <v>2408</v>
      </c>
      <c r="B43" s="10"/>
      <c r="C43" s="10"/>
      <c r="D43" s="12">
        <f>DATE(,4,9)</f>
        <v>100</v>
      </c>
      <c r="E43" s="10"/>
      <c r="F43" s="13">
        <v>202112</v>
      </c>
      <c r="G43" s="10"/>
      <c r="H43" s="10">
        <v>31</v>
      </c>
      <c r="I43" s="10"/>
      <c r="J43" s="10"/>
      <c r="K43" s="10"/>
    </row>
    <row r="44" spans="1:11" x14ac:dyDescent="0.2">
      <c r="A44" s="1">
        <v>2406</v>
      </c>
      <c r="B44" s="10"/>
      <c r="C44" s="10"/>
      <c r="D44" s="12">
        <f>DATE(,4,13)</f>
        <v>104</v>
      </c>
      <c r="E44" s="10"/>
      <c r="F44" s="13">
        <v>202115</v>
      </c>
      <c r="G44" s="10"/>
      <c r="H44" s="10">
        <v>9</v>
      </c>
      <c r="I44" s="10"/>
      <c r="J44" s="10"/>
      <c r="K44" s="10"/>
    </row>
    <row r="45" spans="1:11" x14ac:dyDescent="0.2">
      <c r="A45" s="1">
        <v>2405</v>
      </c>
      <c r="B45" s="10"/>
      <c r="C45" s="10"/>
      <c r="D45" s="12">
        <f>DATE(,4,16)</f>
        <v>107</v>
      </c>
      <c r="E45" s="10"/>
      <c r="F45" s="13">
        <v>101114</v>
      </c>
      <c r="G45" s="10"/>
      <c r="H45" s="10">
        <v>17</v>
      </c>
      <c r="I45" s="10"/>
      <c r="J45" s="10"/>
      <c r="K45" s="10"/>
    </row>
    <row r="46" spans="1:11" x14ac:dyDescent="0.2">
      <c r="A46" s="1">
        <v>2402</v>
      </c>
      <c r="B46" s="10"/>
      <c r="C46" s="10"/>
      <c r="D46" s="12">
        <f>DATE(,4,18)</f>
        <v>109</v>
      </c>
      <c r="E46" s="10"/>
      <c r="F46" s="9">
        <v>202113</v>
      </c>
      <c r="G46" s="10"/>
      <c r="H46" s="10">
        <v>23</v>
      </c>
      <c r="I46" s="10"/>
      <c r="J46" s="10"/>
      <c r="K46" s="10"/>
    </row>
    <row r="47" spans="1:11" x14ac:dyDescent="0.2">
      <c r="A47" s="1">
        <v>2401</v>
      </c>
      <c r="B47" s="10"/>
      <c r="C47" s="10"/>
      <c r="D47" s="12">
        <f>DATE(,4,21)</f>
        <v>112</v>
      </c>
      <c r="E47" s="10"/>
      <c r="F47" s="13">
        <v>101112</v>
      </c>
      <c r="G47" s="10"/>
      <c r="H47" s="10">
        <v>16</v>
      </c>
      <c r="I47" s="10"/>
      <c r="J47" s="10"/>
      <c r="K47" s="10"/>
    </row>
    <row r="48" spans="1:11" x14ac:dyDescent="0.2">
      <c r="A48" s="1">
        <v>2403</v>
      </c>
      <c r="B48" s="10"/>
      <c r="C48" s="10"/>
      <c r="D48" s="12">
        <f>DATE(,4,23)</f>
        <v>114</v>
      </c>
      <c r="E48" s="10"/>
      <c r="F48" s="13">
        <v>101113</v>
      </c>
      <c r="G48" s="10"/>
      <c r="H48" s="10">
        <v>13</v>
      </c>
      <c r="I48" s="10"/>
      <c r="J48" s="10"/>
      <c r="K48" s="10"/>
    </row>
    <row r="49" spans="1:11" x14ac:dyDescent="0.2">
      <c r="A49" s="1">
        <v>2407</v>
      </c>
      <c r="B49" s="10"/>
      <c r="C49" s="10"/>
      <c r="D49" s="12">
        <f>DATE(,4,27)</f>
        <v>118</v>
      </c>
      <c r="E49" s="10"/>
      <c r="F49" s="13">
        <v>202112</v>
      </c>
      <c r="G49" s="10"/>
      <c r="H49" s="10">
        <v>19</v>
      </c>
      <c r="I49" s="10"/>
      <c r="J49" s="10"/>
      <c r="K49" s="10"/>
    </row>
    <row r="50" spans="1:11" x14ac:dyDescent="0.2">
      <c r="A50" s="1">
        <v>2408</v>
      </c>
      <c r="B50" s="10"/>
      <c r="C50" s="10"/>
      <c r="D50" s="12">
        <f>DATE(,4,30)</f>
        <v>121</v>
      </c>
      <c r="E50" s="10"/>
      <c r="F50" s="13">
        <v>101115</v>
      </c>
      <c r="G50" s="10"/>
      <c r="H50" s="10">
        <v>17</v>
      </c>
      <c r="I50" s="10"/>
      <c r="J50" s="10"/>
      <c r="K50" s="10"/>
    </row>
    <row r="51" spans="1:11" x14ac:dyDescent="0.2">
      <c r="A51" s="1">
        <v>2405</v>
      </c>
      <c r="B51" s="10"/>
      <c r="C51" s="10"/>
      <c r="D51" s="12">
        <f>DATE(,5,4)</f>
        <v>125</v>
      </c>
      <c r="E51" s="10"/>
      <c r="F51" s="13">
        <v>202111</v>
      </c>
      <c r="G51" s="10"/>
      <c r="H51" s="10">
        <v>12</v>
      </c>
      <c r="I51" s="10"/>
      <c r="J51" s="10"/>
      <c r="K51" s="10"/>
    </row>
    <row r="52" spans="1:11" x14ac:dyDescent="0.2">
      <c r="A52" s="1">
        <v>2408</v>
      </c>
      <c r="B52" s="10"/>
      <c r="C52" s="10"/>
      <c r="D52" s="12">
        <f>DATE(,5,7)</f>
        <v>128</v>
      </c>
      <c r="E52" s="10"/>
      <c r="F52" s="9">
        <v>401589</v>
      </c>
      <c r="G52" s="10"/>
      <c r="H52" s="10">
        <v>7</v>
      </c>
      <c r="I52" s="10"/>
      <c r="J52" s="10"/>
      <c r="K52" s="10"/>
    </row>
    <row r="53" spans="1:11" x14ac:dyDescent="0.2">
      <c r="A53" s="1">
        <v>2406</v>
      </c>
      <c r="B53" s="10"/>
      <c r="C53" s="10"/>
      <c r="D53" s="12">
        <f>DATE(,5,8)</f>
        <v>129</v>
      </c>
      <c r="E53" s="10"/>
      <c r="F53" s="13">
        <v>202114</v>
      </c>
      <c r="G53" s="10"/>
      <c r="H53" s="10">
        <v>54</v>
      </c>
      <c r="I53" s="10"/>
      <c r="J53" s="10"/>
      <c r="K53" s="10"/>
    </row>
    <row r="54" spans="1:11" x14ac:dyDescent="0.2">
      <c r="A54" s="1">
        <v>2402</v>
      </c>
      <c r="B54" s="10"/>
      <c r="C54" s="10"/>
      <c r="D54" s="12">
        <f>DATE(,5,10)</f>
        <v>131</v>
      </c>
      <c r="E54" s="10"/>
      <c r="F54" s="13">
        <v>101111</v>
      </c>
      <c r="G54" s="10"/>
      <c r="H54" s="10">
        <v>17</v>
      </c>
      <c r="I54" s="10"/>
      <c r="J54" s="10"/>
      <c r="K54" s="10"/>
    </row>
    <row r="55" spans="1:11" x14ac:dyDescent="0.2">
      <c r="A55" s="1">
        <v>2401</v>
      </c>
      <c r="B55" s="10"/>
      <c r="C55" s="10"/>
      <c r="D55" s="12">
        <f>DATE(,5,14)</f>
        <v>135</v>
      </c>
      <c r="E55" s="10"/>
      <c r="F55" s="13">
        <v>202113</v>
      </c>
      <c r="G55" s="10"/>
      <c r="H55" s="10">
        <v>13</v>
      </c>
      <c r="I55" s="10"/>
      <c r="J55" s="10"/>
      <c r="K55" s="10"/>
    </row>
    <row r="56" spans="1:11" x14ac:dyDescent="0.2">
      <c r="A56" s="1">
        <v>2405</v>
      </c>
      <c r="B56" s="10"/>
      <c r="C56" s="10"/>
      <c r="D56" s="12">
        <f>DATE(,5,15)</f>
        <v>136</v>
      </c>
      <c r="E56" s="10"/>
      <c r="F56" s="13">
        <v>101114</v>
      </c>
      <c r="G56" s="10"/>
      <c r="H56" s="10">
        <v>24</v>
      </c>
      <c r="I56" s="10"/>
      <c r="J56" s="10"/>
      <c r="K56" s="10"/>
    </row>
    <row r="57" spans="1:11" x14ac:dyDescent="0.2">
      <c r="A57" s="1">
        <v>2403</v>
      </c>
      <c r="B57" s="10"/>
      <c r="C57" s="10"/>
      <c r="D57" s="12">
        <f>DATE(,5,21)</f>
        <v>142</v>
      </c>
      <c r="E57" s="10"/>
      <c r="F57" s="13">
        <v>202112</v>
      </c>
      <c r="G57" s="10"/>
      <c r="H57" s="10">
        <v>76</v>
      </c>
      <c r="I57" s="10"/>
      <c r="J57" s="10"/>
      <c r="K57" s="10"/>
    </row>
    <row r="58" spans="1:11" x14ac:dyDescent="0.2">
      <c r="A58" s="1">
        <v>2404</v>
      </c>
      <c r="B58" s="10"/>
      <c r="C58" s="10"/>
      <c r="D58" s="12">
        <f>DATE(,5,24)</f>
        <v>145</v>
      </c>
      <c r="E58" s="10"/>
      <c r="F58" s="13">
        <v>101112</v>
      </c>
      <c r="G58" s="10"/>
      <c r="H58" s="10">
        <v>16</v>
      </c>
      <c r="I58" s="10"/>
      <c r="J58" s="10"/>
      <c r="K58" s="10"/>
    </row>
    <row r="59" spans="1:11" x14ac:dyDescent="0.2">
      <c r="A59" s="1">
        <v>2408</v>
      </c>
      <c r="B59" s="10"/>
      <c r="C59" s="10"/>
      <c r="D59" s="12">
        <f>DATE(,5,29)</f>
        <v>150</v>
      </c>
      <c r="E59" s="10"/>
      <c r="F59" s="13">
        <v>101115</v>
      </c>
      <c r="G59" s="10"/>
      <c r="H59" s="10">
        <v>14</v>
      </c>
      <c r="I59" s="10"/>
      <c r="J59" s="10"/>
      <c r="K59" s="10"/>
    </row>
    <row r="60" spans="1:11" x14ac:dyDescent="0.2">
      <c r="A60" s="1">
        <v>2401</v>
      </c>
      <c r="B60" s="10"/>
      <c r="C60" s="10"/>
      <c r="D60" s="12">
        <f>DATE(,6,3)</f>
        <v>155</v>
      </c>
      <c r="E60" s="10"/>
      <c r="F60" s="13">
        <v>202114</v>
      </c>
      <c r="G60" s="10"/>
      <c r="H60" s="10">
        <v>21</v>
      </c>
      <c r="I60" s="10"/>
      <c r="J60" s="10"/>
      <c r="K60" s="10"/>
    </row>
    <row r="61" spans="1:11" x14ac:dyDescent="0.2">
      <c r="A61" s="1">
        <v>2404</v>
      </c>
      <c r="B61" s="10"/>
      <c r="C61" s="10"/>
      <c r="D61" s="12">
        <f>DATE(,6,7)</f>
        <v>159</v>
      </c>
      <c r="E61" s="10"/>
      <c r="F61" s="13">
        <v>202115</v>
      </c>
      <c r="G61" s="10"/>
      <c r="H61" s="10">
        <v>14</v>
      </c>
      <c r="I61" s="10"/>
      <c r="J61" s="10"/>
      <c r="K61" s="10"/>
    </row>
    <row r="62" spans="1:11" x14ac:dyDescent="0.2">
      <c r="A62" s="1">
        <v>2401</v>
      </c>
      <c r="B62" s="10"/>
      <c r="C62" s="10"/>
      <c r="D62" s="12">
        <f>DATE(,6,11)</f>
        <v>163</v>
      </c>
      <c r="E62" s="10"/>
      <c r="F62" s="13">
        <v>101111</v>
      </c>
      <c r="G62" s="10"/>
      <c r="H62" s="10">
        <v>11</v>
      </c>
      <c r="I62" s="10"/>
      <c r="J62" s="10"/>
      <c r="K62" s="10"/>
    </row>
    <row r="63" spans="1:11" x14ac:dyDescent="0.2">
      <c r="A63" s="1">
        <v>2405</v>
      </c>
      <c r="B63" s="10"/>
      <c r="C63" s="10"/>
      <c r="D63" s="12">
        <f>DATE(,6,18)</f>
        <v>170</v>
      </c>
      <c r="E63" s="10"/>
      <c r="F63" s="13">
        <v>101113</v>
      </c>
      <c r="G63" s="10"/>
      <c r="H63" s="10">
        <v>9</v>
      </c>
      <c r="I63" s="10"/>
      <c r="J63" s="10"/>
      <c r="K63" s="10"/>
    </row>
    <row r="64" spans="1:11" x14ac:dyDescent="0.2">
      <c r="A64" s="1">
        <v>2407</v>
      </c>
      <c r="B64" s="10"/>
      <c r="C64" s="10"/>
      <c r="D64" s="12">
        <f>DATE(,6,23)</f>
        <v>175</v>
      </c>
      <c r="E64" s="10"/>
      <c r="F64" s="13">
        <v>202112</v>
      </c>
      <c r="G64" s="10"/>
      <c r="H64" s="10">
        <v>17</v>
      </c>
      <c r="I64" s="10"/>
      <c r="J64" s="10"/>
      <c r="K64" s="10"/>
    </row>
    <row r="65" spans="1:11" x14ac:dyDescent="0.2">
      <c r="A65" s="1">
        <v>2402</v>
      </c>
      <c r="B65" s="10"/>
      <c r="C65" s="10"/>
      <c r="D65" s="12">
        <f>DATE(,6,27)</f>
        <v>179</v>
      </c>
      <c r="E65" s="10"/>
      <c r="F65" s="13">
        <v>202114</v>
      </c>
      <c r="G65" s="10"/>
      <c r="H65" s="10">
        <v>19</v>
      </c>
      <c r="I65" s="10"/>
      <c r="J65" s="10"/>
      <c r="K65" s="10"/>
    </row>
    <row r="66" spans="1:11" x14ac:dyDescent="0.2">
      <c r="A66" s="1">
        <v>2408</v>
      </c>
      <c r="B66" s="10"/>
      <c r="C66" s="10"/>
      <c r="D66" s="12">
        <f>DATE(,6,27)</f>
        <v>179</v>
      </c>
      <c r="E66" s="10"/>
      <c r="F66" s="9">
        <v>101115</v>
      </c>
      <c r="G66" s="10"/>
      <c r="H66" s="10">
        <v>26</v>
      </c>
      <c r="I66" s="10"/>
      <c r="J66" s="10"/>
      <c r="K66" s="10"/>
    </row>
    <row r="67" spans="1:11" x14ac:dyDescent="0.2">
      <c r="A67" s="1">
        <v>2406</v>
      </c>
      <c r="B67" s="10"/>
      <c r="C67" s="10"/>
      <c r="D67" s="14">
        <v>41454</v>
      </c>
      <c r="E67" s="10"/>
      <c r="F67" s="9">
        <v>101111</v>
      </c>
      <c r="G67" s="10"/>
      <c r="H67" s="10">
        <v>14</v>
      </c>
      <c r="I67" s="10"/>
      <c r="J67" s="10"/>
      <c r="K67" s="10"/>
    </row>
    <row r="68" spans="1:11" x14ac:dyDescent="0.2">
      <c r="K68" s="15"/>
    </row>
  </sheetData>
  <mergeCells count="1">
    <mergeCell ref="A1:K1"/>
  </mergeCells>
  <pageMargins left="0.7" right="0.7" top="0.78740157499999996" bottom="0.78740157499999996" header="0.3" footer="0.3"/>
  <pageSetup paperSize="9" orientation="portrait" horizontalDpi="300" verticalDpi="0" r:id="rId1"/>
  <ignoredErrors>
    <ignoredError sqref="D33 D55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27"/>
  <sheetViews>
    <sheetView workbookViewId="0">
      <selection activeCell="A16" sqref="A16:D16"/>
    </sheetView>
  </sheetViews>
  <sheetFormatPr baseColWidth="10" defaultColWidth="11.42578125" defaultRowHeight="12.75" x14ac:dyDescent="0.2"/>
  <cols>
    <col min="1" max="1" width="11.42578125" style="6"/>
    <col min="2" max="2" width="30.42578125" style="6" bestFit="1" customWidth="1"/>
    <col min="3" max="3" width="23" style="6" bestFit="1" customWidth="1"/>
    <col min="4" max="4" width="14.85546875" style="6" bestFit="1" customWidth="1"/>
    <col min="5" max="5" width="7.85546875" style="6" customWidth="1"/>
    <col min="6" max="6" width="13" style="6" customWidth="1"/>
    <col min="7" max="16384" width="11.42578125" style="6"/>
  </cols>
  <sheetData>
    <row r="1" spans="1:7" ht="24.75" customHeight="1" x14ac:dyDescent="0.2">
      <c r="A1" s="17" t="s">
        <v>12</v>
      </c>
      <c r="B1" s="17"/>
      <c r="C1" s="17"/>
      <c r="D1" s="17"/>
      <c r="E1" s="17"/>
      <c r="F1" s="17"/>
      <c r="G1" s="17"/>
    </row>
    <row r="2" spans="1:7" s="8" customFormat="1" ht="12.75" customHeight="1" x14ac:dyDescent="0.2">
      <c r="A2" s="7"/>
      <c r="B2" s="7"/>
      <c r="C2" s="7"/>
      <c r="D2" s="7"/>
      <c r="E2" s="7"/>
      <c r="F2" s="7"/>
      <c r="G2" s="7"/>
    </row>
    <row r="3" spans="1:7" ht="12.75" customHeight="1" x14ac:dyDescent="0.2">
      <c r="A3" s="18" t="s">
        <v>1</v>
      </c>
      <c r="B3" s="19" t="s">
        <v>13</v>
      </c>
      <c r="C3" s="19" t="s">
        <v>14</v>
      </c>
      <c r="D3" s="19" t="s">
        <v>15</v>
      </c>
      <c r="E3" s="19" t="s">
        <v>16</v>
      </c>
      <c r="F3" s="19" t="s">
        <v>17</v>
      </c>
      <c r="G3" s="19" t="s">
        <v>18</v>
      </c>
    </row>
    <row r="4" spans="1:7" ht="12.75" customHeight="1" x14ac:dyDescent="0.2">
      <c r="A4" s="1">
        <v>2401</v>
      </c>
      <c r="B4" s="2" t="s">
        <v>19</v>
      </c>
      <c r="C4" s="2" t="s">
        <v>20</v>
      </c>
      <c r="D4" s="3" t="s">
        <v>21</v>
      </c>
      <c r="E4" s="4">
        <v>38700</v>
      </c>
      <c r="F4" s="3" t="s">
        <v>22</v>
      </c>
      <c r="G4" s="5">
        <v>5</v>
      </c>
    </row>
    <row r="5" spans="1:7" ht="12.75" customHeight="1" x14ac:dyDescent="0.2">
      <c r="A5" s="1">
        <v>2402</v>
      </c>
      <c r="B5" s="2" t="s">
        <v>23</v>
      </c>
      <c r="C5" s="2" t="s">
        <v>24</v>
      </c>
      <c r="D5" s="3" t="s">
        <v>25</v>
      </c>
      <c r="E5" s="4">
        <v>57074</v>
      </c>
      <c r="F5" s="3" t="s">
        <v>26</v>
      </c>
      <c r="G5" s="5">
        <v>7.5</v>
      </c>
    </row>
    <row r="6" spans="1:7" ht="12.75" customHeight="1" x14ac:dyDescent="0.2">
      <c r="A6" s="1">
        <v>2403</v>
      </c>
      <c r="B6" s="2" t="s">
        <v>27</v>
      </c>
      <c r="C6" s="2" t="s">
        <v>28</v>
      </c>
      <c r="D6" s="3" t="s">
        <v>29</v>
      </c>
      <c r="E6" s="4">
        <v>53103</v>
      </c>
      <c r="F6" s="3" t="s">
        <v>30</v>
      </c>
      <c r="G6" s="5">
        <v>0</v>
      </c>
    </row>
    <row r="7" spans="1:7" ht="12.75" customHeight="1" x14ac:dyDescent="0.2">
      <c r="A7" s="1">
        <v>2404</v>
      </c>
      <c r="B7" s="2" t="s">
        <v>31</v>
      </c>
      <c r="C7" s="2" t="s">
        <v>32</v>
      </c>
      <c r="D7" s="3" t="s">
        <v>33</v>
      </c>
      <c r="E7" s="4">
        <v>69117</v>
      </c>
      <c r="F7" s="3" t="s">
        <v>34</v>
      </c>
      <c r="G7" s="5">
        <v>5</v>
      </c>
    </row>
    <row r="8" spans="1:7" ht="12.75" customHeight="1" x14ac:dyDescent="0.2">
      <c r="A8" s="1">
        <v>2405</v>
      </c>
      <c r="B8" s="2" t="s">
        <v>35</v>
      </c>
      <c r="C8" s="2" t="s">
        <v>36</v>
      </c>
      <c r="D8" s="3" t="s">
        <v>37</v>
      </c>
      <c r="E8" s="4">
        <v>22866</v>
      </c>
      <c r="F8" s="3" t="s">
        <v>38</v>
      </c>
      <c r="G8" s="5">
        <v>10</v>
      </c>
    </row>
    <row r="9" spans="1:7" ht="12.75" customHeight="1" x14ac:dyDescent="0.2">
      <c r="A9" s="1">
        <v>2406</v>
      </c>
      <c r="B9" s="2" t="s">
        <v>39</v>
      </c>
      <c r="C9" s="2" t="s">
        <v>40</v>
      </c>
      <c r="D9" s="3" t="s">
        <v>41</v>
      </c>
      <c r="E9" s="4">
        <v>6618</v>
      </c>
      <c r="F9" s="3" t="s">
        <v>42</v>
      </c>
      <c r="G9" s="5">
        <v>5</v>
      </c>
    </row>
    <row r="10" spans="1:7" ht="12.75" customHeight="1" x14ac:dyDescent="0.2">
      <c r="A10" s="1">
        <v>2407</v>
      </c>
      <c r="B10" s="2" t="s">
        <v>43</v>
      </c>
      <c r="C10" s="2" t="s">
        <v>44</v>
      </c>
      <c r="D10" s="3" t="s">
        <v>45</v>
      </c>
      <c r="E10" s="4">
        <v>56077</v>
      </c>
      <c r="F10" s="3" t="s">
        <v>46</v>
      </c>
      <c r="G10" s="5">
        <v>7.5</v>
      </c>
    </row>
    <row r="11" spans="1:7" ht="12.75" customHeight="1" x14ac:dyDescent="0.2">
      <c r="A11" s="1">
        <v>2408</v>
      </c>
      <c r="B11" s="2" t="s">
        <v>47</v>
      </c>
      <c r="C11" s="2" t="s">
        <v>48</v>
      </c>
      <c r="D11" s="3" t="s">
        <v>49</v>
      </c>
      <c r="E11" s="4">
        <v>68239</v>
      </c>
      <c r="F11" s="3" t="s">
        <v>50</v>
      </c>
      <c r="G11" s="5">
        <v>0</v>
      </c>
    </row>
    <row r="14" spans="1:7" ht="22.5" customHeight="1" x14ac:dyDescent="0.2">
      <c r="A14" s="17" t="s">
        <v>51</v>
      </c>
      <c r="B14" s="17"/>
      <c r="C14" s="17"/>
      <c r="D14" s="17"/>
    </row>
    <row r="15" spans="1:7" ht="12.75" customHeight="1" x14ac:dyDescent="0.2"/>
    <row r="16" spans="1:7" ht="12.75" customHeight="1" x14ac:dyDescent="0.2">
      <c r="A16" s="20" t="s">
        <v>6</v>
      </c>
      <c r="B16" s="21" t="s">
        <v>7</v>
      </c>
      <c r="C16" s="21" t="s">
        <v>52</v>
      </c>
      <c r="D16" s="22" t="s">
        <v>53</v>
      </c>
    </row>
    <row r="17" spans="1:4" ht="12.75" customHeight="1" x14ac:dyDescent="0.2">
      <c r="A17" s="9">
        <v>101111</v>
      </c>
      <c r="B17" s="10" t="s">
        <v>54</v>
      </c>
      <c r="C17" s="10">
        <v>10</v>
      </c>
      <c r="D17" s="11">
        <v>489</v>
      </c>
    </row>
    <row r="18" spans="1:4" ht="12.75" customHeight="1" x14ac:dyDescent="0.2">
      <c r="A18" s="9">
        <v>101112</v>
      </c>
      <c r="B18" s="10" t="s">
        <v>55</v>
      </c>
      <c r="C18" s="10">
        <v>10</v>
      </c>
      <c r="D18" s="11">
        <v>519</v>
      </c>
    </row>
    <row r="19" spans="1:4" ht="12.75" customHeight="1" x14ac:dyDescent="0.2">
      <c r="A19" s="9">
        <v>101113</v>
      </c>
      <c r="B19" s="10" t="s">
        <v>56</v>
      </c>
      <c r="C19" s="10">
        <v>10</v>
      </c>
      <c r="D19" s="11">
        <v>219</v>
      </c>
    </row>
    <row r="20" spans="1:4" ht="12.75" customHeight="1" x14ac:dyDescent="0.2">
      <c r="A20" s="9">
        <v>101114</v>
      </c>
      <c r="B20" s="10" t="s">
        <v>57</v>
      </c>
      <c r="C20" s="10">
        <v>10</v>
      </c>
      <c r="D20" s="11">
        <v>98</v>
      </c>
    </row>
    <row r="21" spans="1:4" ht="12.75" customHeight="1" x14ac:dyDescent="0.2">
      <c r="A21" s="9">
        <v>101115</v>
      </c>
      <c r="B21" s="10" t="s">
        <v>58</v>
      </c>
      <c r="C21" s="10">
        <v>10</v>
      </c>
      <c r="D21" s="11">
        <v>579</v>
      </c>
    </row>
    <row r="22" spans="1:4" ht="12.75" customHeight="1" x14ac:dyDescent="0.2">
      <c r="A22" s="9">
        <v>202111</v>
      </c>
      <c r="B22" s="10" t="s">
        <v>59</v>
      </c>
      <c r="C22" s="10">
        <v>20</v>
      </c>
      <c r="D22" s="11">
        <v>228</v>
      </c>
    </row>
    <row r="23" spans="1:4" ht="12.75" customHeight="1" x14ac:dyDescent="0.2">
      <c r="A23" s="9">
        <v>202112</v>
      </c>
      <c r="B23" s="10" t="s">
        <v>60</v>
      </c>
      <c r="C23" s="10">
        <v>20</v>
      </c>
      <c r="D23" s="11">
        <v>299</v>
      </c>
    </row>
    <row r="24" spans="1:4" ht="12.75" customHeight="1" x14ac:dyDescent="0.2">
      <c r="A24" s="9">
        <v>202113</v>
      </c>
      <c r="B24" s="10" t="s">
        <v>61</v>
      </c>
      <c r="C24" s="10">
        <v>20</v>
      </c>
      <c r="D24" s="11">
        <v>399</v>
      </c>
    </row>
    <row r="25" spans="1:4" ht="12.75" customHeight="1" x14ac:dyDescent="0.2">
      <c r="A25" s="9">
        <v>202114</v>
      </c>
      <c r="B25" s="10" t="s">
        <v>62</v>
      </c>
      <c r="C25" s="10">
        <v>20</v>
      </c>
      <c r="D25" s="11">
        <v>349</v>
      </c>
    </row>
    <row r="26" spans="1:4" ht="12.75" customHeight="1" x14ac:dyDescent="0.2">
      <c r="A26" s="9">
        <v>202115</v>
      </c>
      <c r="B26" s="10" t="s">
        <v>63</v>
      </c>
      <c r="C26" s="10">
        <v>20</v>
      </c>
      <c r="D26" s="11">
        <v>59</v>
      </c>
    </row>
    <row r="27" spans="1:4" ht="12.75" customHeight="1" x14ac:dyDescent="0.2">
      <c r="A27" s="9">
        <v>401589</v>
      </c>
      <c r="B27" s="10" t="s">
        <v>64</v>
      </c>
      <c r="C27" s="10">
        <v>40</v>
      </c>
      <c r="D27" s="11">
        <v>36</v>
      </c>
    </row>
  </sheetData>
  <mergeCells count="2">
    <mergeCell ref="A14:D14"/>
    <mergeCell ref="A1:G1"/>
  </mergeCell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14"/>
  <sheetViews>
    <sheetView workbookViewId="0">
      <selection activeCell="A3" sqref="A3:D3"/>
    </sheetView>
  </sheetViews>
  <sheetFormatPr baseColWidth="10" defaultColWidth="11.42578125" defaultRowHeight="12.75" x14ac:dyDescent="0.2"/>
  <cols>
    <col min="1" max="1" width="10.42578125" style="6" bestFit="1" customWidth="1"/>
    <col min="2" max="2" width="30.42578125" style="6" bestFit="1" customWidth="1"/>
    <col min="3" max="3" width="13.28515625" style="6" bestFit="1" customWidth="1"/>
    <col min="4" max="4" width="10.7109375" style="6" bestFit="1" customWidth="1"/>
    <col min="5" max="16384" width="11.42578125" style="6"/>
  </cols>
  <sheetData>
    <row r="1" spans="1:4" ht="27" customHeight="1" x14ac:dyDescent="0.2">
      <c r="A1" s="17" t="s">
        <v>51</v>
      </c>
      <c r="B1" s="17"/>
      <c r="C1" s="17"/>
      <c r="D1" s="17"/>
    </row>
    <row r="2" spans="1:4" s="16" customFormat="1" ht="12.75" customHeight="1" x14ac:dyDescent="0.2">
      <c r="A2" s="7"/>
      <c r="B2" s="7"/>
      <c r="C2" s="7"/>
      <c r="D2" s="7"/>
    </row>
    <row r="3" spans="1:4" ht="12.75" customHeight="1" x14ac:dyDescent="0.2">
      <c r="A3" s="20" t="s">
        <v>6</v>
      </c>
      <c r="B3" s="21" t="s">
        <v>7</v>
      </c>
      <c r="C3" s="21" t="s">
        <v>52</v>
      </c>
      <c r="D3" s="22" t="s">
        <v>53</v>
      </c>
    </row>
    <row r="4" spans="1:4" ht="12.75" customHeight="1" x14ac:dyDescent="0.2">
      <c r="A4" s="9">
        <v>101111</v>
      </c>
      <c r="B4" s="10" t="s">
        <v>54</v>
      </c>
      <c r="C4" s="10">
        <v>10</v>
      </c>
      <c r="D4" s="11">
        <v>489</v>
      </c>
    </row>
    <row r="5" spans="1:4" ht="12.75" customHeight="1" x14ac:dyDescent="0.2">
      <c r="A5" s="9">
        <v>101112</v>
      </c>
      <c r="B5" s="10" t="s">
        <v>55</v>
      </c>
      <c r="C5" s="10">
        <v>10</v>
      </c>
      <c r="D5" s="11">
        <v>519</v>
      </c>
    </row>
    <row r="6" spans="1:4" ht="12.75" customHeight="1" x14ac:dyDescent="0.2">
      <c r="A6" s="9">
        <v>101113</v>
      </c>
      <c r="B6" s="10" t="s">
        <v>56</v>
      </c>
      <c r="C6" s="10">
        <v>10</v>
      </c>
      <c r="D6" s="11">
        <v>219</v>
      </c>
    </row>
    <row r="7" spans="1:4" ht="12.75" customHeight="1" x14ac:dyDescent="0.2">
      <c r="A7" s="9">
        <v>101114</v>
      </c>
      <c r="B7" s="10" t="s">
        <v>57</v>
      </c>
      <c r="C7" s="10">
        <v>10</v>
      </c>
      <c r="D7" s="11">
        <v>98</v>
      </c>
    </row>
    <row r="8" spans="1:4" ht="12.75" customHeight="1" x14ac:dyDescent="0.2">
      <c r="A8" s="9">
        <v>101115</v>
      </c>
      <c r="B8" s="10" t="s">
        <v>58</v>
      </c>
      <c r="C8" s="10">
        <v>10</v>
      </c>
      <c r="D8" s="11">
        <v>579</v>
      </c>
    </row>
    <row r="9" spans="1:4" ht="12.75" customHeight="1" x14ac:dyDescent="0.2">
      <c r="A9" s="9">
        <v>202111</v>
      </c>
      <c r="B9" s="10" t="s">
        <v>59</v>
      </c>
      <c r="C9" s="10">
        <v>20</v>
      </c>
      <c r="D9" s="11">
        <v>228</v>
      </c>
    </row>
    <row r="10" spans="1:4" ht="12.75" customHeight="1" x14ac:dyDescent="0.2">
      <c r="A10" s="9">
        <v>202112</v>
      </c>
      <c r="B10" s="10" t="s">
        <v>60</v>
      </c>
      <c r="C10" s="10">
        <v>20</v>
      </c>
      <c r="D10" s="11">
        <v>299</v>
      </c>
    </row>
    <row r="11" spans="1:4" ht="12.75" customHeight="1" x14ac:dyDescent="0.2">
      <c r="A11" s="9">
        <v>202113</v>
      </c>
      <c r="B11" s="10" t="s">
        <v>61</v>
      </c>
      <c r="C11" s="10">
        <v>20</v>
      </c>
      <c r="D11" s="11">
        <v>399</v>
      </c>
    </row>
    <row r="12" spans="1:4" ht="12.75" customHeight="1" x14ac:dyDescent="0.2">
      <c r="A12" s="9">
        <v>202114</v>
      </c>
      <c r="B12" s="10" t="s">
        <v>62</v>
      </c>
      <c r="C12" s="10">
        <v>20</v>
      </c>
      <c r="D12" s="11">
        <v>349</v>
      </c>
    </row>
    <row r="13" spans="1:4" ht="12.75" customHeight="1" x14ac:dyDescent="0.2">
      <c r="A13" s="9">
        <v>202115</v>
      </c>
      <c r="B13" s="10" t="s">
        <v>63</v>
      </c>
      <c r="C13" s="10">
        <v>20</v>
      </c>
      <c r="D13" s="11">
        <v>59</v>
      </c>
    </row>
    <row r="14" spans="1:4" ht="12.75" customHeight="1" x14ac:dyDescent="0.2">
      <c r="A14" s="9">
        <v>401589</v>
      </c>
      <c r="B14" s="10" t="s">
        <v>64</v>
      </c>
      <c r="C14" s="10">
        <v>40</v>
      </c>
      <c r="D14" s="11">
        <v>36</v>
      </c>
    </row>
  </sheetData>
  <mergeCells count="1">
    <mergeCell ref="A1:D1"/>
  </mergeCells>
  <pageMargins left="0.7" right="0.7" top="0.78740157499999996" bottom="0.78740157499999996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Umsatzübersicht</vt:lpstr>
      <vt:lpstr>Kunden</vt:lpstr>
      <vt:lpstr>Artikel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Piesker, Evelin Hannelore</dc:creator>
  <cp:keywords/>
  <dc:description/>
  <cp:lastModifiedBy>Tom Gorontzy</cp:lastModifiedBy>
  <cp:revision/>
  <dcterms:created xsi:type="dcterms:W3CDTF">2013-09-09T18:26:28Z</dcterms:created>
  <dcterms:modified xsi:type="dcterms:W3CDTF">2025-03-28T09:31:52Z</dcterms:modified>
  <cp:category/>
  <cp:contentStatus/>
</cp:coreProperties>
</file>