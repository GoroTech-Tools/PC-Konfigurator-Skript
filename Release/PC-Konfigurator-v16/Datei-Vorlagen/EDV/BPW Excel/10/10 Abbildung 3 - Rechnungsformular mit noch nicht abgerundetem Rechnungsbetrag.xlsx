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xcel Duisdorfer\neue Abbildungsvorlagen\"/>
    </mc:Choice>
  </mc:AlternateContent>
  <xr:revisionPtr revIDLastSave="0" documentId="13_ncr:1_{7AE5E4AF-8FDF-4294-94C9-BF6C77CD0ECF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Vorlage" sheetId="1" r:id="rId1"/>
    <sheet name="Tabelle2" sheetId="2" r:id="rId2"/>
    <sheet name="Tabelle3" sheetId="3" r:id="rId3"/>
  </sheets>
  <definedNames>
    <definedName name="_xlnm.Print_Area" localSheetId="0">Vorlage!$A$1:$H$66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0" i="1" l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39" i="1" l="1"/>
  <c r="H39" i="1" s="1"/>
  <c r="H55" i="1" s="1"/>
  <c r="H56" i="1" s="1"/>
  <c r="H57" i="1" s="1"/>
</calcChain>
</file>

<file path=xl/sharedStrings.xml><?xml version="1.0" encoding="utf-8"?>
<sst xmlns="http://schemas.openxmlformats.org/spreadsheetml/2006/main" count="67" uniqueCount="66">
  <si>
    <t>Neuhoff KG</t>
  </si>
  <si>
    <t>RaumDesign</t>
  </si>
  <si>
    <t>Brunnenstraße 3</t>
  </si>
  <si>
    <t>38700 Hannover</t>
  </si>
  <si>
    <t>Rochusstraße 30</t>
  </si>
  <si>
    <t>53123 Bonn</t>
  </si>
  <si>
    <t>Telefon:</t>
  </si>
  <si>
    <t>0228 98765-0</t>
  </si>
  <si>
    <t>0228 98765-80</t>
  </si>
  <si>
    <t>Postbank Köln</t>
  </si>
  <si>
    <t>Rechnung</t>
  </si>
  <si>
    <t>Kunden-Nr.:</t>
  </si>
  <si>
    <t>Rechnungs-Nr.:</t>
  </si>
  <si>
    <t>Lieferschein-Nr.:</t>
  </si>
  <si>
    <t>Versanddatum:</t>
  </si>
  <si>
    <t>Pos.</t>
  </si>
  <si>
    <t>Artikel-Nr.</t>
  </si>
  <si>
    <t>Artikel-Bezeichnung</t>
  </si>
  <si>
    <t>Menge</t>
  </si>
  <si>
    <t>Einzelpreis €</t>
  </si>
  <si>
    <t>Rabatt in %</t>
  </si>
  <si>
    <t>Rabattbetrag €</t>
  </si>
  <si>
    <t>Gesamtpreis €</t>
  </si>
  <si>
    <t>Schreibtisch Ökostar</t>
  </si>
  <si>
    <t>Konferenztischelement lichtgrau</t>
  </si>
  <si>
    <t>Bürostuhl Comfort</t>
  </si>
  <si>
    <t>Nettobetrag €</t>
  </si>
  <si>
    <t>Rechnungsbetrag €</t>
  </si>
  <si>
    <t>VK Br</t>
  </si>
  <si>
    <t>0228 98765-17</t>
  </si>
  <si>
    <t>Frank Bremer</t>
  </si>
  <si>
    <t>27.06.20..</t>
  </si>
  <si>
    <t>Sebastian Falo</t>
  </si>
  <si>
    <t>Katharina Niester</t>
  </si>
  <si>
    <t>Bürosessel Tenno</t>
  </si>
  <si>
    <t xml:space="preserve">Ihr Zeichen: </t>
  </si>
  <si>
    <t xml:space="preserve">Ihre Nachricht vom: </t>
  </si>
  <si>
    <t xml:space="preserve">Unser Zeichen: </t>
  </si>
  <si>
    <t xml:space="preserve">Unsere Nachricht vom: </t>
  </si>
  <si>
    <t xml:space="preserve">Name: </t>
  </si>
  <si>
    <t xml:space="preserve">Telefon: </t>
  </si>
  <si>
    <t xml:space="preserve">Telefax: </t>
  </si>
  <si>
    <t xml:space="preserve">E-Mail: </t>
  </si>
  <si>
    <t xml:space="preserve">Datum: </t>
  </si>
  <si>
    <r>
      <t xml:space="preserve">Duisdorfer BüroKonzept KG </t>
    </r>
    <r>
      <rPr>
        <sz val="8"/>
        <color theme="1"/>
        <rFont val="Wingdings"/>
        <charset val="2"/>
      </rPr>
      <t>w</t>
    </r>
    <r>
      <rPr>
        <sz val="8"/>
        <color theme="1"/>
        <rFont val="Arial"/>
        <family val="2"/>
      </rPr>
      <t xml:space="preserve"> Rochusstraße 30 </t>
    </r>
    <r>
      <rPr>
        <sz val="8"/>
        <color theme="1"/>
        <rFont val="Wingdings"/>
        <charset val="2"/>
      </rPr>
      <t>w</t>
    </r>
    <r>
      <rPr>
        <sz val="8"/>
        <color theme="1"/>
        <rFont val="Arial"/>
        <family val="2"/>
      </rPr>
      <t xml:space="preserve"> 53123 Bonn</t>
    </r>
  </si>
  <si>
    <t>Duisdorfer BüroKonzept KG</t>
  </si>
  <si>
    <t>USt.-IdNr.: DE 244 111 855</t>
  </si>
  <si>
    <t>Geschäftsführer:</t>
  </si>
  <si>
    <t>Amtsgericht Bonn</t>
  </si>
  <si>
    <t>HRA 1221</t>
  </si>
  <si>
    <t>Fax:</t>
  </si>
  <si>
    <t>Internet:</t>
  </si>
  <si>
    <t>E-Mail:</t>
  </si>
  <si>
    <t>www.duisdorfer-bueko.de</t>
  </si>
  <si>
    <t>info@duisdorfer-bueko.de</t>
  </si>
  <si>
    <t>Bankverbindungen:</t>
  </si>
  <si>
    <t>Volksbank Bonn Rhein-Sieg</t>
  </si>
  <si>
    <t>Steuer-Nr.:</t>
  </si>
  <si>
    <t>206/1234/9876</t>
  </si>
  <si>
    <t>BIC: GENODED1BRS</t>
  </si>
  <si>
    <t>IBAN: DE85 3806 0186 2401 2345 67</t>
  </si>
  <si>
    <t>IBAN: DE23 3701 0050 8884 4412 34</t>
  </si>
  <si>
    <t>BIC: PBNKDEFFXXX</t>
  </si>
  <si>
    <t>Ausschnitt aus der Tabelle Rechnungsformular</t>
  </si>
  <si>
    <t>Chefsessel Bonn Maxx</t>
  </si>
  <si>
    <t>Umsatzsteuer 19,0 %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</si>
</sst>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0" borderId="0" xfId="0" applyFont="1"/>
    <xf numFmtId="0" fontId="6" fillId="0" borderId="0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quotePrefix="1" applyFont="1"/>
    <xf numFmtId="0" fontId="10" fillId="0" borderId="0" xfId="0" applyFont="1"/>
    <xf numFmtId="0" fontId="5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4" xfId="0" applyFont="1" applyBorder="1"/>
    <xf numFmtId="0" fontId="5" fillId="2" borderId="1" xfId="0" applyFont="1" applyFill="1" applyBorder="1"/>
    <xf numFmtId="0" fontId="5" fillId="0" borderId="4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5" fillId="0" borderId="4" xfId="0" applyNumberFormat="1" applyFont="1" applyBorder="1"/>
    <xf numFmtId="2" fontId="5" fillId="2" borderId="1" xfId="0" applyNumberFormat="1" applyFont="1" applyFill="1" applyBorder="1"/>
    <xf numFmtId="2" fontId="5" fillId="0" borderId="1" xfId="0" applyNumberFormat="1" applyFont="1" applyBorder="1"/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quotePrefix="1" applyFont="1"/>
    <xf numFmtId="0" fontId="8" fillId="0" borderId="0" xfId="0" applyFont="1" applyAlignment="1">
      <alignment vertical="center" wrapText="1"/>
    </xf>
    <xf numFmtId="0" fontId="5" fillId="0" borderId="0" xfId="0" applyFont="1" applyAlignment="1"/>
    <xf numFmtId="0" fontId="4" fillId="0" borderId="0" xfId="0" applyFont="1"/>
    <xf numFmtId="4" fontId="3" fillId="0" borderId="4" xfId="0" quotePrefix="1" applyNumberFormat="1" applyFont="1" applyBorder="1"/>
    <xf numFmtId="4" fontId="5" fillId="2" borderId="1" xfId="0" applyNumberFormat="1" applyFont="1" applyFill="1" applyBorder="1"/>
    <xf numFmtId="4" fontId="5" fillId="0" borderId="1" xfId="0" applyNumberFormat="1" applyFont="1" applyBorder="1"/>
    <xf numFmtId="0" fontId="2" fillId="0" borderId="1" xfId="0" applyFont="1" applyBorder="1"/>
    <xf numFmtId="0" fontId="8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6"/>
  <sheetViews>
    <sheetView tabSelected="1" topLeftCell="A8" zoomScale="90" zoomScaleNormal="90" workbookViewId="0">
      <selection activeCell="M69" sqref="M69"/>
    </sheetView>
  </sheetViews>
  <sheetFormatPr baseColWidth="10" defaultColWidth="11.42578125" defaultRowHeight="14.25" x14ac:dyDescent="0.2"/>
  <cols>
    <col min="1" max="1" width="9" style="1" customWidth="1"/>
    <col min="2" max="2" width="17" style="1" customWidth="1"/>
    <col min="3" max="3" width="32.42578125" style="1" customWidth="1"/>
    <col min="4" max="4" width="14.28515625" style="1" bestFit="1" customWidth="1"/>
    <col min="5" max="5" width="14.140625" style="1" bestFit="1" customWidth="1"/>
    <col min="6" max="6" width="17.140625" style="1" bestFit="1" customWidth="1"/>
    <col min="7" max="7" width="18.140625" style="1" customWidth="1"/>
    <col min="8" max="8" width="16.140625" style="1" bestFit="1" customWidth="1"/>
    <col min="9" max="16384" width="11.42578125" style="1"/>
  </cols>
  <sheetData>
    <row r="1" spans="1:8" hidden="1" x14ac:dyDescent="0.2"/>
    <row r="2" spans="1:8" hidden="1" x14ac:dyDescent="0.2">
      <c r="F2" s="27"/>
    </row>
    <row r="3" spans="1:8" hidden="1" x14ac:dyDescent="0.2"/>
    <row r="4" spans="1:8" hidden="1" x14ac:dyDescent="0.2"/>
    <row r="5" spans="1:8" hidden="1" x14ac:dyDescent="0.2"/>
    <row r="6" spans="1:8" hidden="1" x14ac:dyDescent="0.2"/>
    <row r="7" spans="1:8" hidden="1" x14ac:dyDescent="0.2"/>
    <row r="8" spans="1:8" ht="15" x14ac:dyDescent="0.25">
      <c r="A8" s="2" t="s">
        <v>63</v>
      </c>
    </row>
    <row r="10" spans="1:8" x14ac:dyDescent="0.2">
      <c r="A10" s="23" t="s">
        <v>44</v>
      </c>
      <c r="B10" s="26"/>
      <c r="C10" s="26"/>
    </row>
    <row r="11" spans="1:8" x14ac:dyDescent="0.2">
      <c r="G11" s="23" t="s">
        <v>35</v>
      </c>
      <c r="H11" s="4"/>
    </row>
    <row r="12" spans="1:8" x14ac:dyDescent="0.2">
      <c r="F12" s="10"/>
      <c r="G12" s="23" t="s">
        <v>36</v>
      </c>
      <c r="H12" s="4"/>
    </row>
    <row r="13" spans="1:8" x14ac:dyDescent="0.2">
      <c r="F13" s="10"/>
      <c r="G13" s="23" t="s">
        <v>37</v>
      </c>
      <c r="H13" s="4" t="s">
        <v>28</v>
      </c>
    </row>
    <row r="14" spans="1:8" ht="15" x14ac:dyDescent="0.2">
      <c r="A14" s="3" t="s">
        <v>0</v>
      </c>
      <c r="G14" s="23" t="s">
        <v>38</v>
      </c>
      <c r="H14" s="4"/>
    </row>
    <row r="15" spans="1:8" ht="15" x14ac:dyDescent="0.2">
      <c r="A15" s="3" t="s">
        <v>1</v>
      </c>
      <c r="G15" s="4"/>
      <c r="H15" s="4"/>
    </row>
    <row r="16" spans="1:8" ht="15" x14ac:dyDescent="0.2">
      <c r="A16" s="3" t="s">
        <v>2</v>
      </c>
      <c r="G16" s="23" t="s">
        <v>39</v>
      </c>
      <c r="H16" s="4" t="s">
        <v>30</v>
      </c>
    </row>
    <row r="17" spans="1:8" ht="15" x14ac:dyDescent="0.2">
      <c r="A17" s="3" t="s">
        <v>3</v>
      </c>
      <c r="G17" s="23" t="s">
        <v>40</v>
      </c>
      <c r="H17" s="24" t="s">
        <v>29</v>
      </c>
    </row>
    <row r="18" spans="1:8" x14ac:dyDescent="0.2">
      <c r="G18" s="23" t="s">
        <v>41</v>
      </c>
      <c r="H18" s="24" t="s">
        <v>8</v>
      </c>
    </row>
    <row r="19" spans="1:8" x14ac:dyDescent="0.2">
      <c r="G19" s="23" t="s">
        <v>42</v>
      </c>
      <c r="H19" s="4"/>
    </row>
    <row r="20" spans="1:8" x14ac:dyDescent="0.2">
      <c r="G20" s="23"/>
      <c r="H20" s="4"/>
    </row>
    <row r="21" spans="1:8" x14ac:dyDescent="0.2">
      <c r="G21" s="4" t="s">
        <v>43</v>
      </c>
      <c r="H21" s="4" t="s">
        <v>31</v>
      </c>
    </row>
    <row r="22" spans="1:8" x14ac:dyDescent="0.2">
      <c r="B22" s="4"/>
      <c r="C22" s="4"/>
      <c r="D22" s="4"/>
      <c r="E22" s="4"/>
      <c r="F22" s="4"/>
    </row>
    <row r="23" spans="1:8" x14ac:dyDescent="0.2">
      <c r="D23" s="6"/>
      <c r="E23" s="5"/>
      <c r="F23" s="5"/>
      <c r="H23" s="9"/>
    </row>
    <row r="24" spans="1:8" x14ac:dyDescent="0.2">
      <c r="H24" s="9"/>
    </row>
    <row r="25" spans="1:8" x14ac:dyDescent="0.2">
      <c r="H25" s="9"/>
    </row>
    <row r="26" spans="1:8" ht="23.25" x14ac:dyDescent="0.35">
      <c r="A26" s="7" t="s">
        <v>10</v>
      </c>
    </row>
    <row r="27" spans="1:8" x14ac:dyDescent="0.2">
      <c r="G27" s="4"/>
      <c r="H27" s="4"/>
    </row>
    <row r="28" spans="1:8" x14ac:dyDescent="0.2">
      <c r="G28" s="5"/>
    </row>
    <row r="30" spans="1:8" x14ac:dyDescent="0.2">
      <c r="A30" s="1" t="s">
        <v>11</v>
      </c>
      <c r="C30" s="8">
        <v>2401</v>
      </c>
    </row>
    <row r="31" spans="1:8" x14ac:dyDescent="0.2">
      <c r="A31" s="1" t="s">
        <v>12</v>
      </c>
      <c r="C31" s="8">
        <v>50215</v>
      </c>
    </row>
    <row r="32" spans="1:8" x14ac:dyDescent="0.2">
      <c r="A32" s="1" t="s">
        <v>13</v>
      </c>
    </row>
    <row r="33" spans="1:8" x14ac:dyDescent="0.2">
      <c r="A33" s="1" t="s">
        <v>14</v>
      </c>
    </row>
    <row r="37" spans="1:8" ht="15" thickBot="1" x14ac:dyDescent="0.25"/>
    <row r="38" spans="1:8" ht="15.75" thickBot="1" x14ac:dyDescent="0.3">
      <c r="A38" s="20" t="s">
        <v>15</v>
      </c>
      <c r="B38" s="21" t="s">
        <v>16</v>
      </c>
      <c r="C38" s="21" t="s">
        <v>17</v>
      </c>
      <c r="D38" s="21" t="s">
        <v>18</v>
      </c>
      <c r="E38" s="21" t="s">
        <v>19</v>
      </c>
      <c r="F38" s="21" t="s">
        <v>20</v>
      </c>
      <c r="G38" s="21" t="s">
        <v>21</v>
      </c>
      <c r="H38" s="22" t="s">
        <v>22</v>
      </c>
    </row>
    <row r="39" spans="1:8" x14ac:dyDescent="0.2">
      <c r="A39" s="15">
        <v>1</v>
      </c>
      <c r="B39" s="15">
        <v>101111</v>
      </c>
      <c r="C39" s="13" t="s">
        <v>23</v>
      </c>
      <c r="D39" s="15">
        <v>10</v>
      </c>
      <c r="E39" s="17">
        <v>489</v>
      </c>
      <c r="F39" s="17">
        <v>10</v>
      </c>
      <c r="G39" s="28">
        <f>E39*F39/100</f>
        <v>48.9</v>
      </c>
      <c r="H39" s="28">
        <f>D39*(E39-G39)</f>
        <v>4401</v>
      </c>
    </row>
    <row r="40" spans="1:8" x14ac:dyDescent="0.2">
      <c r="A40" s="16">
        <v>2</v>
      </c>
      <c r="B40" s="16">
        <v>101114</v>
      </c>
      <c r="C40" s="14" t="s">
        <v>24</v>
      </c>
      <c r="D40" s="16">
        <v>25</v>
      </c>
      <c r="E40" s="18">
        <v>98</v>
      </c>
      <c r="F40" s="18">
        <v>10</v>
      </c>
      <c r="G40" s="29">
        <f t="shared" ref="G40:G54" si="0">E40*F40/100</f>
        <v>9.8000000000000007</v>
      </c>
      <c r="H40" s="29">
        <f t="shared" ref="H40:H54" si="1">D40*(E40-G40)</f>
        <v>2205</v>
      </c>
    </row>
    <row r="41" spans="1:8" x14ac:dyDescent="0.2">
      <c r="A41" s="12">
        <v>3</v>
      </c>
      <c r="B41" s="12">
        <v>202111</v>
      </c>
      <c r="C41" s="11" t="s">
        <v>25</v>
      </c>
      <c r="D41" s="12">
        <v>20</v>
      </c>
      <c r="E41" s="19">
        <v>228</v>
      </c>
      <c r="F41" s="19">
        <v>10</v>
      </c>
      <c r="G41" s="30">
        <f t="shared" si="0"/>
        <v>22.8</v>
      </c>
      <c r="H41" s="30">
        <f t="shared" si="1"/>
        <v>4104</v>
      </c>
    </row>
    <row r="42" spans="1:8" x14ac:dyDescent="0.2">
      <c r="A42" s="16">
        <v>4</v>
      </c>
      <c r="B42" s="16">
        <v>202114</v>
      </c>
      <c r="C42" s="14" t="s">
        <v>34</v>
      </c>
      <c r="D42" s="16">
        <v>15</v>
      </c>
      <c r="E42" s="18">
        <v>349</v>
      </c>
      <c r="F42" s="18">
        <v>10</v>
      </c>
      <c r="G42" s="29">
        <f t="shared" si="0"/>
        <v>34.9</v>
      </c>
      <c r="H42" s="29">
        <f t="shared" si="1"/>
        <v>4711.5</v>
      </c>
    </row>
    <row r="43" spans="1:8" x14ac:dyDescent="0.2">
      <c r="A43" s="12">
        <v>5</v>
      </c>
      <c r="B43" s="12">
        <v>20213</v>
      </c>
      <c r="C43" s="31" t="s">
        <v>64</v>
      </c>
      <c r="D43" s="12">
        <v>1</v>
      </c>
      <c r="E43" s="19">
        <v>399</v>
      </c>
      <c r="F43" s="19">
        <v>5.5</v>
      </c>
      <c r="G43" s="30">
        <f t="shared" si="0"/>
        <v>21.945</v>
      </c>
      <c r="H43" s="30">
        <f t="shared" si="1"/>
        <v>377.05500000000001</v>
      </c>
    </row>
    <row r="44" spans="1:8" x14ac:dyDescent="0.2">
      <c r="A44" s="16"/>
      <c r="B44" s="16"/>
      <c r="C44" s="14"/>
      <c r="D44" s="16"/>
      <c r="E44" s="18"/>
      <c r="F44" s="18"/>
      <c r="G44" s="29">
        <f t="shared" si="0"/>
        <v>0</v>
      </c>
      <c r="H44" s="29">
        <f t="shared" si="1"/>
        <v>0</v>
      </c>
    </row>
    <row r="45" spans="1:8" x14ac:dyDescent="0.2">
      <c r="A45" s="12"/>
      <c r="B45" s="12"/>
      <c r="C45" s="11"/>
      <c r="D45" s="12"/>
      <c r="E45" s="19"/>
      <c r="F45" s="19"/>
      <c r="G45" s="30">
        <f t="shared" si="0"/>
        <v>0</v>
      </c>
      <c r="H45" s="30">
        <f t="shared" si="1"/>
        <v>0</v>
      </c>
    </row>
    <row r="46" spans="1:8" x14ac:dyDescent="0.2">
      <c r="A46" s="16"/>
      <c r="B46" s="16"/>
      <c r="C46" s="14"/>
      <c r="D46" s="16"/>
      <c r="E46" s="18"/>
      <c r="F46" s="18"/>
      <c r="G46" s="29">
        <f t="shared" si="0"/>
        <v>0</v>
      </c>
      <c r="H46" s="29">
        <f t="shared" si="1"/>
        <v>0</v>
      </c>
    </row>
    <row r="47" spans="1:8" x14ac:dyDescent="0.2">
      <c r="A47" s="12"/>
      <c r="B47" s="12"/>
      <c r="C47" s="11"/>
      <c r="D47" s="12"/>
      <c r="E47" s="19"/>
      <c r="F47" s="19"/>
      <c r="G47" s="30">
        <f t="shared" si="0"/>
        <v>0</v>
      </c>
      <c r="H47" s="30">
        <f t="shared" si="1"/>
        <v>0</v>
      </c>
    </row>
    <row r="48" spans="1:8" x14ac:dyDescent="0.2">
      <c r="A48" s="16"/>
      <c r="B48" s="16"/>
      <c r="C48" s="14"/>
      <c r="D48" s="16"/>
      <c r="E48" s="18"/>
      <c r="F48" s="18"/>
      <c r="G48" s="29">
        <f t="shared" si="0"/>
        <v>0</v>
      </c>
      <c r="H48" s="29">
        <f t="shared" si="1"/>
        <v>0</v>
      </c>
    </row>
    <row r="49" spans="1:8" x14ac:dyDescent="0.2">
      <c r="A49" s="12"/>
      <c r="B49" s="12"/>
      <c r="C49" s="11"/>
      <c r="D49" s="12"/>
      <c r="E49" s="19"/>
      <c r="F49" s="19"/>
      <c r="G49" s="30">
        <f t="shared" si="0"/>
        <v>0</v>
      </c>
      <c r="H49" s="30">
        <f t="shared" si="1"/>
        <v>0</v>
      </c>
    </row>
    <row r="50" spans="1:8" x14ac:dyDescent="0.2">
      <c r="A50" s="16"/>
      <c r="B50" s="16"/>
      <c r="C50" s="14"/>
      <c r="D50" s="16"/>
      <c r="E50" s="18"/>
      <c r="F50" s="18"/>
      <c r="G50" s="29">
        <f t="shared" si="0"/>
        <v>0</v>
      </c>
      <c r="H50" s="29">
        <f t="shared" si="1"/>
        <v>0</v>
      </c>
    </row>
    <row r="51" spans="1:8" x14ac:dyDescent="0.2">
      <c r="A51" s="12"/>
      <c r="B51" s="12"/>
      <c r="C51" s="11"/>
      <c r="D51" s="12"/>
      <c r="E51" s="19"/>
      <c r="F51" s="19"/>
      <c r="G51" s="30">
        <f t="shared" si="0"/>
        <v>0</v>
      </c>
      <c r="H51" s="30">
        <f t="shared" si="1"/>
        <v>0</v>
      </c>
    </row>
    <row r="52" spans="1:8" x14ac:dyDescent="0.2">
      <c r="A52" s="16"/>
      <c r="B52" s="16"/>
      <c r="C52" s="14"/>
      <c r="D52" s="16"/>
      <c r="E52" s="18"/>
      <c r="F52" s="18"/>
      <c r="G52" s="29">
        <f t="shared" si="0"/>
        <v>0</v>
      </c>
      <c r="H52" s="29">
        <f t="shared" si="1"/>
        <v>0</v>
      </c>
    </row>
    <row r="53" spans="1:8" x14ac:dyDescent="0.2">
      <c r="A53" s="12"/>
      <c r="B53" s="12"/>
      <c r="C53" s="11"/>
      <c r="D53" s="12"/>
      <c r="E53" s="19"/>
      <c r="F53" s="19"/>
      <c r="G53" s="30">
        <f t="shared" si="0"/>
        <v>0</v>
      </c>
      <c r="H53" s="30">
        <f t="shared" si="1"/>
        <v>0</v>
      </c>
    </row>
    <row r="54" spans="1:8" x14ac:dyDescent="0.2">
      <c r="A54" s="14"/>
      <c r="B54" s="14"/>
      <c r="C54" s="14"/>
      <c r="D54" s="16"/>
      <c r="E54" s="18"/>
      <c r="F54" s="18"/>
      <c r="G54" s="29">
        <f t="shared" si="0"/>
        <v>0</v>
      </c>
      <c r="H54" s="29">
        <f t="shared" si="1"/>
        <v>0</v>
      </c>
    </row>
    <row r="55" spans="1:8" x14ac:dyDescent="0.2">
      <c r="F55" s="37" t="s">
        <v>26</v>
      </c>
      <c r="G55" s="36"/>
      <c r="H55" s="30">
        <f>ROUND(SUM(H39:H54),2)</f>
        <v>15798.56</v>
      </c>
    </row>
    <row r="56" spans="1:8" x14ac:dyDescent="0.2">
      <c r="F56" s="35" t="s">
        <v>65</v>
      </c>
      <c r="G56" s="36"/>
      <c r="H56" s="30">
        <f>ROUND(H55*0.19,2)</f>
        <v>3001.73</v>
      </c>
    </row>
    <row r="57" spans="1:8" ht="15" x14ac:dyDescent="0.25">
      <c r="F57" s="33" t="s">
        <v>27</v>
      </c>
      <c r="G57" s="34"/>
      <c r="H57" s="30">
        <f>ROUND(H55+H56,2)</f>
        <v>18800.29</v>
      </c>
    </row>
    <row r="60" spans="1:8" x14ac:dyDescent="0.2">
      <c r="A60" s="23" t="s">
        <v>45</v>
      </c>
      <c r="C60" s="23" t="s">
        <v>47</v>
      </c>
      <c r="D60" s="25" t="s">
        <v>6</v>
      </c>
      <c r="E60" s="32" t="s">
        <v>7</v>
      </c>
      <c r="F60" s="32"/>
      <c r="G60" s="23" t="s">
        <v>55</v>
      </c>
    </row>
    <row r="61" spans="1:8" x14ac:dyDescent="0.2">
      <c r="A61" s="23" t="s">
        <v>4</v>
      </c>
      <c r="C61" s="23" t="s">
        <v>32</v>
      </c>
      <c r="D61" s="25" t="s">
        <v>50</v>
      </c>
      <c r="E61" s="32" t="s">
        <v>8</v>
      </c>
      <c r="F61" s="32"/>
      <c r="G61" s="23" t="s">
        <v>56</v>
      </c>
    </row>
    <row r="62" spans="1:8" x14ac:dyDescent="0.2">
      <c r="A62" s="23" t="s">
        <v>5</v>
      </c>
      <c r="C62" s="23" t="s">
        <v>33</v>
      </c>
      <c r="D62" s="25" t="s">
        <v>51</v>
      </c>
      <c r="E62" s="32" t="s">
        <v>53</v>
      </c>
      <c r="F62" s="32"/>
      <c r="G62" s="23" t="s">
        <v>60</v>
      </c>
    </row>
    <row r="63" spans="1:8" x14ac:dyDescent="0.2">
      <c r="A63" s="4" t="s">
        <v>46</v>
      </c>
      <c r="C63" s="4" t="s">
        <v>48</v>
      </c>
      <c r="D63" s="25" t="s">
        <v>52</v>
      </c>
      <c r="E63" s="32" t="s">
        <v>54</v>
      </c>
      <c r="F63" s="32"/>
      <c r="G63" s="4" t="s">
        <v>59</v>
      </c>
    </row>
    <row r="64" spans="1:8" x14ac:dyDescent="0.2">
      <c r="A64" s="4" t="s">
        <v>57</v>
      </c>
      <c r="B64" s="4" t="s">
        <v>58</v>
      </c>
      <c r="C64" s="4" t="s">
        <v>49</v>
      </c>
      <c r="G64" s="23" t="s">
        <v>9</v>
      </c>
    </row>
    <row r="65" spans="7:7" x14ac:dyDescent="0.2">
      <c r="G65" s="4" t="s">
        <v>61</v>
      </c>
    </row>
    <row r="66" spans="7:7" x14ac:dyDescent="0.2">
      <c r="G66" s="4" t="s">
        <v>62</v>
      </c>
    </row>
  </sheetData>
  <mergeCells count="7">
    <mergeCell ref="E62:F62"/>
    <mergeCell ref="E63:F63"/>
    <mergeCell ref="F57:G57"/>
    <mergeCell ref="F56:G56"/>
    <mergeCell ref="F55:G55"/>
    <mergeCell ref="E60:F60"/>
    <mergeCell ref="E61:F61"/>
  </mergeCells>
  <printOptions headings="1" gridLines="1"/>
  <pageMargins left="0.7" right="0.7" top="0.78740157499999996" bottom="0.78740157499999996" header="0.3" footer="0.3"/>
  <pageSetup paperSize="9" scale="61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Vorlage</vt:lpstr>
      <vt:lpstr>Tabelle2</vt:lpstr>
      <vt:lpstr>Tabelle3</vt:lpstr>
      <vt:lpstr>Vorlage!Druckbereich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</cp:lastModifiedBy>
  <cp:lastPrinted>2017-02-24T17:09:50Z</cp:lastPrinted>
  <dcterms:created xsi:type="dcterms:W3CDTF">2013-07-23T18:05:04Z</dcterms:created>
  <dcterms:modified xsi:type="dcterms:W3CDTF">2019-06-22T07:59:07Z</dcterms:modified>
</cp:coreProperties>
</file>