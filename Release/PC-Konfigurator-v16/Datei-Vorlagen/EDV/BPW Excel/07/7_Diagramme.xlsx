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ldungsverlag1 - Büroreihe\BV1 - BüroTechnik\Auflage_6\Aufgaben_Apel\07\"/>
    </mc:Choice>
  </mc:AlternateContent>
  <xr:revisionPtr revIDLastSave="0" documentId="13_ncr:1_{F59ADCEA-8A8F-49F0-AD4B-F45CBE09173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usgangsdaten 1" sheetId="1" r:id="rId1"/>
    <sheet name="Ausgangsdaten 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F9" i="1" s="1"/>
  <c r="E10" i="1"/>
  <c r="F10" i="1" s="1"/>
  <c r="E11" i="1"/>
  <c r="F11" i="1" s="1"/>
  <c r="G11" i="1" s="1"/>
  <c r="E12" i="1"/>
  <c r="F12" i="1" s="1"/>
  <c r="G12" i="1" s="1"/>
  <c r="E6" i="1"/>
  <c r="F6" i="1" s="1"/>
  <c r="G10" i="1" l="1"/>
  <c r="F8" i="1"/>
  <c r="G8" i="1" s="1"/>
  <c r="F7" i="1"/>
  <c r="G7" i="1" s="1"/>
  <c r="G6" i="1"/>
  <c r="G9" i="1"/>
</calcChain>
</file>

<file path=xl/sharedStrings.xml><?xml version="1.0" encoding="utf-8"?>
<sst xmlns="http://schemas.openxmlformats.org/spreadsheetml/2006/main" count="34" uniqueCount="30">
  <si>
    <t>Artikel</t>
  </si>
  <si>
    <t>1. Halbjahr</t>
  </si>
  <si>
    <t>2. Halbjahr</t>
  </si>
  <si>
    <t>Verkaufspreis</t>
  </si>
  <si>
    <t>Bruttoerlöse
gesamt</t>
  </si>
  <si>
    <t>Rabatt
gesamt</t>
  </si>
  <si>
    <t>Nettoerlöse
gesamt</t>
  </si>
  <si>
    <t>verkaufte Stückzahlen</t>
  </si>
  <si>
    <t>Schreibtisch Ökostar</t>
  </si>
  <si>
    <t>Schreibtisch Ahorn</t>
  </si>
  <si>
    <t>Schreibtisch weiß C-Füße</t>
  </si>
  <si>
    <t>Konferenztischelement lichtgrau</t>
  </si>
  <si>
    <t>Bürostuhl Comfort</t>
  </si>
  <si>
    <t>Chefsessel Bonn Maxx</t>
  </si>
  <si>
    <t>Bürosessel Tenno</t>
  </si>
  <si>
    <t>Entwicklung der Nettoerlöse und der Werbeaufwendungen der Schreibtischserie "Naturkontor" in den Jahren 01 bis 07</t>
  </si>
  <si>
    <t>Jahr</t>
  </si>
  <si>
    <t>Schreibtisch 180 x 90</t>
  </si>
  <si>
    <t>Schreibtisch 160 x 80</t>
  </si>
  <si>
    <t>Schreibtisch 140 x 80</t>
  </si>
  <si>
    <t>Nettoerlöse</t>
  </si>
  <si>
    <t>Werbeauf-
wendungen</t>
  </si>
  <si>
    <t>Jahr 01</t>
  </si>
  <si>
    <t>Jahr 02</t>
  </si>
  <si>
    <t>Jahr 03</t>
  </si>
  <si>
    <t>Jahr 04</t>
  </si>
  <si>
    <t>Jahr 05</t>
  </si>
  <si>
    <t>Jahr 06</t>
  </si>
  <si>
    <t>Jahr 07</t>
  </si>
  <si>
    <t>Übersicht über den Absatz und den Umsatz im Geschäftsjahr 20.. (Auszug)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</si>
</sst>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\€"/>
    <numFmt numFmtId="165" formatCode="_-* #,##0.00\ [$€-1]_-;\-* #,##0.00\ [$€-1]_-;_-* &quot;-&quot;??\ [$€-1]_-"/>
    <numFmt numFmtId="166" formatCode="_-* #,##0.00\ [$€-1]_-;\-* #,##0.00\ [$€-1]_-;_-* &quot;-&quot;??\ [$€-1]_-;_-@_-"/>
    <numFmt numFmtId="167" formatCode="_-* #,##0.00\ [$€-407]_-;\-* #,##0.00\ [$€-407]_-;_-* &quot;-&quot;??\ [$€-407]_-;_-@_-"/>
  </numFmts>
  <fonts count="5" x14ac:knownFonts="1">
    <font>
      <sz val="10"/>
      <name val="Arial"/>
    </font>
    <font>
      <sz val="1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 applyAlignment="1">
      <alignment horizontal="center" vertical="center" wrapText="1"/>
    </xf>
    <xf numFmtId="165" fontId="0" fillId="0" borderId="1" xfId="1" applyFont="1" applyBorder="1"/>
    <xf numFmtId="166" fontId="0" fillId="0" borderId="1" xfId="0" applyNumberFormat="1" applyBorder="1"/>
    <xf numFmtId="0" fontId="0" fillId="2" borderId="2" xfId="0" applyFill="1" applyBorder="1" applyAlignment="1">
      <alignment horizontal="center" vertical="center" wrapText="1"/>
    </xf>
    <xf numFmtId="166" fontId="0" fillId="0" borderId="0" xfId="0" applyNumberFormat="1"/>
    <xf numFmtId="0" fontId="2" fillId="0" borderId="0" xfId="0" applyFont="1"/>
    <xf numFmtId="0" fontId="3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7" fontId="3" fillId="0" borderId="1" xfId="0" applyNumberFormat="1" applyFont="1" applyBorder="1"/>
    <xf numFmtId="0" fontId="4" fillId="0" borderId="0" xfId="0" applyFont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2">
    <cellStyle name="Euro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220" zoomScaleNormal="220" workbookViewId="0"/>
  </sheetViews>
  <sheetFormatPr baseColWidth="10" defaultRowHeight="12.5" x14ac:dyDescent="0.25"/>
  <cols>
    <col min="1" max="1" width="28.7265625" customWidth="1"/>
    <col min="2" max="4" width="12.7265625" customWidth="1"/>
    <col min="5" max="5" width="14.7265625" customWidth="1"/>
    <col min="6" max="6" width="12.7265625" customWidth="1"/>
    <col min="7" max="7" width="14.7265625" customWidth="1"/>
  </cols>
  <sheetData>
    <row r="1" spans="1:7" ht="15.5" x14ac:dyDescent="0.35">
      <c r="A1" s="14" t="s">
        <v>29</v>
      </c>
    </row>
    <row r="3" spans="1:7" ht="13" thickBot="1" x14ac:dyDescent="0.3"/>
    <row r="4" spans="1:7" ht="13" thickBot="1" x14ac:dyDescent="0.3">
      <c r="B4" s="15" t="s">
        <v>7</v>
      </c>
      <c r="C4" s="16"/>
    </row>
    <row r="5" spans="1:7" ht="28" customHeight="1" x14ac:dyDescent="0.25">
      <c r="A5" s="3" t="s">
        <v>0</v>
      </c>
      <c r="B5" s="6" t="s">
        <v>1</v>
      </c>
      <c r="C5" s="6" t="s">
        <v>2</v>
      </c>
      <c r="D5" s="3" t="s">
        <v>3</v>
      </c>
      <c r="E5" s="3" t="s">
        <v>4</v>
      </c>
      <c r="F5" s="3" t="s">
        <v>5</v>
      </c>
      <c r="G5" s="3" t="s">
        <v>6</v>
      </c>
    </row>
    <row r="6" spans="1:7" ht="16" customHeight="1" x14ac:dyDescent="0.25">
      <c r="A6" s="1" t="s">
        <v>8</v>
      </c>
      <c r="B6" s="1">
        <v>120</v>
      </c>
      <c r="C6" s="1">
        <v>150</v>
      </c>
      <c r="D6" s="2">
        <v>489</v>
      </c>
      <c r="E6" s="4">
        <f>SUM(B6:C6)*D6</f>
        <v>132030</v>
      </c>
      <c r="F6" s="5">
        <f>E6*7.5%</f>
        <v>9902.25</v>
      </c>
      <c r="G6" s="5">
        <f>E6-F6</f>
        <v>122127.75</v>
      </c>
    </row>
    <row r="7" spans="1:7" ht="16" customHeight="1" x14ac:dyDescent="0.25">
      <c r="A7" s="1" t="s">
        <v>9</v>
      </c>
      <c r="B7" s="1">
        <v>110</v>
      </c>
      <c r="C7" s="1">
        <v>140</v>
      </c>
      <c r="D7" s="2">
        <v>519</v>
      </c>
      <c r="E7" s="4">
        <f t="shared" ref="E7:E12" si="0">SUM(B7:C7)*D7</f>
        <v>129750</v>
      </c>
      <c r="F7" s="5">
        <f>E7*7.55%</f>
        <v>9796.125</v>
      </c>
      <c r="G7" s="5">
        <f t="shared" ref="G7:G12" si="1">E7-F7</f>
        <v>119953.875</v>
      </c>
    </row>
    <row r="8" spans="1:7" ht="16" customHeight="1" x14ac:dyDescent="0.25">
      <c r="A8" s="1" t="s">
        <v>10</v>
      </c>
      <c r="B8" s="1">
        <v>200</v>
      </c>
      <c r="C8" s="1">
        <v>240</v>
      </c>
      <c r="D8" s="2">
        <v>219</v>
      </c>
      <c r="E8" s="4">
        <f t="shared" si="0"/>
        <v>96360</v>
      </c>
      <c r="F8" s="5">
        <f>E8*7.55%</f>
        <v>7275.1799999999994</v>
      </c>
      <c r="G8" s="5">
        <f t="shared" si="1"/>
        <v>89084.82</v>
      </c>
    </row>
    <row r="9" spans="1:7" ht="16" customHeight="1" x14ac:dyDescent="0.25">
      <c r="A9" s="1" t="s">
        <v>11</v>
      </c>
      <c r="B9" s="1">
        <v>260</v>
      </c>
      <c r="C9" s="1">
        <v>300</v>
      </c>
      <c r="D9" s="2">
        <v>98</v>
      </c>
      <c r="E9" s="4">
        <f t="shared" si="0"/>
        <v>54880</v>
      </c>
      <c r="F9" s="5">
        <f>E9*10%</f>
        <v>5488</v>
      </c>
      <c r="G9" s="5">
        <f t="shared" si="1"/>
        <v>49392</v>
      </c>
    </row>
    <row r="10" spans="1:7" ht="16" customHeight="1" x14ac:dyDescent="0.25">
      <c r="A10" s="1" t="s">
        <v>12</v>
      </c>
      <c r="B10" s="1">
        <v>230</v>
      </c>
      <c r="C10" s="1">
        <v>290</v>
      </c>
      <c r="D10" s="2">
        <v>228</v>
      </c>
      <c r="E10" s="4">
        <f t="shared" si="0"/>
        <v>118560</v>
      </c>
      <c r="F10" s="5">
        <f>E10*7.5%</f>
        <v>8892</v>
      </c>
      <c r="G10" s="5">
        <f t="shared" si="1"/>
        <v>109668</v>
      </c>
    </row>
    <row r="11" spans="1:7" ht="16" customHeight="1" x14ac:dyDescent="0.25">
      <c r="A11" s="1" t="s">
        <v>13</v>
      </c>
      <c r="B11" s="1">
        <v>150</v>
      </c>
      <c r="C11" s="1">
        <v>180</v>
      </c>
      <c r="D11" s="2">
        <v>399</v>
      </c>
      <c r="E11" s="4">
        <f t="shared" si="0"/>
        <v>131670</v>
      </c>
      <c r="F11" s="5">
        <f>E11*7.5%</f>
        <v>9875.25</v>
      </c>
      <c r="G11" s="5">
        <f t="shared" si="1"/>
        <v>121794.75</v>
      </c>
    </row>
    <row r="12" spans="1:7" ht="16" customHeight="1" x14ac:dyDescent="0.25">
      <c r="A12" s="1" t="s">
        <v>14</v>
      </c>
      <c r="B12" s="1">
        <v>130</v>
      </c>
      <c r="C12" s="1">
        <v>150</v>
      </c>
      <c r="D12" s="2">
        <v>349</v>
      </c>
      <c r="E12" s="4">
        <f t="shared" si="0"/>
        <v>97720</v>
      </c>
      <c r="F12" s="5">
        <f>E12*10%</f>
        <v>9772</v>
      </c>
      <c r="G12" s="5">
        <f t="shared" si="1"/>
        <v>87948</v>
      </c>
    </row>
    <row r="13" spans="1:7" x14ac:dyDescent="0.25">
      <c r="G13" s="7"/>
    </row>
  </sheetData>
  <mergeCells count="1">
    <mergeCell ref="B4:C4"/>
  </mergeCells>
  <phoneticPr fontId="0" type="noConversion"/>
  <pageMargins left="0.78740157499999996" right="0.78740157499999996" top="0.984251969" bottom="0.984251969" header="0.4921259845" footer="0.492125984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="215" zoomScaleNormal="215" workbookViewId="0"/>
  </sheetViews>
  <sheetFormatPr baseColWidth="10" defaultColWidth="11.453125" defaultRowHeight="12.5" x14ac:dyDescent="0.25"/>
  <cols>
    <col min="1" max="1" width="14.7265625" style="9" customWidth="1"/>
    <col min="2" max="7" width="17.7265625" style="9" customWidth="1"/>
    <col min="8" max="8" width="12.7265625" style="9" customWidth="1"/>
    <col min="9" max="16384" width="11.453125" style="9"/>
  </cols>
  <sheetData>
    <row r="1" spans="1:7" ht="14" x14ac:dyDescent="0.3">
      <c r="A1" s="8" t="s">
        <v>15</v>
      </c>
    </row>
    <row r="3" spans="1:7" x14ac:dyDescent="0.25">
      <c r="A3" s="17" t="s">
        <v>16</v>
      </c>
      <c r="B3" s="19" t="s">
        <v>17</v>
      </c>
      <c r="C3" s="19"/>
      <c r="D3" s="19" t="s">
        <v>18</v>
      </c>
      <c r="E3" s="19"/>
      <c r="F3" s="19" t="s">
        <v>19</v>
      </c>
      <c r="G3" s="19"/>
    </row>
    <row r="4" spans="1:7" ht="25" x14ac:dyDescent="0.25">
      <c r="A4" s="18"/>
      <c r="B4" s="10" t="s">
        <v>20</v>
      </c>
      <c r="C4" s="11" t="s">
        <v>21</v>
      </c>
      <c r="D4" s="10" t="s">
        <v>20</v>
      </c>
      <c r="E4" s="11" t="s">
        <v>21</v>
      </c>
      <c r="F4" s="10" t="s">
        <v>20</v>
      </c>
      <c r="G4" s="11" t="s">
        <v>21</v>
      </c>
    </row>
    <row r="5" spans="1:7" x14ac:dyDescent="0.25">
      <c r="A5" s="12" t="s">
        <v>22</v>
      </c>
      <c r="B5" s="13">
        <v>230500</v>
      </c>
      <c r="C5" s="13">
        <v>17600</v>
      </c>
      <c r="D5" s="13">
        <v>170100</v>
      </c>
      <c r="E5" s="13">
        <v>14500</v>
      </c>
      <c r="F5" s="13">
        <v>190300</v>
      </c>
      <c r="G5" s="13">
        <v>18300</v>
      </c>
    </row>
    <row r="6" spans="1:7" x14ac:dyDescent="0.25">
      <c r="A6" s="12" t="s">
        <v>23</v>
      </c>
      <c r="B6" s="13">
        <v>240200</v>
      </c>
      <c r="C6" s="13">
        <v>18200</v>
      </c>
      <c r="D6" s="13">
        <v>190700</v>
      </c>
      <c r="E6" s="13">
        <v>14700</v>
      </c>
      <c r="F6" s="13">
        <v>200400</v>
      </c>
      <c r="G6" s="13">
        <v>18800</v>
      </c>
    </row>
    <row r="7" spans="1:7" x14ac:dyDescent="0.25">
      <c r="A7" s="12" t="s">
        <v>24</v>
      </c>
      <c r="B7" s="13">
        <v>260700</v>
      </c>
      <c r="C7" s="13">
        <v>18700</v>
      </c>
      <c r="D7" s="13">
        <v>200400</v>
      </c>
      <c r="E7" s="13">
        <v>15200</v>
      </c>
      <c r="F7" s="13">
        <v>222300</v>
      </c>
      <c r="G7" s="13">
        <v>19100</v>
      </c>
    </row>
    <row r="8" spans="1:7" x14ac:dyDescent="0.25">
      <c r="A8" s="12" t="s">
        <v>25</v>
      </c>
      <c r="B8" s="13">
        <v>280300</v>
      </c>
      <c r="C8" s="13">
        <v>19000</v>
      </c>
      <c r="D8" s="13">
        <v>222200</v>
      </c>
      <c r="E8" s="13">
        <v>15600</v>
      </c>
      <c r="F8" s="13">
        <v>233500</v>
      </c>
      <c r="G8" s="13">
        <v>17800</v>
      </c>
    </row>
    <row r="9" spans="1:7" x14ac:dyDescent="0.25">
      <c r="A9" s="12" t="s">
        <v>26</v>
      </c>
      <c r="B9" s="13">
        <v>290700</v>
      </c>
      <c r="C9" s="13">
        <v>18700</v>
      </c>
      <c r="D9" s="13">
        <v>230600</v>
      </c>
      <c r="E9" s="13">
        <v>16200</v>
      </c>
      <c r="F9" s="13">
        <v>254000</v>
      </c>
      <c r="G9" s="13">
        <v>17700</v>
      </c>
    </row>
    <row r="10" spans="1:7" x14ac:dyDescent="0.25">
      <c r="A10" s="12" t="s">
        <v>27</v>
      </c>
      <c r="B10" s="13">
        <v>300800</v>
      </c>
      <c r="C10" s="13">
        <v>18300</v>
      </c>
      <c r="D10" s="13">
        <v>250800</v>
      </c>
      <c r="E10" s="13">
        <v>17200</v>
      </c>
      <c r="F10" s="13">
        <v>272500</v>
      </c>
      <c r="G10" s="13">
        <v>19500</v>
      </c>
    </row>
    <row r="11" spans="1:7" x14ac:dyDescent="0.25">
      <c r="A11" s="12" t="s">
        <v>28</v>
      </c>
      <c r="B11" s="13">
        <v>333900</v>
      </c>
      <c r="C11" s="13">
        <v>17700</v>
      </c>
      <c r="D11" s="13">
        <v>260900</v>
      </c>
      <c r="E11" s="13">
        <v>18100</v>
      </c>
      <c r="F11" s="13">
        <v>292300</v>
      </c>
      <c r="G11" s="13">
        <v>20200</v>
      </c>
    </row>
  </sheetData>
  <mergeCells count="4">
    <mergeCell ref="A3:A4"/>
    <mergeCell ref="B3:C3"/>
    <mergeCell ref="D3:E3"/>
    <mergeCell ref="F3:G3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5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Ausgangsdaten 1</vt:lpstr>
      <vt:lpstr>Ausgangsdaten 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</dc:creator>
  <cp:lastModifiedBy>Olaf Apel</cp:lastModifiedBy>
  <dcterms:created xsi:type="dcterms:W3CDTF">2007-04-08T11:13:08Z</dcterms:created>
  <dcterms:modified xsi:type="dcterms:W3CDTF">2025-01-12T11:23:43Z</dcterms:modified>
</cp:coreProperties>
</file>