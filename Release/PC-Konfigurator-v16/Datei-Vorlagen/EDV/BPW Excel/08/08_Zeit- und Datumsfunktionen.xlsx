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08\"/>
    </mc:Choice>
  </mc:AlternateContent>
  <xr:revisionPtr revIDLastSave="0" documentId="13_ncr:1_{73F96481-1FA4-44B9-8360-E4092D48A9C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8.1 Zeitfunktionen" sheetId="1" r:id="rId1"/>
    <sheet name="8.2.1 - 8.2.3" sheetId="2" r:id="rId2"/>
    <sheet name="8.2.4 - 8.2.5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9" i="3" l="1"/>
  <c r="D10" i="3"/>
  <c r="D11" i="3"/>
  <c r="D12" i="3"/>
  <c r="D13" i="3"/>
  <c r="D14" i="3"/>
  <c r="D15" i="3"/>
  <c r="D16" i="3"/>
  <c r="D9" i="3"/>
  <c r="F16" i="2" l="1"/>
  <c r="G16" i="2" s="1"/>
  <c r="F17" i="2"/>
  <c r="G17" i="2" s="1"/>
  <c r="G19" i="2" l="1"/>
  <c r="G20" i="2" l="1"/>
  <c r="G21" i="2" s="1"/>
</calcChain>
</file>

<file path=xl/sharedStrings.xml><?xml version="1.0" encoding="utf-8"?>
<sst xmlns="http://schemas.openxmlformats.org/spreadsheetml/2006/main" count="61" uniqueCount="42">
  <si>
    <t>Position</t>
  </si>
  <si>
    <t>Beschreibung</t>
  </si>
  <si>
    <t>Zeitaufwand</t>
  </si>
  <si>
    <t>Preis/
Stunde</t>
  </si>
  <si>
    <t>Beginn der
Leistung</t>
  </si>
  <si>
    <t>Ende der
Leistung</t>
  </si>
  <si>
    <t>ausführliche Einweisung</t>
  </si>
  <si>
    <t>Erzbergerufer 10</t>
  </si>
  <si>
    <t>53111 Bonn</t>
  </si>
  <si>
    <t>Datum:</t>
  </si>
  <si>
    <t>Gesamt (netto)</t>
  </si>
  <si>
    <t xml:space="preserve"> + 19 % USt.</t>
  </si>
  <si>
    <t>Gesamt (brutto)</t>
  </si>
  <si>
    <t>An dieses Angebot halten wir uns gebunden bis zum</t>
  </si>
  <si>
    <t>kostenlos.</t>
  </si>
  <si>
    <t>Kreditdauer (360 Tage)</t>
  </si>
  <si>
    <t>angebotener Zahlungstermin für Kredit</t>
  </si>
  <si>
    <t>vergangene Tage seit letzter Bestellung</t>
  </si>
  <si>
    <t>letzte Bestellung am</t>
  </si>
  <si>
    <t>Name</t>
  </si>
  <si>
    <t>Kunden-Nr.</t>
  </si>
  <si>
    <t>anfallende Kreditzinsen</t>
  </si>
  <si>
    <t>Rechnungs-
betrag</t>
  </si>
  <si>
    <t>- Ermittlung der dem Kunden in Rechnung zu stellenden Kreditzinsen bei Finanzierung über unsere Hausbank -</t>
  </si>
  <si>
    <t>Gesamt-
preis</t>
  </si>
  <si>
    <t>Duisdorfer BüroKonzept KG, Rochusstraße 30, 53123 Bonn</t>
  </si>
  <si>
    <t>LEPA Bonn GmbH</t>
  </si>
  <si>
    <t>Neuhoff KG</t>
  </si>
  <si>
    <t>Intermöbel GmbH</t>
  </si>
  <si>
    <t>Stadt Bonn</t>
  </si>
  <si>
    <t>Frohn KG</t>
  </si>
  <si>
    <t>Gilles &amp; Partner</t>
  </si>
  <si>
    <t>Stammhaus KG</t>
  </si>
  <si>
    <t>Rhenag GmbH</t>
  </si>
  <si>
    <t>Aufbau Büroarbeitsplatz</t>
  </si>
  <si>
    <t>Wenn Sie sich für unser Angebot entscheiden, sind alle Service-Checks bis Ende</t>
  </si>
  <si>
    <t>durchgeführt werden.</t>
  </si>
  <si>
    <t>Gerne bestätigen wir Ihnen, dass die o. g. Arbeiten wunschgemäß am</t>
  </si>
  <si>
    <t>Brinkmann OHG</t>
  </si>
  <si>
    <t>Zahlungstermin, 
netto Kasse</t>
  </si>
  <si>
    <t>Angebot Nr. 1050/2026</t>
  </si>
  <si>
    <t>Übersicht über die am 01.12.2026 eingegangenen Bestellungen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</si>
</sst>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"/>
    <numFmt numFmtId="165" formatCode="_-* #,##0.00\ [$€-1]_-;\-* #,##0.00\ [$€-1]_-;_-* &quot;-&quot;??\ [$€-1]_-"/>
    <numFmt numFmtId="166" formatCode="_-* #,##0.00\ [$€-1]_-;\-* #,##0.00\ [$€-1]_-;_-* &quot;-&quot;??\ [$€-1]_-;_-@_-"/>
    <numFmt numFmtId="167" formatCode="#,##0.00\ [$€-1]"/>
    <numFmt numFmtId="168" formatCode="dddd\,"/>
    <numFmt numFmtId="169" formatCode="dd/mm/yyyy/"/>
    <numFmt numFmtId="170" formatCode="0\ &quot;Tage&quot;"/>
    <numFmt numFmtId="171" formatCode="&quot;des Jahres&quot;\ 0"/>
  </numFmts>
  <fonts count="6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5" fillId="0" borderId="0"/>
  </cellStyleXfs>
  <cellXfs count="51">
    <xf numFmtId="0" fontId="0" fillId="0" borderId="0" xfId="0"/>
    <xf numFmtId="0" fontId="2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2" xfId="0" applyBorder="1"/>
    <xf numFmtId="165" fontId="0" fillId="0" borderId="1" xfId="1" applyFont="1" applyBorder="1"/>
    <xf numFmtId="20" fontId="0" fillId="0" borderId="1" xfId="0" applyNumberFormat="1" applyBorder="1"/>
    <xf numFmtId="0" fontId="3" fillId="0" borderId="0" xfId="0" applyFont="1"/>
    <xf numFmtId="14" fontId="0" fillId="0" borderId="0" xfId="0" applyNumberForma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0" borderId="8" xfId="0" applyFont="1" applyBorder="1"/>
    <xf numFmtId="14" fontId="0" fillId="0" borderId="0" xfId="0" applyNumberFormat="1" applyAlignment="1">
      <alignment horizontal="left"/>
    </xf>
    <xf numFmtId="20" fontId="0" fillId="0" borderId="0" xfId="0" applyNumberFormat="1"/>
    <xf numFmtId="20" fontId="0" fillId="0" borderId="9" xfId="0" applyNumberFormat="1" applyBorder="1"/>
    <xf numFmtId="166" fontId="0" fillId="0" borderId="10" xfId="0" applyNumberFormat="1" applyBorder="1"/>
    <xf numFmtId="0" fontId="4" fillId="0" borderId="0" xfId="0" applyFont="1"/>
    <xf numFmtId="0" fontId="5" fillId="0" borderId="1" xfId="0" applyFont="1" applyBorder="1"/>
    <xf numFmtId="0" fontId="5" fillId="0" borderId="0" xfId="0" applyFont="1"/>
    <xf numFmtId="14" fontId="5" fillId="0" borderId="1" xfId="0" applyNumberFormat="1" applyFont="1" applyBorder="1"/>
    <xf numFmtId="165" fontId="5" fillId="0" borderId="1" xfId="1" applyFont="1" applyBorder="1"/>
    <xf numFmtId="0" fontId="4" fillId="0" borderId="0" xfId="0" quotePrefix="1" applyFont="1"/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165" fontId="0" fillId="2" borderId="1" xfId="1" applyFont="1" applyFill="1" applyBorder="1"/>
    <xf numFmtId="20" fontId="0" fillId="2" borderId="1" xfId="0" applyNumberFormat="1" applyFill="1" applyBorder="1"/>
    <xf numFmtId="20" fontId="0" fillId="2" borderId="9" xfId="0" applyNumberFormat="1" applyFill="1" applyBorder="1"/>
    <xf numFmtId="0" fontId="4" fillId="2" borderId="11" xfId="0" applyFont="1" applyFill="1" applyBorder="1" applyAlignment="1">
      <alignment horizontal="right"/>
    </xf>
    <xf numFmtId="0" fontId="4" fillId="2" borderId="1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right"/>
    </xf>
    <xf numFmtId="0" fontId="4" fillId="0" borderId="13" xfId="0" quotePrefix="1" applyFont="1" applyBorder="1" applyAlignment="1">
      <alignment horizontal="right"/>
    </xf>
    <xf numFmtId="167" fontId="0" fillId="2" borderId="1" xfId="1" applyNumberFormat="1" applyFont="1" applyFill="1" applyBorder="1"/>
    <xf numFmtId="167" fontId="0" fillId="2" borderId="14" xfId="0" applyNumberFormat="1" applyFill="1" applyBorder="1"/>
    <xf numFmtId="167" fontId="0" fillId="0" borderId="10" xfId="0" applyNumberFormat="1" applyBorder="1"/>
    <xf numFmtId="167" fontId="0" fillId="2" borderId="15" xfId="0" applyNumberFormat="1" applyFill="1" applyBorder="1"/>
    <xf numFmtId="165" fontId="0" fillId="2" borderId="14" xfId="0" applyNumberFormat="1" applyFill="1" applyBorder="1"/>
    <xf numFmtId="166" fontId="0" fillId="2" borderId="15" xfId="0" applyNumberFormat="1" applyFill="1" applyBorder="1"/>
    <xf numFmtId="0" fontId="5" fillId="0" borderId="1" xfId="2" applyBorder="1" applyAlignment="1">
      <alignment horizontal="center" vertical="center"/>
    </xf>
    <xf numFmtId="0" fontId="5" fillId="0" borderId="1" xfId="2" applyBorder="1" applyAlignment="1">
      <alignment vertic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9" fontId="0" fillId="0" borderId="0" xfId="0" applyNumberFormat="1"/>
    <xf numFmtId="20" fontId="0" fillId="0" borderId="1" xfId="1" applyNumberFormat="1" applyFont="1" applyBorder="1"/>
    <xf numFmtId="20" fontId="0" fillId="2" borderId="1" xfId="1" applyNumberFormat="1" applyFont="1" applyFill="1" applyBorder="1"/>
    <xf numFmtId="2" fontId="0" fillId="0" borderId="1" xfId="1" applyNumberFormat="1" applyFont="1" applyBorder="1"/>
    <xf numFmtId="170" fontId="5" fillId="0" borderId="1" xfId="0" applyNumberFormat="1" applyFont="1" applyBorder="1"/>
    <xf numFmtId="171" fontId="0" fillId="0" borderId="0" xfId="0" applyNumberFormat="1"/>
  </cellXfs>
  <cellStyles count="3">
    <cellStyle name="Euro" xfId="1" xr:uid="{00000000-0005-0000-0000-000000000000}"/>
    <cellStyle name="Standard" xfId="0" builtinId="0"/>
    <cellStyle name="Standard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G26"/>
  <sheetViews>
    <sheetView tabSelected="1" topLeftCell="A5" zoomScale="250" zoomScaleNormal="250" workbookViewId="0">
      <selection activeCell="A5" sqref="A5"/>
    </sheetView>
  </sheetViews>
  <sheetFormatPr baseColWidth="10" defaultRowHeight="12.5" x14ac:dyDescent="0.25"/>
  <cols>
    <col min="1" max="1" width="12.7265625" customWidth="1"/>
    <col min="2" max="2" width="21.7265625" customWidth="1"/>
    <col min="3" max="5" width="12.7265625" customWidth="1"/>
    <col min="6" max="6" width="14.7265625" customWidth="1"/>
    <col min="7" max="7" width="13.7265625" customWidth="1"/>
  </cols>
  <sheetData>
    <row r="5" spans="1:7" ht="13" x14ac:dyDescent="0.3">
      <c r="A5" s="7" t="s">
        <v>25</v>
      </c>
    </row>
    <row r="6" spans="1:7" x14ac:dyDescent="0.25">
      <c r="A6" s="9"/>
      <c r="B6" s="10"/>
    </row>
    <row r="7" spans="1:7" ht="13" x14ac:dyDescent="0.3">
      <c r="A7" s="14" t="s">
        <v>26</v>
      </c>
      <c r="B7" s="11"/>
    </row>
    <row r="8" spans="1:7" ht="13" x14ac:dyDescent="0.3">
      <c r="A8" s="14" t="s">
        <v>7</v>
      </c>
      <c r="B8" s="11"/>
    </row>
    <row r="9" spans="1:7" ht="13" x14ac:dyDescent="0.3">
      <c r="A9" s="14" t="s">
        <v>8</v>
      </c>
      <c r="B9" s="11"/>
    </row>
    <row r="10" spans="1:7" x14ac:dyDescent="0.25">
      <c r="A10" s="12"/>
      <c r="B10" s="13"/>
      <c r="E10" s="16"/>
    </row>
    <row r="13" spans="1:7" ht="15.5" x14ac:dyDescent="0.35">
      <c r="A13" s="1" t="s">
        <v>40</v>
      </c>
      <c r="F13" s="44" t="s">
        <v>9</v>
      </c>
      <c r="G13" s="8">
        <v>46360</v>
      </c>
    </row>
    <row r="15" spans="1:7" ht="26" x14ac:dyDescent="0.25">
      <c r="A15" s="32" t="s">
        <v>0</v>
      </c>
      <c r="B15" s="32" t="s">
        <v>1</v>
      </c>
      <c r="C15" s="32" t="s">
        <v>3</v>
      </c>
      <c r="D15" s="32" t="s">
        <v>4</v>
      </c>
      <c r="E15" s="32" t="s">
        <v>5</v>
      </c>
      <c r="F15" s="32" t="s">
        <v>2</v>
      </c>
      <c r="G15" s="32" t="s">
        <v>24</v>
      </c>
    </row>
    <row r="16" spans="1:7" x14ac:dyDescent="0.25">
      <c r="A16" s="2">
        <v>1</v>
      </c>
      <c r="B16" s="3" t="s">
        <v>34</v>
      </c>
      <c r="C16" s="5">
        <v>60</v>
      </c>
      <c r="D16" s="6">
        <v>0.35416666666666669</v>
      </c>
      <c r="E16" s="6">
        <v>0.41666666666666669</v>
      </c>
      <c r="F16" s="46"/>
      <c r="G16" s="48"/>
    </row>
    <row r="17" spans="1:7" x14ac:dyDescent="0.25">
      <c r="A17" s="26">
        <v>2</v>
      </c>
      <c r="B17" s="27" t="s">
        <v>6</v>
      </c>
      <c r="C17" s="28">
        <v>50</v>
      </c>
      <c r="D17" s="29">
        <v>0.41666666666666669</v>
      </c>
      <c r="E17" s="29">
        <v>0.47916666666666669</v>
      </c>
      <c r="F17" s="47"/>
      <c r="G17" s="35"/>
    </row>
    <row r="18" spans="1:7" ht="13" thickBot="1" x14ac:dyDescent="0.3">
      <c r="A18" s="2"/>
      <c r="B18" s="3"/>
      <c r="C18" s="5"/>
      <c r="D18" s="6"/>
      <c r="E18" s="6"/>
      <c r="F18" s="4"/>
      <c r="G18" s="4"/>
    </row>
    <row r="19" spans="1:7" ht="13" x14ac:dyDescent="0.3">
      <c r="F19" s="33" t="s">
        <v>10</v>
      </c>
      <c r="G19" s="36"/>
    </row>
    <row r="20" spans="1:7" ht="13" x14ac:dyDescent="0.3">
      <c r="F20" s="34" t="s">
        <v>11</v>
      </c>
      <c r="G20" s="37"/>
    </row>
    <row r="21" spans="1:7" ht="13.5" thickBot="1" x14ac:dyDescent="0.35">
      <c r="F21" s="31" t="s">
        <v>12</v>
      </c>
      <c r="G21" s="38"/>
    </row>
    <row r="25" spans="1:7" x14ac:dyDescent="0.25">
      <c r="B25" s="16"/>
    </row>
    <row r="26" spans="1:7" x14ac:dyDescent="0.25">
      <c r="B26" s="16"/>
      <c r="C26" s="16"/>
    </row>
  </sheetData>
  <phoneticPr fontId="0" type="noConversion"/>
  <pageMargins left="0.78740157499999996" right="0.78740157499999996" top="0.984251969" bottom="0.984251969" header="0.4921259845" footer="0.4921259845"/>
  <pageSetup paperSize="9" scale="87" orientation="portrait" vertic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G27"/>
  <sheetViews>
    <sheetView topLeftCell="A5" zoomScale="220" zoomScaleNormal="220" workbookViewId="0">
      <selection activeCell="A14" sqref="A14"/>
    </sheetView>
  </sheetViews>
  <sheetFormatPr baseColWidth="10" defaultRowHeight="12.5" x14ac:dyDescent="0.25"/>
  <cols>
    <col min="1" max="1" width="12.7265625" customWidth="1"/>
    <col min="2" max="2" width="21.7265625" customWidth="1"/>
    <col min="3" max="4" width="13.26953125" customWidth="1"/>
    <col min="5" max="5" width="12.7265625" customWidth="1"/>
    <col min="6" max="6" width="15.7265625" customWidth="1"/>
    <col min="7" max="7" width="12.7265625" customWidth="1"/>
  </cols>
  <sheetData>
    <row r="5" spans="1:7" ht="13" x14ac:dyDescent="0.3">
      <c r="A5" s="7" t="s">
        <v>25</v>
      </c>
    </row>
    <row r="6" spans="1:7" x14ac:dyDescent="0.25">
      <c r="A6" s="9"/>
      <c r="B6" s="10"/>
    </row>
    <row r="7" spans="1:7" ht="13" x14ac:dyDescent="0.3">
      <c r="A7" s="14" t="s">
        <v>26</v>
      </c>
      <c r="B7" s="11"/>
    </row>
    <row r="8" spans="1:7" ht="13" x14ac:dyDescent="0.3">
      <c r="A8" s="14" t="s">
        <v>7</v>
      </c>
      <c r="B8" s="11"/>
    </row>
    <row r="9" spans="1:7" ht="13" x14ac:dyDescent="0.3">
      <c r="A9" s="14" t="s">
        <v>8</v>
      </c>
      <c r="B9" s="11"/>
    </row>
    <row r="10" spans="1:7" x14ac:dyDescent="0.25">
      <c r="A10" s="12"/>
      <c r="B10" s="13"/>
    </row>
    <row r="13" spans="1:7" ht="15.5" x14ac:dyDescent="0.35">
      <c r="A13" s="1" t="s">
        <v>40</v>
      </c>
      <c r="F13" s="44" t="s">
        <v>9</v>
      </c>
      <c r="G13" s="8">
        <v>46360</v>
      </c>
    </row>
    <row r="15" spans="1:7" ht="26" x14ac:dyDescent="0.25">
      <c r="A15" s="32" t="s">
        <v>0</v>
      </c>
      <c r="B15" s="32" t="s">
        <v>1</v>
      </c>
      <c r="C15" s="32" t="s">
        <v>3</v>
      </c>
      <c r="D15" s="32" t="s">
        <v>4</v>
      </c>
      <c r="E15" s="32" t="s">
        <v>5</v>
      </c>
      <c r="F15" s="32" t="s">
        <v>2</v>
      </c>
      <c r="G15" s="32" t="s">
        <v>24</v>
      </c>
    </row>
    <row r="16" spans="1:7" x14ac:dyDescent="0.25">
      <c r="A16" s="2">
        <v>1</v>
      </c>
      <c r="B16" s="3" t="s">
        <v>34</v>
      </c>
      <c r="C16" s="5">
        <v>60</v>
      </c>
      <c r="D16" s="6">
        <v>0.35416666666666669</v>
      </c>
      <c r="E16" s="6">
        <v>0.41666666666666669</v>
      </c>
      <c r="F16" s="17">
        <f>E16-D16</f>
        <v>6.25E-2</v>
      </c>
      <c r="G16" s="5">
        <f>HOUR(F16)*C16+MINUTE(F16)/60*C16</f>
        <v>90</v>
      </c>
    </row>
    <row r="17" spans="1:7" x14ac:dyDescent="0.25">
      <c r="A17" s="26">
        <v>2</v>
      </c>
      <c r="B17" s="27" t="s">
        <v>6</v>
      </c>
      <c r="C17" s="28">
        <v>50</v>
      </c>
      <c r="D17" s="29">
        <v>0.41666666666666669</v>
      </c>
      <c r="E17" s="29">
        <v>0.47916666666666669</v>
      </c>
      <c r="F17" s="30">
        <f>E17-D17</f>
        <v>6.25E-2</v>
      </c>
      <c r="G17" s="28">
        <f>HOUR(F17)*C17+MINUTE(F17)/60*C17</f>
        <v>75</v>
      </c>
    </row>
    <row r="18" spans="1:7" ht="13" thickBot="1" x14ac:dyDescent="0.3">
      <c r="A18" s="2"/>
      <c r="B18" s="3"/>
      <c r="C18" s="5"/>
      <c r="D18" s="6"/>
      <c r="E18" s="6"/>
      <c r="F18" s="4"/>
      <c r="G18" s="4"/>
    </row>
    <row r="19" spans="1:7" ht="13" x14ac:dyDescent="0.3">
      <c r="F19" s="33" t="s">
        <v>10</v>
      </c>
      <c r="G19" s="39">
        <f>SUM(G16:G17)</f>
        <v>165</v>
      </c>
    </row>
    <row r="20" spans="1:7" ht="13" x14ac:dyDescent="0.3">
      <c r="F20" s="34" t="s">
        <v>11</v>
      </c>
      <c r="G20" s="18">
        <f>G19*0.19</f>
        <v>31.35</v>
      </c>
    </row>
    <row r="21" spans="1:7" ht="13.5" thickBot="1" x14ac:dyDescent="0.35">
      <c r="F21" s="31" t="s">
        <v>12</v>
      </c>
      <c r="G21" s="40">
        <f>G19+G20</f>
        <v>196.35</v>
      </c>
    </row>
    <row r="23" spans="1:7" x14ac:dyDescent="0.25">
      <c r="A23" t="s">
        <v>13</v>
      </c>
      <c r="D23" s="45"/>
    </row>
    <row r="24" spans="1:7" x14ac:dyDescent="0.25">
      <c r="A24" s="21" t="s">
        <v>37</v>
      </c>
      <c r="E24" s="43"/>
      <c r="F24" s="15"/>
    </row>
    <row r="25" spans="1:7" x14ac:dyDescent="0.25">
      <c r="A25" s="21" t="s">
        <v>36</v>
      </c>
    </row>
    <row r="26" spans="1:7" x14ac:dyDescent="0.25">
      <c r="A26" s="21"/>
    </row>
    <row r="27" spans="1:7" x14ac:dyDescent="0.25">
      <c r="A27" s="21" t="s">
        <v>35</v>
      </c>
      <c r="F27" s="50"/>
      <c r="G27" t="s">
        <v>14</v>
      </c>
    </row>
  </sheetData>
  <phoneticPr fontId="0" type="noConversion"/>
  <pageMargins left="0.78740157499999996" right="0.78740157499999996" top="0.984251969" bottom="0.984251969" header="0.4921259845" footer="0.4921259845"/>
  <pageSetup paperSize="9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zoomScale="250" zoomScaleNormal="250" workbookViewId="0"/>
  </sheetViews>
  <sheetFormatPr baseColWidth="10" defaultRowHeight="12.5" x14ac:dyDescent="0.25"/>
  <cols>
    <col min="1" max="1" width="11.7265625" customWidth="1"/>
    <col min="2" max="2" width="18.7265625" customWidth="1"/>
    <col min="3" max="4" width="14.7265625" customWidth="1"/>
    <col min="5" max="5" width="13.7265625" customWidth="1"/>
    <col min="6" max="7" width="14.7265625" customWidth="1"/>
    <col min="8" max="9" width="12.7265625" customWidth="1"/>
  </cols>
  <sheetData>
    <row r="1" spans="1:9" ht="15.5" x14ac:dyDescent="0.35">
      <c r="A1" s="1" t="s">
        <v>25</v>
      </c>
    </row>
    <row r="4" spans="1:9" ht="14.15" customHeight="1" x14ac:dyDescent="0.3">
      <c r="A4" s="19" t="s">
        <v>41</v>
      </c>
    </row>
    <row r="5" spans="1:9" ht="14.15" customHeight="1" x14ac:dyDescent="0.3">
      <c r="A5" s="24" t="s">
        <v>23</v>
      </c>
    </row>
    <row r="6" spans="1:9" ht="14.15" customHeight="1" x14ac:dyDescent="0.25"/>
    <row r="8" spans="1:9" ht="37.5" x14ac:dyDescent="0.25">
      <c r="A8" s="25" t="s">
        <v>20</v>
      </c>
      <c r="B8" s="25" t="s">
        <v>19</v>
      </c>
      <c r="C8" s="25" t="s">
        <v>18</v>
      </c>
      <c r="D8" s="25" t="s">
        <v>17</v>
      </c>
      <c r="E8" s="25" t="s">
        <v>22</v>
      </c>
      <c r="F8" s="25" t="s">
        <v>39</v>
      </c>
      <c r="G8" s="25" t="s">
        <v>16</v>
      </c>
      <c r="H8" s="25" t="s">
        <v>15</v>
      </c>
      <c r="I8" s="25" t="s">
        <v>21</v>
      </c>
    </row>
    <row r="9" spans="1:9" s="21" customFormat="1" ht="15" customHeight="1" x14ac:dyDescent="0.25">
      <c r="A9" s="41">
        <v>2401</v>
      </c>
      <c r="B9" s="42" t="s">
        <v>27</v>
      </c>
      <c r="C9" s="22">
        <v>46164</v>
      </c>
      <c r="D9" s="49">
        <f>DATE(2026,12,1)-C9</f>
        <v>193</v>
      </c>
      <c r="E9" s="23">
        <v>4850</v>
      </c>
      <c r="F9" s="22">
        <v>46389</v>
      </c>
      <c r="G9" s="22">
        <v>46433</v>
      </c>
      <c r="H9" s="20">
        <f>DAYS360(F9,G9,TRUE)</f>
        <v>43</v>
      </c>
      <c r="I9" s="20"/>
    </row>
    <row r="10" spans="1:9" s="21" customFormat="1" ht="15" customHeight="1" x14ac:dyDescent="0.25">
      <c r="A10" s="41">
        <v>2402</v>
      </c>
      <c r="B10" s="42" t="s">
        <v>28</v>
      </c>
      <c r="C10" s="22">
        <v>46179</v>
      </c>
      <c r="D10" s="49">
        <f t="shared" ref="D10:D16" si="0">DATE(2026,12,1)-C10</f>
        <v>178</v>
      </c>
      <c r="E10" s="23">
        <v>7060</v>
      </c>
      <c r="F10" s="22">
        <v>46402</v>
      </c>
      <c r="G10" s="22">
        <v>46461</v>
      </c>
      <c r="H10" s="20"/>
      <c r="I10" s="20"/>
    </row>
    <row r="11" spans="1:9" s="21" customFormat="1" ht="15" customHeight="1" x14ac:dyDescent="0.25">
      <c r="A11" s="41">
        <v>2403</v>
      </c>
      <c r="B11" s="42" t="s">
        <v>29</v>
      </c>
      <c r="C11" s="22">
        <v>46095</v>
      </c>
      <c r="D11" s="49">
        <f t="shared" si="0"/>
        <v>262</v>
      </c>
      <c r="E11" s="23">
        <v>855</v>
      </c>
      <c r="F11" s="22">
        <v>46384</v>
      </c>
      <c r="G11" s="22">
        <v>46419</v>
      </c>
      <c r="H11" s="20"/>
      <c r="I11" s="20"/>
    </row>
    <row r="12" spans="1:9" s="21" customFormat="1" ht="15" customHeight="1" x14ac:dyDescent="0.25">
      <c r="A12" s="41">
        <v>2404</v>
      </c>
      <c r="B12" s="42" t="s">
        <v>30</v>
      </c>
      <c r="C12" s="22">
        <v>46219</v>
      </c>
      <c r="D12" s="49">
        <f t="shared" si="0"/>
        <v>138</v>
      </c>
      <c r="E12" s="23">
        <v>1130</v>
      </c>
      <c r="F12" s="22">
        <v>46444</v>
      </c>
      <c r="G12" s="22">
        <v>46478</v>
      </c>
      <c r="H12" s="20"/>
      <c r="I12" s="20"/>
    </row>
    <row r="13" spans="1:9" s="21" customFormat="1" ht="15" customHeight="1" x14ac:dyDescent="0.25">
      <c r="A13" s="41">
        <v>2405</v>
      </c>
      <c r="B13" s="42" t="s">
        <v>38</v>
      </c>
      <c r="C13" s="22">
        <v>46235</v>
      </c>
      <c r="D13" s="49">
        <f t="shared" si="0"/>
        <v>122</v>
      </c>
      <c r="E13" s="23">
        <v>3080</v>
      </c>
      <c r="F13" s="22">
        <v>46402</v>
      </c>
      <c r="G13" s="22">
        <v>46461</v>
      </c>
      <c r="H13" s="20"/>
      <c r="I13" s="20"/>
    </row>
    <row r="14" spans="1:9" s="21" customFormat="1" ht="15" customHeight="1" x14ac:dyDescent="0.25">
      <c r="A14" s="41">
        <v>2406</v>
      </c>
      <c r="B14" s="42" t="s">
        <v>31</v>
      </c>
      <c r="C14" s="22">
        <v>46199</v>
      </c>
      <c r="D14" s="49">
        <f t="shared" si="0"/>
        <v>158</v>
      </c>
      <c r="E14" s="23">
        <v>2710</v>
      </c>
      <c r="F14" s="22">
        <v>46383</v>
      </c>
      <c r="G14" s="22">
        <v>46419</v>
      </c>
      <c r="H14" s="20"/>
      <c r="I14" s="20"/>
    </row>
    <row r="15" spans="1:9" s="21" customFormat="1" ht="15" customHeight="1" x14ac:dyDescent="0.25">
      <c r="A15" s="41">
        <v>2407</v>
      </c>
      <c r="B15" s="42" t="s">
        <v>32</v>
      </c>
      <c r="C15" s="22">
        <v>46074</v>
      </c>
      <c r="D15" s="49">
        <f t="shared" si="0"/>
        <v>283</v>
      </c>
      <c r="E15" s="23">
        <v>6540</v>
      </c>
      <c r="F15" s="22">
        <v>46444</v>
      </c>
      <c r="G15" s="22">
        <v>46478</v>
      </c>
      <c r="H15" s="20"/>
      <c r="I15" s="20"/>
    </row>
    <row r="16" spans="1:9" s="21" customFormat="1" ht="15" customHeight="1" x14ac:dyDescent="0.25">
      <c r="A16" s="41">
        <v>2408</v>
      </c>
      <c r="B16" s="42" t="s">
        <v>33</v>
      </c>
      <c r="C16" s="22">
        <v>46225</v>
      </c>
      <c r="D16" s="49">
        <f t="shared" si="0"/>
        <v>132</v>
      </c>
      <c r="E16" s="23">
        <v>2288</v>
      </c>
      <c r="F16" s="22">
        <v>46397</v>
      </c>
      <c r="G16" s="22">
        <v>46440</v>
      </c>
      <c r="H16" s="20"/>
      <c r="I16" s="20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8.1 Zeitfunktionen</vt:lpstr>
      <vt:lpstr>8.2.1 - 8.2.3</vt:lpstr>
      <vt:lpstr>8.2.4 - 8.2.5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</dc:creator>
  <cp:lastModifiedBy>Olaf Apel</cp:lastModifiedBy>
  <cp:lastPrinted>2007-06-17T13:34:34Z</cp:lastPrinted>
  <dcterms:created xsi:type="dcterms:W3CDTF">2007-06-08T20:46:18Z</dcterms:created>
  <dcterms:modified xsi:type="dcterms:W3CDTF">2025-01-12T11:24:34Z</dcterms:modified>
</cp:coreProperties>
</file>