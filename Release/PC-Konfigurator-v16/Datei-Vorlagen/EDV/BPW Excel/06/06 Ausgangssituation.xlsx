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kduisdorf-my.sharepoint.com/personal/mpeters_bk-duisdorf_de/Documents/7_Autor/Büro/BüroTechnik/6.Auflage/BPW_6. Auflage_Peters_Excel/06/"/>
    </mc:Choice>
  </mc:AlternateContent>
  <xr:revisionPtr revIDLastSave="0" documentId="13_ncr:1_{D5738728-4127-4F69-B583-EDCEF117AA89}" xr6:coauthVersionLast="47" xr6:coauthVersionMax="47" xr10:uidLastSave="{00000000-0000-0000-0000-000000000000}"/>
  <bookViews>
    <workbookView xWindow="40920" yWindow="-120" windowWidth="29040" windowHeight="15840" activeTab="1" xr2:uid="{00000000-000D-0000-FFFF-FFFF00000000}"/>
  </bookViews>
  <sheets>
    <sheet name="Vorlage" sheetId="11" r:id="rId1"/>
    <sheet name="01" sheetId="12" r:id="rId2"/>
    <sheet name="02" sheetId="18" r:id="rId3"/>
    <sheet name="03" sheetId="20" r:id="rId4"/>
    <sheet name="04" sheetId="19" r:id="rId5"/>
    <sheet name="15" sheetId="22" r:id="rId6"/>
    <sheet name="16" sheetId="21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9" i="22" l="1"/>
  <c r="H55" i="22"/>
  <c r="H56" i="22" s="1"/>
  <c r="H57" i="22" s="1"/>
  <c r="H23" i="22"/>
  <c r="A17" i="21" l="1"/>
  <c r="A16" i="21"/>
  <c r="A15" i="21"/>
  <c r="A14" i="21"/>
  <c r="H55" i="21"/>
  <c r="H56" i="21" s="1"/>
  <c r="H57" i="21" s="1"/>
  <c r="A14" i="18" l="1"/>
  <c r="H55" i="20"/>
  <c r="H56" i="20" s="1"/>
  <c r="A17" i="20"/>
  <c r="A16" i="20"/>
  <c r="A15" i="20"/>
  <c r="A14" i="20"/>
  <c r="H57" i="20" l="1"/>
  <c r="A17" i="18"/>
  <c r="A16" i="18"/>
  <c r="A15" i="18"/>
  <c r="H55" i="18" l="1"/>
  <c r="F39" i="12"/>
  <c r="H56" i="18" l="1"/>
  <c r="H57" i="18" s="1"/>
  <c r="H55" i="12"/>
  <c r="H23" i="12"/>
  <c r="H56" i="12" l="1"/>
  <c r="H57" i="12" s="1"/>
  <c r="H23" i="11"/>
</calcChain>
</file>

<file path=xl/sharedStrings.xml><?xml version="1.0" encoding="utf-8"?>
<sst xmlns="http://schemas.openxmlformats.org/spreadsheetml/2006/main" count="355" uniqueCount="82">
  <si>
    <t>Rechnung</t>
  </si>
  <si>
    <t>Ausschnitt aus der Tabelle Rechnungsformular</t>
  </si>
  <si>
    <t>Ausschnitt aus der Tabelle Rabattsätze</t>
  </si>
  <si>
    <t>Menge 
ab ...</t>
  </si>
  <si>
    <t>Rabattsatz
(%)</t>
  </si>
  <si>
    <t>Ihre Bestellung vom</t>
  </si>
  <si>
    <t>Datum</t>
  </si>
  <si>
    <t>Ausstattung und Beratung für das Büro</t>
  </si>
  <si>
    <t>Neuhoff KG</t>
  </si>
  <si>
    <t>RaumDesign</t>
  </si>
  <si>
    <t>Brunnenstraße 3</t>
  </si>
  <si>
    <t>Ihr Zeichen</t>
  </si>
  <si>
    <t>Unser Zeichen</t>
  </si>
  <si>
    <t>Telefon</t>
  </si>
  <si>
    <t>Name</t>
  </si>
  <si>
    <t>VK Br</t>
  </si>
  <si>
    <t>0228 98765-17</t>
  </si>
  <si>
    <t>Frank Bremer</t>
  </si>
  <si>
    <t>Kunden-Nr.:</t>
  </si>
  <si>
    <t>Rechnungs-Nr.:</t>
  </si>
  <si>
    <t>Lieferschein-Nr.:</t>
  </si>
  <si>
    <t>Versanddatum:</t>
  </si>
  <si>
    <t>Pos.</t>
  </si>
  <si>
    <t>Artikel-Nr.</t>
  </si>
  <si>
    <t>Artikel-Bezeichnung</t>
  </si>
  <si>
    <t>Menge</t>
  </si>
  <si>
    <t>Einzelpreis €</t>
  </si>
  <si>
    <t>Rabattbetrag €</t>
  </si>
  <si>
    <t>Gesamtpreis €</t>
  </si>
  <si>
    <t>Schreibtisch Ökostar</t>
  </si>
  <si>
    <t>Nettobetrag €</t>
  </si>
  <si>
    <t>Rechnungsbetrag</t>
  </si>
  <si>
    <t xml:space="preserve"> €</t>
  </si>
  <si>
    <t>Amtsgericht Bonn HRA 1221</t>
  </si>
  <si>
    <t>Geschäftsführerung:</t>
  </si>
  <si>
    <t>USt Id: DE 244 111 855</t>
  </si>
  <si>
    <t>Sebastian Falo</t>
  </si>
  <si>
    <t>Katharina Niester</t>
  </si>
  <si>
    <t>Rabatt in %</t>
  </si>
  <si>
    <t>Konferenztischelement lichtgrau</t>
  </si>
  <si>
    <t>Bürostuhl Comfort</t>
  </si>
  <si>
    <t>Bürosessel Bodu L</t>
  </si>
  <si>
    <t>38700 Hannover</t>
  </si>
  <si>
    <r>
      <t xml:space="preserve">Duisdorfer BüroKonzept KG </t>
    </r>
    <r>
      <rPr>
        <u/>
        <sz val="8"/>
        <rFont val="Wingdings 2"/>
        <family val="1"/>
        <charset val="2"/>
      </rPr>
      <t></t>
    </r>
    <r>
      <rPr>
        <u/>
        <sz val="6"/>
        <rFont val="Arial"/>
        <family val="2"/>
      </rPr>
      <t xml:space="preserve"> </t>
    </r>
    <r>
      <rPr>
        <u/>
        <sz val="8"/>
        <rFont val="Arial"/>
        <family val="2"/>
      </rPr>
      <t xml:space="preserve">Rochusstraße 30 </t>
    </r>
    <r>
      <rPr>
        <u/>
        <sz val="8"/>
        <rFont val="Wingdings 2"/>
        <family val="1"/>
        <charset val="2"/>
      </rPr>
      <t></t>
    </r>
    <r>
      <rPr>
        <u/>
        <sz val="8"/>
        <rFont val="Arial"/>
        <family val="2"/>
      </rPr>
      <t xml:space="preserve"> 53123 Bonn</t>
    </r>
  </si>
  <si>
    <t>Ausschnitt aus der Tabelle Kunden</t>
  </si>
  <si>
    <t>Kunden-Nr.</t>
  </si>
  <si>
    <t>Name1</t>
  </si>
  <si>
    <t>Name2</t>
  </si>
  <si>
    <t>Intermöbel GmbH</t>
  </si>
  <si>
    <t>Großhandel für Büromöbel</t>
  </si>
  <si>
    <t>Kaiserstraße</t>
  </si>
  <si>
    <t>Stadt Bonn</t>
  </si>
  <si>
    <t>Gebäudemanagement</t>
  </si>
  <si>
    <t>Berliner Platz 2</t>
  </si>
  <si>
    <t>Frohn KG</t>
  </si>
  <si>
    <t>Büroausstattung</t>
  </si>
  <si>
    <t>Lerchenweg 44</t>
  </si>
  <si>
    <t>Birkmann OHG</t>
  </si>
  <si>
    <t>Alles fürs Büro</t>
  </si>
  <si>
    <t>Im Ruhrfeld 35 a</t>
  </si>
  <si>
    <t>Gilles &amp; Partner</t>
  </si>
  <si>
    <t>Möbelgroßhandlung</t>
  </si>
  <si>
    <t>Königstraße 28</t>
  </si>
  <si>
    <t>Stammhaus KG</t>
  </si>
  <si>
    <t>Bürokonzepte</t>
  </si>
  <si>
    <t>Berliner Damm 9</t>
  </si>
  <si>
    <t>Rhenag GmbH</t>
  </si>
  <si>
    <t>Bürogroßhandel</t>
  </si>
  <si>
    <t>Annostraße 56</t>
  </si>
  <si>
    <t>Kunden-
Nr.</t>
  </si>
  <si>
    <t>57074 Siegen</t>
  </si>
  <si>
    <t>53103 Bonn</t>
  </si>
  <si>
    <t>69117 Heidelberg</t>
  </si>
  <si>
    <t>22866 Norderstedt</t>
  </si>
  <si>
    <t>56077 Koblenz</t>
  </si>
  <si>
    <t>68239 Mannheim</t>
  </si>
  <si>
    <t>PLZ und Ort</t>
  </si>
  <si>
    <t>Straße und 
Hausnummer</t>
  </si>
  <si>
    <t>Straße und
Hausnummer</t>
  </si>
  <si>
    <t>27.06.20..</t>
  </si>
  <si>
    <t>06618 Naumburg</t>
  </si>
  <si>
    <t>Bürosessel Tenno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</si>
</sst>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€&quot;_-;\-* #,##0.00\ &quot;€&quot;_-;_-* &quot;-&quot;??\ &quot;€&quot;_-;_-@_-"/>
    <numFmt numFmtId="164" formatCode="_-* #,##0.00\ [$€-1]_-;\-* #,##0.00\ [$€-1]_-;_-* &quot;-&quot;??\ [$€-1]_-"/>
    <numFmt numFmtId="165" formatCode="yyyy\-mm\-dd"/>
    <numFmt numFmtId="166" formatCode="&quot;Umsatzsteuer &quot;#0.0\ &quot;% €&quot;"/>
    <numFmt numFmtId="167" formatCode="00000"/>
  </numFmts>
  <fonts count="18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u/>
      <sz val="8"/>
      <name val="Arial"/>
      <family val="2"/>
    </font>
    <font>
      <u/>
      <sz val="8"/>
      <name val="Wingdings 2"/>
      <family val="1"/>
      <charset val="2"/>
    </font>
    <font>
      <u/>
      <sz val="6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18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b/>
      <u/>
      <sz val="11"/>
      <name val="Arial"/>
      <family val="2"/>
    </font>
    <font>
      <b/>
      <sz val="10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24997711111789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</cellStyleXfs>
  <cellXfs count="105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3" fillId="3" borderId="0" xfId="4" applyFill="1"/>
    <xf numFmtId="0" fontId="3" fillId="0" borderId="0" xfId="4"/>
    <xf numFmtId="0" fontId="5" fillId="3" borderId="0" xfId="4" applyFont="1" applyFill="1"/>
    <xf numFmtId="0" fontId="8" fillId="3" borderId="0" xfId="4" applyFont="1" applyFill="1"/>
    <xf numFmtId="0" fontId="9" fillId="3" borderId="0" xfId="4" applyFont="1" applyFill="1"/>
    <xf numFmtId="0" fontId="4" fillId="0" borderId="0" xfId="4" applyFont="1"/>
    <xf numFmtId="0" fontId="4" fillId="0" borderId="0" xfId="4" applyFont="1" applyAlignment="1">
      <alignment horizontal="left"/>
    </xf>
    <xf numFmtId="0" fontId="10" fillId="3" borderId="0" xfId="4" applyFont="1" applyFill="1"/>
    <xf numFmtId="165" fontId="10" fillId="3" borderId="0" xfId="4" applyNumberFormat="1" applyFont="1" applyFill="1" applyAlignment="1">
      <alignment horizontal="left"/>
    </xf>
    <xf numFmtId="14" fontId="10" fillId="3" borderId="0" xfId="4" applyNumberFormat="1" applyFont="1" applyFill="1" applyAlignment="1">
      <alignment horizontal="left"/>
    </xf>
    <xf numFmtId="0" fontId="11" fillId="3" borderId="0" xfId="4" applyFont="1" applyFill="1"/>
    <xf numFmtId="0" fontId="12" fillId="3" borderId="0" xfId="4" applyFont="1" applyFill="1"/>
    <xf numFmtId="0" fontId="13" fillId="3" borderId="0" xfId="4" applyFont="1" applyFill="1"/>
    <xf numFmtId="0" fontId="4" fillId="3" borderId="0" xfId="4" applyFont="1" applyFill="1" applyAlignment="1">
      <alignment horizontal="left"/>
    </xf>
    <xf numFmtId="0" fontId="13" fillId="3" borderId="0" xfId="4" applyFont="1" applyFill="1" applyAlignment="1">
      <alignment horizontal="left"/>
    </xf>
    <xf numFmtId="14" fontId="4" fillId="3" borderId="0" xfId="4" applyNumberFormat="1" applyFont="1" applyFill="1"/>
    <xf numFmtId="14" fontId="3" fillId="3" borderId="0" xfId="4" applyNumberFormat="1" applyFill="1" applyAlignment="1">
      <alignment horizontal="left"/>
    </xf>
    <xf numFmtId="165" fontId="4" fillId="3" borderId="0" xfId="4" applyNumberFormat="1" applyFont="1" applyFill="1" applyAlignment="1">
      <alignment horizontal="left"/>
    </xf>
    <xf numFmtId="0" fontId="13" fillId="0" borderId="12" xfId="4" applyFont="1" applyBorder="1" applyAlignment="1">
      <alignment horizontal="center"/>
    </xf>
    <xf numFmtId="0" fontId="13" fillId="0" borderId="12" xfId="4" applyFont="1" applyBorder="1" applyAlignment="1">
      <alignment horizontal="left"/>
    </xf>
    <xf numFmtId="2" fontId="13" fillId="0" borderId="12" xfId="4" applyNumberFormat="1" applyFont="1" applyBorder="1" applyAlignment="1">
      <alignment horizontal="right"/>
    </xf>
    <xf numFmtId="0" fontId="13" fillId="0" borderId="10" xfId="4" applyFont="1" applyBorder="1" applyAlignment="1">
      <alignment horizontal="center"/>
    </xf>
    <xf numFmtId="0" fontId="13" fillId="0" borderId="10" xfId="4" applyFont="1" applyBorder="1" applyAlignment="1">
      <alignment horizontal="left"/>
    </xf>
    <xf numFmtId="0" fontId="13" fillId="0" borderId="0" xfId="4" applyFont="1"/>
    <xf numFmtId="0" fontId="13" fillId="0" borderId="11" xfId="4" applyFont="1" applyBorder="1"/>
    <xf numFmtId="0" fontId="13" fillId="0" borderId="16" xfId="4" applyFont="1" applyBorder="1"/>
    <xf numFmtId="2" fontId="13" fillId="0" borderId="1" xfId="4" applyNumberFormat="1" applyFont="1" applyBorder="1"/>
    <xf numFmtId="0" fontId="14" fillId="0" borderId="11" xfId="4" applyFont="1" applyBorder="1"/>
    <xf numFmtId="2" fontId="14" fillId="0" borderId="1" xfId="4" applyNumberFormat="1" applyFont="1" applyBorder="1"/>
    <xf numFmtId="0" fontId="3" fillId="3" borderId="0" xfId="4" applyFill="1" applyAlignment="1">
      <alignment horizontal="center" wrapText="1"/>
    </xf>
    <xf numFmtId="0" fontId="3" fillId="3" borderId="0" xfId="4" applyFill="1" applyAlignment="1">
      <alignment horizontal="left" wrapText="1"/>
    </xf>
    <xf numFmtId="2" fontId="13" fillId="0" borderId="10" xfId="4" applyNumberFormat="1" applyFont="1" applyBorder="1" applyAlignment="1">
      <alignment horizontal="right"/>
    </xf>
    <xf numFmtId="2" fontId="15" fillId="4" borderId="12" xfId="4" applyNumberFormat="1" applyFont="1" applyFill="1" applyBorder="1"/>
    <xf numFmtId="0" fontId="13" fillId="3" borderId="2" xfId="4" applyFont="1" applyFill="1" applyBorder="1"/>
    <xf numFmtId="0" fontId="3" fillId="3" borderId="3" xfId="4" applyFill="1" applyBorder="1"/>
    <xf numFmtId="0" fontId="3" fillId="0" borderId="3" xfId="4" applyBorder="1"/>
    <xf numFmtId="0" fontId="3" fillId="0" borderId="4" xfId="4" applyBorder="1"/>
    <xf numFmtId="0" fontId="3" fillId="3" borderId="6" xfId="4" applyFill="1" applyBorder="1"/>
    <xf numFmtId="0" fontId="3" fillId="0" borderId="5" xfId="4" applyBorder="1"/>
    <xf numFmtId="0" fontId="13" fillId="0" borderId="6" xfId="4" applyFont="1" applyBorder="1"/>
    <xf numFmtId="0" fontId="13" fillId="3" borderId="6" xfId="4" applyFont="1" applyFill="1" applyBorder="1"/>
    <xf numFmtId="0" fontId="3" fillId="0" borderId="6" xfId="4" applyBorder="1"/>
    <xf numFmtId="0" fontId="3" fillId="3" borderId="7" xfId="4" applyFill="1" applyBorder="1"/>
    <xf numFmtId="0" fontId="3" fillId="3" borderId="8" xfId="4" applyFill="1" applyBorder="1"/>
    <xf numFmtId="0" fontId="3" fillId="0" borderId="8" xfId="4" applyBorder="1"/>
    <xf numFmtId="0" fontId="3" fillId="0" borderId="9" xfId="4" applyBorder="1"/>
    <xf numFmtId="2" fontId="13" fillId="4" borderId="12" xfId="4" applyNumberFormat="1" applyFont="1" applyFill="1" applyBorder="1" applyAlignment="1">
      <alignment horizontal="right"/>
    </xf>
    <xf numFmtId="4" fontId="13" fillId="0" borderId="12" xfId="4" applyNumberFormat="1" applyFont="1" applyBorder="1" applyAlignment="1">
      <alignment horizontal="right"/>
    </xf>
    <xf numFmtId="0" fontId="14" fillId="5" borderId="13" xfId="4" applyFont="1" applyFill="1" applyBorder="1" applyAlignment="1">
      <alignment horizontal="center"/>
    </xf>
    <xf numFmtId="0" fontId="14" fillId="5" borderId="14" xfId="4" applyFont="1" applyFill="1" applyBorder="1" applyAlignment="1">
      <alignment horizontal="center"/>
    </xf>
    <xf numFmtId="0" fontId="14" fillId="5" borderId="15" xfId="4" applyFont="1" applyFill="1" applyBorder="1" applyAlignment="1">
      <alignment horizontal="center"/>
    </xf>
    <xf numFmtId="0" fontId="13" fillId="5" borderId="12" xfId="4" applyFont="1" applyFill="1" applyBorder="1" applyAlignment="1">
      <alignment horizontal="center"/>
    </xf>
    <xf numFmtId="0" fontId="13" fillId="5" borderId="12" xfId="4" applyFont="1" applyFill="1" applyBorder="1" applyAlignment="1">
      <alignment horizontal="left"/>
    </xf>
    <xf numFmtId="2" fontId="13" fillId="5" borderId="12" xfId="4" applyNumberFormat="1" applyFont="1" applyFill="1" applyBorder="1" applyAlignment="1">
      <alignment horizontal="right"/>
    </xf>
    <xf numFmtId="0" fontId="13" fillId="5" borderId="10" xfId="4" applyFont="1" applyFill="1" applyBorder="1" applyAlignment="1">
      <alignment horizontal="center"/>
    </xf>
    <xf numFmtId="0" fontId="13" fillId="5" borderId="10" xfId="4" applyFont="1" applyFill="1" applyBorder="1" applyAlignment="1">
      <alignment horizontal="left"/>
    </xf>
    <xf numFmtId="2" fontId="13" fillId="5" borderId="10" xfId="4" applyNumberFormat="1" applyFont="1" applyFill="1" applyBorder="1" applyAlignment="1">
      <alignment horizontal="right"/>
    </xf>
    <xf numFmtId="4" fontId="13" fillId="5" borderId="12" xfId="4" applyNumberFormat="1" applyFont="1" applyFill="1" applyBorder="1" applyAlignment="1">
      <alignment horizontal="right"/>
    </xf>
    <xf numFmtId="0" fontId="14" fillId="2" borderId="1" xfId="0" applyFont="1" applyFill="1" applyBorder="1" applyAlignment="1">
      <alignment horizontal="center" wrapText="1"/>
    </xf>
    <xf numFmtId="0" fontId="13" fillId="0" borderId="1" xfId="0" applyFont="1" applyBorder="1"/>
    <xf numFmtId="0" fontId="16" fillId="0" borderId="0" xfId="0" applyFont="1"/>
    <xf numFmtId="0" fontId="14" fillId="0" borderId="2" xfId="0" applyFont="1" applyBorder="1"/>
    <xf numFmtId="0" fontId="13" fillId="0" borderId="0" xfId="0" applyFont="1"/>
    <xf numFmtId="0" fontId="13" fillId="0" borderId="3" xfId="0" applyFont="1" applyBorder="1"/>
    <xf numFmtId="2" fontId="13" fillId="0" borderId="1" xfId="0" applyNumberFormat="1" applyFont="1" applyBorder="1"/>
    <xf numFmtId="0" fontId="16" fillId="3" borderId="0" xfId="4" applyFont="1" applyFill="1"/>
    <xf numFmtId="0" fontId="4" fillId="0" borderId="6" xfId="4" applyFont="1" applyBorder="1"/>
    <xf numFmtId="0" fontId="4" fillId="0" borderId="6" xfId="4" applyFont="1" applyBorder="1" applyAlignment="1">
      <alignment horizontal="left"/>
    </xf>
    <xf numFmtId="0" fontId="10" fillId="3" borderId="6" xfId="4" applyFont="1" applyFill="1" applyBorder="1"/>
    <xf numFmtId="0" fontId="11" fillId="3" borderId="6" xfId="4" applyFont="1" applyFill="1" applyBorder="1"/>
    <xf numFmtId="0" fontId="12" fillId="3" borderId="6" xfId="4" applyFont="1" applyFill="1" applyBorder="1"/>
    <xf numFmtId="0" fontId="13" fillId="3" borderId="6" xfId="4" applyFont="1" applyFill="1" applyBorder="1" applyAlignment="1">
      <alignment horizontal="left"/>
    </xf>
    <xf numFmtId="0" fontId="3" fillId="0" borderId="7" xfId="4" applyBorder="1"/>
    <xf numFmtId="0" fontId="13" fillId="3" borderId="8" xfId="4" applyFont="1" applyFill="1" applyBorder="1" applyAlignment="1">
      <alignment horizontal="left"/>
    </xf>
    <xf numFmtId="14" fontId="4" fillId="3" borderId="8" xfId="4" applyNumberFormat="1" applyFont="1" applyFill="1" applyBorder="1"/>
    <xf numFmtId="0" fontId="3" fillId="0" borderId="1" xfId="4" applyBorder="1" applyAlignment="1">
      <alignment horizontal="center" vertical="center"/>
    </xf>
    <xf numFmtId="0" fontId="3" fillId="0" borderId="1" xfId="4" applyBorder="1" applyAlignment="1">
      <alignment vertical="center"/>
    </xf>
    <xf numFmtId="1" fontId="2" fillId="0" borderId="1" xfId="4" applyNumberFormat="1" applyFont="1" applyBorder="1" applyAlignment="1">
      <alignment vertical="center"/>
    </xf>
    <xf numFmtId="167" fontId="2" fillId="0" borderId="1" xfId="4" applyNumberFormat="1" applyFont="1" applyBorder="1" applyAlignment="1">
      <alignment horizontal="left" vertical="center"/>
    </xf>
    <xf numFmtId="0" fontId="17" fillId="2" borderId="18" xfId="4" applyFont="1" applyFill="1" applyBorder="1" applyAlignment="1">
      <alignment horizontal="center" vertical="center" wrapText="1"/>
    </xf>
    <xf numFmtId="0" fontId="17" fillId="2" borderId="18" xfId="4" applyFont="1" applyFill="1" applyBorder="1" applyAlignment="1">
      <alignment horizontal="center" vertical="center"/>
    </xf>
    <xf numFmtId="0" fontId="3" fillId="3" borderId="2" xfId="4" applyFill="1" applyBorder="1"/>
    <xf numFmtId="0" fontId="3" fillId="3" borderId="4" xfId="4" applyFill="1" applyBorder="1"/>
    <xf numFmtId="0" fontId="17" fillId="2" borderId="19" xfId="4" applyFont="1" applyFill="1" applyBorder="1" applyAlignment="1">
      <alignment horizontal="center" vertical="center" wrapText="1"/>
    </xf>
    <xf numFmtId="0" fontId="5" fillId="3" borderId="6" xfId="4" applyFont="1" applyFill="1" applyBorder="1"/>
    <xf numFmtId="14" fontId="2" fillId="3" borderId="0" xfId="4" applyNumberFormat="1" applyFont="1" applyFill="1" applyAlignment="1">
      <alignment horizontal="left"/>
    </xf>
    <xf numFmtId="0" fontId="17" fillId="2" borderId="19" xfId="4" applyFont="1" applyFill="1" applyBorder="1" applyAlignment="1">
      <alignment horizontal="center" vertical="center"/>
    </xf>
    <xf numFmtId="0" fontId="17" fillId="2" borderId="20" xfId="4" applyFont="1" applyFill="1" applyBorder="1" applyAlignment="1">
      <alignment horizontal="center" vertical="center" wrapText="1"/>
    </xf>
    <xf numFmtId="0" fontId="17" fillId="2" borderId="21" xfId="4" applyFont="1" applyFill="1" applyBorder="1" applyAlignment="1">
      <alignment horizontal="center" vertical="center"/>
    </xf>
    <xf numFmtId="0" fontId="0" fillId="0" borderId="16" xfId="0" applyBorder="1"/>
    <xf numFmtId="0" fontId="0" fillId="0" borderId="3" xfId="0" applyBorder="1"/>
    <xf numFmtId="0" fontId="13" fillId="0" borderId="1" xfId="0" applyFont="1" applyBorder="1" applyAlignment="1">
      <alignment horizontal="center"/>
    </xf>
    <xf numFmtId="2" fontId="13" fillId="0" borderId="1" xfId="0" applyNumberFormat="1" applyFont="1" applyBorder="1" applyAlignment="1">
      <alignment horizontal="center"/>
    </xf>
    <xf numFmtId="0" fontId="3" fillId="3" borderId="0" xfId="4" applyFill="1" applyAlignment="1">
      <alignment horizontal="center"/>
    </xf>
    <xf numFmtId="0" fontId="4" fillId="3" borderId="0" xfId="4" applyFont="1" applyFill="1" applyAlignment="1">
      <alignment horizontal="center"/>
    </xf>
    <xf numFmtId="0" fontId="4" fillId="0" borderId="0" xfId="4" applyFont="1" applyAlignment="1">
      <alignment horizontal="center"/>
    </xf>
    <xf numFmtId="166" fontId="13" fillId="0" borderId="11" xfId="4" applyNumberFormat="1" applyFont="1" applyBorder="1" applyAlignment="1">
      <alignment horizontal="left"/>
    </xf>
    <xf numFmtId="166" fontId="13" fillId="0" borderId="17" xfId="4" applyNumberFormat="1" applyFont="1" applyBorder="1" applyAlignment="1">
      <alignment horizontal="left"/>
    </xf>
    <xf numFmtId="0" fontId="4" fillId="0" borderId="6" xfId="4" applyFont="1" applyBorder="1" applyAlignment="1">
      <alignment horizontal="center"/>
    </xf>
  </cellXfs>
  <cellStyles count="6">
    <cellStyle name="Euro" xfId="1" xr:uid="{00000000-0005-0000-0000-000000000000}"/>
    <cellStyle name="Euro 2" xfId="5" xr:uid="{00000000-0005-0000-0000-000001000000}"/>
    <cellStyle name="Standard" xfId="0" builtinId="0"/>
    <cellStyle name="Standard 2" xfId="4" xr:uid="{00000000-0005-0000-0000-000003000000}"/>
    <cellStyle name="Standard 3" xfId="2" xr:uid="{00000000-0005-0000-0000-000004000000}"/>
    <cellStyle name="Währung 2" xfId="3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196850</xdr:colOff>
      <xdr:row>10</xdr:row>
      <xdr:rowOff>142875</xdr:rowOff>
    </xdr:from>
    <xdr:to>
      <xdr:col>5</xdr:col>
      <xdr:colOff>949325</xdr:colOff>
      <xdr:row>17</xdr:row>
      <xdr:rowOff>85725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5168900" y="1790700"/>
          <a:ext cx="752475" cy="1219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Anschrift:</a:t>
          </a:r>
        </a:p>
        <a:p>
          <a:pPr algn="l" rtl="0">
            <a:defRPr sz="1000"/>
          </a:pPr>
          <a:endParaRPr lang="de-DE" sz="9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Telefon:</a:t>
          </a:r>
        </a:p>
        <a:p>
          <a:pPr algn="l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Telefax:</a:t>
          </a:r>
        </a:p>
        <a:p>
          <a:pPr algn="l" rtl="0">
            <a:defRPr sz="1000"/>
          </a:pPr>
          <a:endParaRPr lang="de-DE" sz="9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Banken:</a:t>
          </a:r>
          <a:endParaRPr lang="de-DE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de-DE"/>
        </a:p>
      </xdr:txBody>
    </xdr:sp>
    <xdr:clientData/>
  </xdr:twoCellAnchor>
  <xdr:twoCellAnchor>
    <xdr:from>
      <xdr:col>5</xdr:col>
      <xdr:colOff>1016000</xdr:colOff>
      <xdr:row>10</xdr:row>
      <xdr:rowOff>142875</xdr:rowOff>
    </xdr:from>
    <xdr:to>
      <xdr:col>7</xdr:col>
      <xdr:colOff>1035050</xdr:colOff>
      <xdr:row>19</xdr:row>
      <xdr:rowOff>104775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5988050" y="1790700"/>
          <a:ext cx="2286000" cy="1619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Rochusstraße 30</a:t>
          </a: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53123 Bonn</a:t>
          </a: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Telefon: 0228 98765-0</a:t>
          </a: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Telefax:  0228 98765-80</a:t>
          </a:r>
        </a:p>
        <a:p>
          <a:pPr algn="l" rtl="0">
            <a:defRPr sz="1000"/>
          </a:pPr>
          <a:endParaRPr lang="de-DE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Volksbank Bonn/Rhein-Sieg</a:t>
          </a: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(BLZ 380 601 86) 24012345678</a:t>
          </a: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Postbank Köln</a:t>
          </a: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(BLZ 370 100 50) 8884441234</a:t>
          </a:r>
          <a:endParaRPr lang="de-DE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de-DE"/>
        </a:p>
      </xdr:txBody>
    </xdr:sp>
    <xdr:clientData/>
  </xdr:twoCellAnchor>
  <xdr:twoCellAnchor>
    <xdr:from>
      <xdr:col>2</xdr:col>
      <xdr:colOff>1905000</xdr:colOff>
      <xdr:row>0</xdr:row>
      <xdr:rowOff>0</xdr:rowOff>
    </xdr:from>
    <xdr:to>
      <xdr:col>5</xdr:col>
      <xdr:colOff>93350</xdr:colOff>
      <xdr:row>6</xdr:row>
      <xdr:rowOff>133920</xdr:rowOff>
    </xdr:to>
    <xdr:pic>
      <xdr:nvPicPr>
        <xdr:cNvPr id="10" name="Grafik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38525" y="0"/>
          <a:ext cx="2379350" cy="11054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196850</xdr:colOff>
      <xdr:row>10</xdr:row>
      <xdr:rowOff>142875</xdr:rowOff>
    </xdr:from>
    <xdr:to>
      <xdr:col>5</xdr:col>
      <xdr:colOff>949325</xdr:colOff>
      <xdr:row>17</xdr:row>
      <xdr:rowOff>85725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>
          <a:spLocks noChangeArrowheads="1"/>
        </xdr:cNvSpPr>
      </xdr:nvSpPr>
      <xdr:spPr bwMode="auto">
        <a:xfrm>
          <a:off x="5921375" y="1790700"/>
          <a:ext cx="752475" cy="1219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Anschrift:</a:t>
          </a:r>
        </a:p>
        <a:p>
          <a:pPr algn="l" rtl="0">
            <a:defRPr sz="1000"/>
          </a:pPr>
          <a:endParaRPr lang="de-DE" sz="9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Telefon:</a:t>
          </a:r>
        </a:p>
        <a:p>
          <a:pPr algn="l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Telefax:</a:t>
          </a:r>
        </a:p>
        <a:p>
          <a:pPr algn="l" rtl="0">
            <a:defRPr sz="1000"/>
          </a:pPr>
          <a:endParaRPr lang="de-DE" sz="9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Banken:</a:t>
          </a:r>
          <a:endParaRPr lang="de-DE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de-DE"/>
        </a:p>
      </xdr:txBody>
    </xdr:sp>
    <xdr:clientData/>
  </xdr:twoCellAnchor>
  <xdr:twoCellAnchor>
    <xdr:from>
      <xdr:col>5</xdr:col>
      <xdr:colOff>1016000</xdr:colOff>
      <xdr:row>10</xdr:row>
      <xdr:rowOff>142875</xdr:rowOff>
    </xdr:from>
    <xdr:to>
      <xdr:col>7</xdr:col>
      <xdr:colOff>1035050</xdr:colOff>
      <xdr:row>19</xdr:row>
      <xdr:rowOff>104775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>
          <a:spLocks noChangeArrowheads="1"/>
        </xdr:cNvSpPr>
      </xdr:nvSpPr>
      <xdr:spPr bwMode="auto">
        <a:xfrm>
          <a:off x="6740525" y="1790700"/>
          <a:ext cx="2438400" cy="1619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Rochusstraße 30</a:t>
          </a: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53123 Bonn</a:t>
          </a: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Telefon: 0228 98765-0</a:t>
          </a: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Telefax:  0228 98765-80</a:t>
          </a:r>
        </a:p>
        <a:p>
          <a:pPr algn="l" rtl="0">
            <a:defRPr sz="1000"/>
          </a:pPr>
          <a:endParaRPr lang="de-DE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Volksbank Bonn/Rhein-Sieg</a:t>
          </a: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(BLZ 380 601 86) 24012345678</a:t>
          </a: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Postbank Köln</a:t>
          </a: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(BLZ 370 100 50) 8884441234</a:t>
          </a:r>
          <a:endParaRPr lang="de-DE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de-DE"/>
        </a:p>
      </xdr:txBody>
    </xdr:sp>
    <xdr:clientData/>
  </xdr:twoCellAnchor>
  <xdr:twoCellAnchor>
    <xdr:from>
      <xdr:col>2</xdr:col>
      <xdr:colOff>1676400</xdr:colOff>
      <xdr:row>0</xdr:row>
      <xdr:rowOff>0</xdr:rowOff>
    </xdr:from>
    <xdr:to>
      <xdr:col>4</xdr:col>
      <xdr:colOff>1226825</xdr:colOff>
      <xdr:row>6</xdr:row>
      <xdr:rowOff>133920</xdr:rowOff>
    </xdr:to>
    <xdr:pic>
      <xdr:nvPicPr>
        <xdr:cNvPr id="6" name="Grafik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9925" y="0"/>
          <a:ext cx="2379350" cy="110547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196850</xdr:colOff>
      <xdr:row>10</xdr:row>
      <xdr:rowOff>142875</xdr:rowOff>
    </xdr:from>
    <xdr:to>
      <xdr:col>5</xdr:col>
      <xdr:colOff>949325</xdr:colOff>
      <xdr:row>17</xdr:row>
      <xdr:rowOff>85725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>
          <a:spLocks noChangeArrowheads="1"/>
        </xdr:cNvSpPr>
      </xdr:nvSpPr>
      <xdr:spPr bwMode="auto">
        <a:xfrm>
          <a:off x="5864225" y="0"/>
          <a:ext cx="75247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Anschrift:</a:t>
          </a:r>
        </a:p>
        <a:p>
          <a:pPr algn="l" rtl="0">
            <a:defRPr sz="1000"/>
          </a:pPr>
          <a:endParaRPr lang="de-DE" sz="9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Telefon:</a:t>
          </a:r>
        </a:p>
        <a:p>
          <a:pPr algn="l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Telefax:</a:t>
          </a:r>
        </a:p>
        <a:p>
          <a:pPr algn="l" rtl="0">
            <a:defRPr sz="1000"/>
          </a:pPr>
          <a:endParaRPr lang="de-DE" sz="9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Banken:</a:t>
          </a:r>
          <a:endParaRPr lang="de-DE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de-DE"/>
        </a:p>
      </xdr:txBody>
    </xdr:sp>
    <xdr:clientData/>
  </xdr:twoCellAnchor>
  <xdr:twoCellAnchor>
    <xdr:from>
      <xdr:col>5</xdr:col>
      <xdr:colOff>1016000</xdr:colOff>
      <xdr:row>10</xdr:row>
      <xdr:rowOff>142875</xdr:rowOff>
    </xdr:from>
    <xdr:to>
      <xdr:col>7</xdr:col>
      <xdr:colOff>1035050</xdr:colOff>
      <xdr:row>19</xdr:row>
      <xdr:rowOff>104775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>
          <a:spLocks noChangeArrowheads="1"/>
        </xdr:cNvSpPr>
      </xdr:nvSpPr>
      <xdr:spPr bwMode="auto">
        <a:xfrm>
          <a:off x="6616700" y="0"/>
          <a:ext cx="21145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Rochusstraße 30</a:t>
          </a: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53123 Bonn</a:t>
          </a: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Telefon: 0228 98765-0</a:t>
          </a: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Telefax:  0228 98765-80</a:t>
          </a:r>
        </a:p>
        <a:p>
          <a:pPr algn="l" rtl="0">
            <a:defRPr sz="1000"/>
          </a:pPr>
          <a:endParaRPr lang="de-DE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Volksbank Bonn/Rhein-Sieg</a:t>
          </a: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(BLZ 380 601 86) 24012345678</a:t>
          </a: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Postbank Köln</a:t>
          </a: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(BLZ 370 100 50) 8884441234</a:t>
          </a:r>
          <a:endParaRPr lang="de-DE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de-DE"/>
        </a:p>
      </xdr:txBody>
    </xdr:sp>
    <xdr:clientData/>
  </xdr:twoCellAnchor>
  <xdr:twoCellAnchor>
    <xdr:from>
      <xdr:col>2</xdr:col>
      <xdr:colOff>1676400</xdr:colOff>
      <xdr:row>0</xdr:row>
      <xdr:rowOff>0</xdr:rowOff>
    </xdr:from>
    <xdr:to>
      <xdr:col>4</xdr:col>
      <xdr:colOff>1226825</xdr:colOff>
      <xdr:row>6</xdr:row>
      <xdr:rowOff>133920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9925" y="0"/>
          <a:ext cx="237935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196850</xdr:colOff>
      <xdr:row>10</xdr:row>
      <xdr:rowOff>142875</xdr:rowOff>
    </xdr:from>
    <xdr:to>
      <xdr:col>5</xdr:col>
      <xdr:colOff>949325</xdr:colOff>
      <xdr:row>17</xdr:row>
      <xdr:rowOff>85725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>
          <a:spLocks noChangeArrowheads="1"/>
        </xdr:cNvSpPr>
      </xdr:nvSpPr>
      <xdr:spPr bwMode="auto">
        <a:xfrm>
          <a:off x="5788025" y="495300"/>
          <a:ext cx="752475" cy="1219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Anschrift:</a:t>
          </a:r>
        </a:p>
        <a:p>
          <a:pPr algn="l" rtl="0">
            <a:defRPr sz="1000"/>
          </a:pPr>
          <a:endParaRPr lang="de-DE" sz="9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Telefon:</a:t>
          </a:r>
        </a:p>
        <a:p>
          <a:pPr algn="l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Telefax:</a:t>
          </a:r>
        </a:p>
        <a:p>
          <a:pPr algn="l" rtl="0">
            <a:defRPr sz="1000"/>
          </a:pPr>
          <a:endParaRPr lang="de-DE" sz="9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Banken:</a:t>
          </a:r>
          <a:endParaRPr lang="de-DE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de-DE"/>
        </a:p>
      </xdr:txBody>
    </xdr:sp>
    <xdr:clientData/>
  </xdr:twoCellAnchor>
  <xdr:twoCellAnchor>
    <xdr:from>
      <xdr:col>5</xdr:col>
      <xdr:colOff>1016000</xdr:colOff>
      <xdr:row>10</xdr:row>
      <xdr:rowOff>142875</xdr:rowOff>
    </xdr:from>
    <xdr:to>
      <xdr:col>7</xdr:col>
      <xdr:colOff>1035050</xdr:colOff>
      <xdr:row>19</xdr:row>
      <xdr:rowOff>104775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>
          <a:spLocks noChangeArrowheads="1"/>
        </xdr:cNvSpPr>
      </xdr:nvSpPr>
      <xdr:spPr bwMode="auto">
        <a:xfrm>
          <a:off x="6607175" y="495300"/>
          <a:ext cx="1809750" cy="1619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Rochusstraße 30</a:t>
          </a: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53123 Bonn</a:t>
          </a: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Telefon: 0228 98765-0</a:t>
          </a: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Telefax:  0228 98765-80</a:t>
          </a:r>
        </a:p>
        <a:p>
          <a:pPr algn="l" rtl="0">
            <a:defRPr sz="1000"/>
          </a:pPr>
          <a:endParaRPr lang="de-DE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Volksbank Bonn/Rhein-Sieg</a:t>
          </a: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(BLZ 380 601 86) 24012345678</a:t>
          </a: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Postbank Köln</a:t>
          </a: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(BLZ 370 100 50) 8884441234</a:t>
          </a:r>
          <a:endParaRPr lang="de-DE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de-DE"/>
        </a:p>
      </xdr:txBody>
    </xdr:sp>
    <xdr:clientData/>
  </xdr:twoCellAnchor>
  <xdr:twoCellAnchor>
    <xdr:from>
      <xdr:col>2</xdr:col>
      <xdr:colOff>1676400</xdr:colOff>
      <xdr:row>0</xdr:row>
      <xdr:rowOff>0</xdr:rowOff>
    </xdr:from>
    <xdr:to>
      <xdr:col>4</xdr:col>
      <xdr:colOff>1226825</xdr:colOff>
      <xdr:row>6</xdr:row>
      <xdr:rowOff>133920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1350" y="0"/>
          <a:ext cx="2331725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196850</xdr:colOff>
      <xdr:row>10</xdr:row>
      <xdr:rowOff>142875</xdr:rowOff>
    </xdr:from>
    <xdr:to>
      <xdr:col>5</xdr:col>
      <xdr:colOff>949325</xdr:colOff>
      <xdr:row>17</xdr:row>
      <xdr:rowOff>85725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>
          <a:spLocks noChangeArrowheads="1"/>
        </xdr:cNvSpPr>
      </xdr:nvSpPr>
      <xdr:spPr bwMode="auto">
        <a:xfrm>
          <a:off x="5864225" y="0"/>
          <a:ext cx="75247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Anschrift:</a:t>
          </a:r>
        </a:p>
        <a:p>
          <a:pPr algn="l" rtl="0">
            <a:defRPr sz="1000"/>
          </a:pPr>
          <a:endParaRPr lang="de-DE" sz="9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Telefon:</a:t>
          </a:r>
        </a:p>
        <a:p>
          <a:pPr algn="l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Telefax:</a:t>
          </a:r>
        </a:p>
        <a:p>
          <a:pPr algn="l" rtl="0">
            <a:defRPr sz="1000"/>
          </a:pPr>
          <a:endParaRPr lang="de-DE" sz="9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Banken:</a:t>
          </a:r>
          <a:endParaRPr lang="de-DE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de-DE"/>
        </a:p>
      </xdr:txBody>
    </xdr:sp>
    <xdr:clientData/>
  </xdr:twoCellAnchor>
  <xdr:twoCellAnchor>
    <xdr:from>
      <xdr:col>5</xdr:col>
      <xdr:colOff>1016000</xdr:colOff>
      <xdr:row>10</xdr:row>
      <xdr:rowOff>142875</xdr:rowOff>
    </xdr:from>
    <xdr:to>
      <xdr:col>7</xdr:col>
      <xdr:colOff>1035050</xdr:colOff>
      <xdr:row>19</xdr:row>
      <xdr:rowOff>104775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 txBox="1">
          <a:spLocks noChangeArrowheads="1"/>
        </xdr:cNvSpPr>
      </xdr:nvSpPr>
      <xdr:spPr bwMode="auto">
        <a:xfrm>
          <a:off x="6616700" y="0"/>
          <a:ext cx="21145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Rochusstraße 30</a:t>
          </a: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53123 Bonn</a:t>
          </a: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Telefon: 0228 98765-0</a:t>
          </a: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Telefax:  0228 98765-80</a:t>
          </a:r>
        </a:p>
        <a:p>
          <a:pPr algn="l" rtl="0">
            <a:defRPr sz="1000"/>
          </a:pPr>
          <a:endParaRPr lang="de-DE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Volksbank Bonn/Rhein-Sieg</a:t>
          </a: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(BLZ 380 601 86) 24012345678</a:t>
          </a: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Postbank Köln</a:t>
          </a: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(BLZ 370 100 50) 8884441234</a:t>
          </a:r>
          <a:endParaRPr lang="de-DE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de-DE"/>
        </a:p>
      </xdr:txBody>
    </xdr:sp>
    <xdr:clientData/>
  </xdr:twoCellAnchor>
  <xdr:twoCellAnchor>
    <xdr:from>
      <xdr:col>2</xdr:col>
      <xdr:colOff>1676400</xdr:colOff>
      <xdr:row>0</xdr:row>
      <xdr:rowOff>0</xdr:rowOff>
    </xdr:from>
    <xdr:to>
      <xdr:col>4</xdr:col>
      <xdr:colOff>1226825</xdr:colOff>
      <xdr:row>6</xdr:row>
      <xdr:rowOff>133920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9925" y="0"/>
          <a:ext cx="237935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196850</xdr:colOff>
      <xdr:row>10</xdr:row>
      <xdr:rowOff>142875</xdr:rowOff>
    </xdr:from>
    <xdr:to>
      <xdr:col>5</xdr:col>
      <xdr:colOff>949325</xdr:colOff>
      <xdr:row>17</xdr:row>
      <xdr:rowOff>85725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>
          <a:spLocks noChangeArrowheads="1"/>
        </xdr:cNvSpPr>
      </xdr:nvSpPr>
      <xdr:spPr bwMode="auto">
        <a:xfrm>
          <a:off x="5788025" y="495300"/>
          <a:ext cx="752475" cy="1219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Anschrift:</a:t>
          </a:r>
        </a:p>
        <a:p>
          <a:pPr algn="l" rtl="0">
            <a:defRPr sz="1000"/>
          </a:pPr>
          <a:endParaRPr lang="de-DE" sz="9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Telefon:</a:t>
          </a:r>
        </a:p>
        <a:p>
          <a:pPr algn="l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Telefax:</a:t>
          </a:r>
        </a:p>
        <a:p>
          <a:pPr algn="l" rtl="0">
            <a:defRPr sz="1000"/>
          </a:pPr>
          <a:endParaRPr lang="de-DE" sz="9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Banken:</a:t>
          </a:r>
          <a:endParaRPr lang="de-DE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de-DE"/>
        </a:p>
      </xdr:txBody>
    </xdr:sp>
    <xdr:clientData/>
  </xdr:twoCellAnchor>
  <xdr:twoCellAnchor>
    <xdr:from>
      <xdr:col>5</xdr:col>
      <xdr:colOff>1016000</xdr:colOff>
      <xdr:row>10</xdr:row>
      <xdr:rowOff>142875</xdr:rowOff>
    </xdr:from>
    <xdr:to>
      <xdr:col>7</xdr:col>
      <xdr:colOff>1035050</xdr:colOff>
      <xdr:row>19</xdr:row>
      <xdr:rowOff>104775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>
          <a:spLocks noChangeArrowheads="1"/>
        </xdr:cNvSpPr>
      </xdr:nvSpPr>
      <xdr:spPr bwMode="auto">
        <a:xfrm>
          <a:off x="6607175" y="495300"/>
          <a:ext cx="1809750" cy="1619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Rochusstraße 30</a:t>
          </a: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53123 Bonn</a:t>
          </a: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Telefon: 0228 98765-0</a:t>
          </a: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Telefax:  0228 98765-80</a:t>
          </a:r>
        </a:p>
        <a:p>
          <a:pPr algn="l" rtl="0">
            <a:defRPr sz="1000"/>
          </a:pPr>
          <a:endParaRPr lang="de-DE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Volksbank Bonn/Rhein-Sieg</a:t>
          </a: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(BLZ 380 601 86) 24012345678</a:t>
          </a: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Postbank Köln</a:t>
          </a: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(BLZ 370 100 50) 8884441234</a:t>
          </a:r>
          <a:endParaRPr lang="de-DE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de-DE"/>
        </a:p>
      </xdr:txBody>
    </xdr:sp>
    <xdr:clientData/>
  </xdr:twoCellAnchor>
  <xdr:twoCellAnchor>
    <xdr:from>
      <xdr:col>2</xdr:col>
      <xdr:colOff>1676400</xdr:colOff>
      <xdr:row>0</xdr:row>
      <xdr:rowOff>0</xdr:rowOff>
    </xdr:from>
    <xdr:to>
      <xdr:col>4</xdr:col>
      <xdr:colOff>1226825</xdr:colOff>
      <xdr:row>6</xdr:row>
      <xdr:rowOff>133920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1350" y="0"/>
          <a:ext cx="2331725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68"/>
  <sheetViews>
    <sheetView showGridLines="0" topLeftCell="A4" zoomScaleNormal="100" workbookViewId="0">
      <selection activeCell="C42" sqref="C42"/>
    </sheetView>
  </sheetViews>
  <sheetFormatPr baseColWidth="10" defaultColWidth="11.46484375" defaultRowHeight="12.75"/>
  <cols>
    <col min="1" max="1" width="8.46484375" style="7" customWidth="1"/>
    <col min="2" max="2" width="14.53125" style="7" customWidth="1"/>
    <col min="3" max="3" width="30.73046875" style="7" customWidth="1"/>
    <col min="4" max="4" width="16" style="7" customWidth="1"/>
    <col min="5" max="5" width="16.19921875" style="7" customWidth="1"/>
    <col min="6" max="6" width="20.19921875" style="7" bestFit="1" customWidth="1"/>
    <col min="7" max="7" width="16.19921875" style="7" customWidth="1"/>
    <col min="8" max="8" width="16.265625" style="7" customWidth="1"/>
    <col min="9" max="16384" width="11.46484375" style="7"/>
  </cols>
  <sheetData>
    <row r="1" spans="1:8">
      <c r="A1" s="6"/>
      <c r="B1" s="6"/>
      <c r="C1" s="6"/>
      <c r="D1" s="6"/>
      <c r="E1" s="6"/>
      <c r="F1" s="6"/>
      <c r="G1" s="6"/>
    </row>
    <row r="2" spans="1:8">
      <c r="A2" s="6"/>
      <c r="B2" s="6"/>
      <c r="C2" s="6"/>
      <c r="D2" s="6"/>
      <c r="E2" s="6"/>
      <c r="F2" s="6"/>
      <c r="G2" s="6"/>
    </row>
    <row r="3" spans="1:8">
      <c r="A3" s="6"/>
      <c r="B3" s="6"/>
      <c r="C3" s="6"/>
      <c r="D3" s="6"/>
      <c r="E3" s="6"/>
      <c r="F3" s="6"/>
      <c r="G3" s="6"/>
    </row>
    <row r="4" spans="1:8">
      <c r="A4" s="6"/>
      <c r="B4" s="6"/>
      <c r="C4" s="6"/>
      <c r="D4" s="6"/>
      <c r="E4" s="6"/>
      <c r="F4" s="6"/>
      <c r="G4" s="6"/>
    </row>
    <row r="5" spans="1:8">
      <c r="A5" s="6"/>
      <c r="B5" s="6"/>
      <c r="C5" s="6"/>
      <c r="D5" s="6"/>
      <c r="E5" s="6"/>
      <c r="F5" s="6"/>
      <c r="G5" s="6"/>
    </row>
    <row r="6" spans="1:8">
      <c r="A6" s="99"/>
      <c r="B6" s="99"/>
      <c r="C6" s="99"/>
      <c r="D6" s="99"/>
      <c r="E6" s="99"/>
      <c r="F6" s="99"/>
      <c r="G6" s="99"/>
    </row>
    <row r="7" spans="1:8">
      <c r="A7" s="6"/>
      <c r="B7" s="6"/>
      <c r="C7" s="6"/>
      <c r="D7" s="6"/>
      <c r="E7" s="6"/>
      <c r="F7" s="6"/>
      <c r="G7" s="6"/>
    </row>
    <row r="8" spans="1:8" ht="15">
      <c r="A8" s="100" t="s">
        <v>7</v>
      </c>
      <c r="B8" s="100"/>
      <c r="C8" s="100"/>
      <c r="D8" s="100"/>
      <c r="E8" s="100"/>
      <c r="F8" s="100"/>
      <c r="G8" s="100"/>
      <c r="H8" s="100"/>
    </row>
    <row r="9" spans="1:8">
      <c r="A9" s="6"/>
      <c r="B9" s="6"/>
      <c r="C9" s="6"/>
      <c r="D9" s="6"/>
      <c r="E9" s="6"/>
      <c r="F9" s="6"/>
      <c r="G9" s="6"/>
    </row>
    <row r="10" spans="1:8">
      <c r="A10" s="6"/>
      <c r="B10" s="6"/>
      <c r="C10" s="6"/>
      <c r="D10" s="6"/>
      <c r="E10" s="6"/>
      <c r="F10" s="6"/>
      <c r="G10" s="6"/>
    </row>
    <row r="11" spans="1:8">
      <c r="A11" s="8" t="s">
        <v>43</v>
      </c>
      <c r="B11" s="6"/>
      <c r="C11" s="6"/>
      <c r="D11" s="6"/>
      <c r="E11" s="9"/>
      <c r="F11" s="9"/>
      <c r="G11" s="10"/>
    </row>
    <row r="12" spans="1:8">
      <c r="A12" s="6"/>
      <c r="B12" s="6"/>
      <c r="C12" s="6"/>
      <c r="D12" s="6"/>
      <c r="E12" s="9"/>
      <c r="F12" s="9"/>
      <c r="G12" s="10"/>
    </row>
    <row r="13" spans="1:8" ht="15">
      <c r="A13" s="11"/>
      <c r="C13" s="6"/>
      <c r="D13" s="6"/>
      <c r="E13" s="9"/>
      <c r="F13" s="9"/>
      <c r="G13" s="10"/>
    </row>
    <row r="14" spans="1:8" ht="15">
      <c r="A14" s="12" t="s">
        <v>8</v>
      </c>
      <c r="B14" s="12"/>
      <c r="C14" s="6"/>
      <c r="D14" s="6"/>
      <c r="E14" s="9"/>
      <c r="F14" s="9"/>
      <c r="G14" s="10"/>
    </row>
    <row r="15" spans="1:8" ht="15">
      <c r="A15" s="12" t="s">
        <v>9</v>
      </c>
      <c r="B15" s="12"/>
      <c r="C15" s="6"/>
      <c r="D15" s="6"/>
      <c r="E15" s="9"/>
      <c r="F15" s="9"/>
      <c r="G15" s="10"/>
    </row>
    <row r="16" spans="1:8" ht="15">
      <c r="A16" s="12" t="s">
        <v>10</v>
      </c>
      <c r="B16" s="12"/>
      <c r="C16" s="6"/>
      <c r="D16" s="6"/>
      <c r="E16" s="9"/>
      <c r="F16" s="9"/>
      <c r="G16" s="10"/>
    </row>
    <row r="17" spans="1:8" ht="15">
      <c r="A17" s="12" t="s">
        <v>42</v>
      </c>
      <c r="B17" s="12"/>
      <c r="C17" s="6"/>
      <c r="D17" s="6"/>
      <c r="E17" s="9"/>
      <c r="F17" s="9"/>
      <c r="G17" s="10"/>
    </row>
    <row r="18" spans="1:8" ht="15">
      <c r="A18" s="101"/>
      <c r="B18" s="101"/>
      <c r="C18" s="6"/>
      <c r="D18" s="6"/>
      <c r="E18" s="10"/>
      <c r="F18" s="10"/>
      <c r="G18" s="10"/>
    </row>
    <row r="19" spans="1:8" ht="15">
      <c r="A19" s="101"/>
      <c r="B19" s="101"/>
      <c r="C19" s="6"/>
      <c r="D19" s="6"/>
      <c r="E19" s="10"/>
      <c r="F19" s="10"/>
      <c r="G19" s="10"/>
    </row>
    <row r="20" spans="1:8">
      <c r="A20" s="6"/>
      <c r="B20" s="6"/>
      <c r="C20" s="6"/>
      <c r="D20" s="6"/>
      <c r="E20" s="10"/>
      <c r="F20" s="10"/>
      <c r="G20" s="10"/>
    </row>
    <row r="21" spans="1:8">
      <c r="A21" s="6"/>
      <c r="B21" s="6"/>
      <c r="C21" s="6"/>
      <c r="D21" s="6"/>
      <c r="E21" s="6"/>
      <c r="F21" s="6"/>
      <c r="G21" s="6"/>
    </row>
    <row r="22" spans="1:8">
      <c r="A22" s="13" t="s">
        <v>11</v>
      </c>
      <c r="B22" s="13" t="s">
        <v>5</v>
      </c>
      <c r="C22" s="13" t="s">
        <v>12</v>
      </c>
      <c r="D22" s="13" t="s">
        <v>13</v>
      </c>
      <c r="F22" s="13" t="s">
        <v>14</v>
      </c>
      <c r="H22" s="13" t="s">
        <v>6</v>
      </c>
    </row>
    <row r="23" spans="1:8" ht="12.75" customHeight="1">
      <c r="A23" s="6"/>
      <c r="B23" s="6"/>
      <c r="C23" s="6" t="s">
        <v>15</v>
      </c>
      <c r="D23" s="36" t="s">
        <v>16</v>
      </c>
      <c r="F23" s="7" t="s">
        <v>17</v>
      </c>
      <c r="H23" s="22">
        <f ca="1">TODAY()</f>
        <v>45512</v>
      </c>
    </row>
    <row r="24" spans="1:8">
      <c r="A24" s="13"/>
      <c r="B24" s="13"/>
      <c r="C24" s="13"/>
      <c r="D24" s="35"/>
      <c r="E24" s="6"/>
      <c r="F24" s="14"/>
      <c r="G24" s="6"/>
    </row>
    <row r="25" spans="1:8">
      <c r="A25" s="13"/>
      <c r="B25" s="13"/>
      <c r="C25" s="13"/>
      <c r="D25" s="13"/>
      <c r="E25" s="6"/>
      <c r="F25" s="6"/>
      <c r="G25" s="15"/>
    </row>
    <row r="26" spans="1:8" ht="22.5">
      <c r="A26" s="16" t="s">
        <v>0</v>
      </c>
      <c r="B26" s="6"/>
      <c r="C26" s="13"/>
      <c r="D26" s="13"/>
      <c r="E26" s="6"/>
      <c r="F26" s="6"/>
      <c r="G26" s="15"/>
    </row>
    <row r="27" spans="1:8" ht="17.649999999999999">
      <c r="A27" s="17"/>
      <c r="B27" s="6"/>
      <c r="C27" s="13"/>
      <c r="D27" s="13"/>
      <c r="E27" s="6"/>
      <c r="F27" s="6"/>
      <c r="G27" s="15"/>
    </row>
    <row r="28" spans="1:8">
      <c r="A28" s="6"/>
      <c r="B28" s="6"/>
      <c r="C28" s="6"/>
      <c r="D28" s="6"/>
      <c r="E28" s="6"/>
      <c r="F28" s="6"/>
      <c r="G28" s="6"/>
    </row>
    <row r="29" spans="1:8">
      <c r="A29" s="6"/>
      <c r="B29" s="6"/>
      <c r="C29" s="6"/>
      <c r="D29" s="6"/>
      <c r="E29" s="6"/>
      <c r="F29" s="6"/>
      <c r="G29" s="6"/>
    </row>
    <row r="30" spans="1:8" ht="15">
      <c r="A30" s="18" t="s">
        <v>18</v>
      </c>
      <c r="C30" s="19">
        <v>2401</v>
      </c>
      <c r="D30" s="6"/>
      <c r="E30" s="6"/>
      <c r="F30" s="6"/>
      <c r="G30" s="6"/>
    </row>
    <row r="31" spans="1:8" ht="15">
      <c r="A31" s="20" t="s">
        <v>19</v>
      </c>
      <c r="C31" s="19">
        <v>50215</v>
      </c>
      <c r="D31" s="6"/>
      <c r="E31" s="6"/>
      <c r="F31" s="6"/>
      <c r="G31" s="6"/>
    </row>
    <row r="32" spans="1:8" ht="15">
      <c r="A32" s="20" t="s">
        <v>20</v>
      </c>
      <c r="B32" s="19"/>
      <c r="D32" s="6"/>
      <c r="E32" s="6"/>
      <c r="F32" s="6"/>
      <c r="G32" s="6"/>
    </row>
    <row r="33" spans="1:8" ht="15">
      <c r="A33" s="20" t="s">
        <v>21</v>
      </c>
      <c r="B33" s="23"/>
      <c r="D33" s="6"/>
      <c r="E33" s="6"/>
      <c r="F33" s="6"/>
      <c r="G33" s="6"/>
    </row>
    <row r="34" spans="1:8" ht="15">
      <c r="A34" s="6"/>
      <c r="B34" s="20"/>
      <c r="C34" s="21"/>
      <c r="D34" s="6"/>
      <c r="E34" s="6"/>
      <c r="F34" s="6"/>
      <c r="G34" s="6"/>
    </row>
    <row r="35" spans="1:8">
      <c r="A35" s="6"/>
      <c r="B35" s="6"/>
      <c r="C35" s="6"/>
      <c r="D35" s="6"/>
      <c r="E35" s="6"/>
      <c r="F35" s="6"/>
      <c r="G35" s="6"/>
    </row>
    <row r="36" spans="1:8" ht="13.5">
      <c r="A36" s="18"/>
      <c r="B36" s="6"/>
      <c r="C36" s="6"/>
      <c r="D36" s="6"/>
      <c r="E36" s="6"/>
      <c r="F36" s="6"/>
      <c r="G36" s="6"/>
    </row>
    <row r="37" spans="1:8" ht="13.15" thickBot="1">
      <c r="A37" s="6"/>
      <c r="B37" s="6"/>
      <c r="C37" s="6"/>
      <c r="D37" s="6"/>
      <c r="E37" s="6"/>
      <c r="F37" s="6"/>
      <c r="G37" s="6"/>
    </row>
    <row r="38" spans="1:8" ht="14.25" thickBot="1">
      <c r="A38" s="54" t="s">
        <v>22</v>
      </c>
      <c r="B38" s="55" t="s">
        <v>23</v>
      </c>
      <c r="C38" s="55" t="s">
        <v>24</v>
      </c>
      <c r="D38" s="55" t="s">
        <v>25</v>
      </c>
      <c r="E38" s="55" t="s">
        <v>26</v>
      </c>
      <c r="F38" s="55" t="s">
        <v>38</v>
      </c>
      <c r="G38" s="55" t="s">
        <v>27</v>
      </c>
      <c r="H38" s="56" t="s">
        <v>28</v>
      </c>
    </row>
    <row r="39" spans="1:8" ht="13.5">
      <c r="A39" s="24">
        <v>1</v>
      </c>
      <c r="B39" s="24">
        <v>101111</v>
      </c>
      <c r="C39" s="25" t="s">
        <v>29</v>
      </c>
      <c r="D39" s="24">
        <v>10</v>
      </c>
      <c r="E39" s="26">
        <v>489</v>
      </c>
      <c r="F39" s="38"/>
      <c r="G39" s="26"/>
      <c r="H39" s="26"/>
    </row>
    <row r="40" spans="1:8" ht="13.5">
      <c r="A40" s="57">
        <v>2</v>
      </c>
      <c r="B40" s="57">
        <v>101114</v>
      </c>
      <c r="C40" s="58" t="s">
        <v>39</v>
      </c>
      <c r="D40" s="57">
        <v>25</v>
      </c>
      <c r="E40" s="59">
        <v>98</v>
      </c>
      <c r="F40" s="59"/>
      <c r="G40" s="59"/>
      <c r="H40" s="59"/>
    </row>
    <row r="41" spans="1:8" ht="13.5">
      <c r="A41" s="24">
        <v>3</v>
      </c>
      <c r="B41" s="24">
        <v>202111</v>
      </c>
      <c r="C41" s="25" t="s">
        <v>40</v>
      </c>
      <c r="D41" s="24">
        <v>20</v>
      </c>
      <c r="E41" s="26">
        <v>228</v>
      </c>
      <c r="F41" s="26"/>
      <c r="G41" s="26"/>
      <c r="H41" s="26"/>
    </row>
    <row r="42" spans="1:8" ht="13.5">
      <c r="A42" s="57">
        <v>4</v>
      </c>
      <c r="B42" s="57">
        <v>202114</v>
      </c>
      <c r="C42" s="58" t="s">
        <v>81</v>
      </c>
      <c r="D42" s="57">
        <v>15</v>
      </c>
      <c r="E42" s="59">
        <v>349</v>
      </c>
      <c r="F42" s="59"/>
      <c r="G42" s="59"/>
      <c r="H42" s="59"/>
    </row>
    <row r="43" spans="1:8" ht="13.5">
      <c r="A43" s="24"/>
      <c r="B43" s="24"/>
      <c r="C43" s="25"/>
      <c r="D43" s="24"/>
      <c r="E43" s="26"/>
      <c r="F43" s="26"/>
      <c r="G43" s="26"/>
      <c r="H43" s="26"/>
    </row>
    <row r="44" spans="1:8" ht="13.5">
      <c r="A44" s="57"/>
      <c r="B44" s="57"/>
      <c r="C44" s="58"/>
      <c r="D44" s="57"/>
      <c r="E44" s="59"/>
      <c r="F44" s="59"/>
      <c r="G44" s="59"/>
      <c r="H44" s="59"/>
    </row>
    <row r="45" spans="1:8" ht="13.5">
      <c r="A45" s="24"/>
      <c r="B45" s="24"/>
      <c r="C45" s="25"/>
      <c r="D45" s="24"/>
      <c r="E45" s="26"/>
      <c r="F45" s="26"/>
      <c r="G45" s="26"/>
      <c r="H45" s="26"/>
    </row>
    <row r="46" spans="1:8" ht="13.5">
      <c r="A46" s="57"/>
      <c r="B46" s="57"/>
      <c r="C46" s="58"/>
      <c r="D46" s="57"/>
      <c r="E46" s="59"/>
      <c r="F46" s="59"/>
      <c r="G46" s="59"/>
      <c r="H46" s="59"/>
    </row>
    <row r="47" spans="1:8" ht="13.5">
      <c r="A47" s="24"/>
      <c r="B47" s="24"/>
      <c r="C47" s="25"/>
      <c r="D47" s="24"/>
      <c r="E47" s="26"/>
      <c r="F47" s="26"/>
      <c r="G47" s="26"/>
      <c r="H47" s="26"/>
    </row>
    <row r="48" spans="1:8" ht="13.5">
      <c r="A48" s="57"/>
      <c r="B48" s="57"/>
      <c r="C48" s="58"/>
      <c r="D48" s="57"/>
      <c r="E48" s="59"/>
      <c r="F48" s="59"/>
      <c r="G48" s="59"/>
      <c r="H48" s="59"/>
    </row>
    <row r="49" spans="1:8" ht="13.5">
      <c r="A49" s="24"/>
      <c r="B49" s="24"/>
      <c r="C49" s="25"/>
      <c r="D49" s="24"/>
      <c r="E49" s="26"/>
      <c r="F49" s="26"/>
      <c r="G49" s="26"/>
      <c r="H49" s="26"/>
    </row>
    <row r="50" spans="1:8" ht="13.5">
      <c r="A50" s="57"/>
      <c r="B50" s="57"/>
      <c r="C50" s="58"/>
      <c r="D50" s="57"/>
      <c r="E50" s="59"/>
      <c r="F50" s="59"/>
      <c r="G50" s="59"/>
      <c r="H50" s="59"/>
    </row>
    <row r="51" spans="1:8" ht="13.5">
      <c r="A51" s="24"/>
      <c r="B51" s="24"/>
      <c r="C51" s="25"/>
      <c r="D51" s="24"/>
      <c r="E51" s="26"/>
      <c r="F51" s="26"/>
      <c r="G51" s="26"/>
      <c r="H51" s="26"/>
    </row>
    <row r="52" spans="1:8" ht="13.5">
      <c r="A52" s="57"/>
      <c r="B52" s="57"/>
      <c r="C52" s="58"/>
      <c r="D52" s="57"/>
      <c r="E52" s="59"/>
      <c r="F52" s="59"/>
      <c r="G52" s="59"/>
      <c r="H52" s="59"/>
    </row>
    <row r="53" spans="1:8" ht="13.5">
      <c r="A53" s="24"/>
      <c r="B53" s="24"/>
      <c r="C53" s="25"/>
      <c r="D53" s="24"/>
      <c r="E53" s="26"/>
      <c r="F53" s="26"/>
      <c r="G53" s="26"/>
      <c r="H53" s="26"/>
    </row>
    <row r="54" spans="1:8" ht="13.5">
      <c r="A54" s="60"/>
      <c r="B54" s="60"/>
      <c r="C54" s="61"/>
      <c r="D54" s="60"/>
      <c r="E54" s="62"/>
      <c r="F54" s="59"/>
      <c r="G54" s="59"/>
      <c r="H54" s="59"/>
    </row>
    <row r="55" spans="1:8" ht="13.5">
      <c r="A55" s="29"/>
      <c r="B55" s="29"/>
      <c r="C55" s="29"/>
      <c r="D55" s="29"/>
      <c r="F55" s="30" t="s">
        <v>30</v>
      </c>
      <c r="G55" s="31"/>
      <c r="H55" s="32"/>
    </row>
    <row r="56" spans="1:8" ht="13.5">
      <c r="A56" s="29"/>
      <c r="B56" s="29"/>
      <c r="C56" s="29"/>
      <c r="D56" s="29"/>
      <c r="F56" s="102">
        <v>19</v>
      </c>
      <c r="G56" s="103"/>
      <c r="H56" s="32"/>
    </row>
    <row r="57" spans="1:8" ht="13.9">
      <c r="A57" s="29"/>
      <c r="B57" s="29"/>
      <c r="C57" s="29"/>
      <c r="D57" s="29"/>
      <c r="F57" s="33" t="s">
        <v>31</v>
      </c>
      <c r="G57" s="31" t="s">
        <v>32</v>
      </c>
      <c r="H57" s="34"/>
    </row>
    <row r="58" spans="1:8" ht="13.5">
      <c r="A58" s="18"/>
      <c r="B58" s="18"/>
      <c r="C58" s="18"/>
      <c r="D58" s="18"/>
      <c r="E58" s="18"/>
      <c r="F58" s="18"/>
      <c r="G58" s="18"/>
    </row>
    <row r="59" spans="1:8" ht="13.5">
      <c r="A59" s="18"/>
      <c r="B59" s="18"/>
      <c r="C59" s="18"/>
      <c r="D59" s="18"/>
      <c r="E59" s="18"/>
    </row>
    <row r="60" spans="1:8" ht="13.5">
      <c r="A60" s="7" t="s">
        <v>33</v>
      </c>
      <c r="C60" s="18"/>
      <c r="D60" s="18"/>
      <c r="F60" s="18" t="s">
        <v>34</v>
      </c>
    </row>
    <row r="61" spans="1:8">
      <c r="A61" s="6" t="s">
        <v>35</v>
      </c>
      <c r="B61" s="6"/>
      <c r="C61" s="6"/>
      <c r="D61" s="6"/>
      <c r="F61" s="6" t="s">
        <v>36</v>
      </c>
    </row>
    <row r="62" spans="1:8">
      <c r="A62" s="6"/>
      <c r="B62" s="6"/>
      <c r="C62" s="6"/>
      <c r="D62" s="6"/>
      <c r="F62" s="6" t="s">
        <v>37</v>
      </c>
      <c r="G62" s="6"/>
    </row>
    <row r="63" spans="1:8">
      <c r="A63" s="6"/>
      <c r="B63" s="6"/>
      <c r="C63" s="6"/>
      <c r="D63" s="6"/>
      <c r="F63" s="6"/>
      <c r="G63" s="6"/>
    </row>
    <row r="64" spans="1:8">
      <c r="A64" s="6"/>
      <c r="B64" s="6"/>
      <c r="C64" s="6"/>
      <c r="D64" s="6"/>
      <c r="E64" s="6"/>
      <c r="F64" s="6"/>
      <c r="G64" s="6"/>
    </row>
    <row r="65" spans="1:7">
      <c r="A65" s="6"/>
      <c r="B65" s="6"/>
      <c r="C65" s="6"/>
      <c r="D65" s="6"/>
      <c r="E65" s="6"/>
      <c r="F65" s="6"/>
      <c r="G65" s="6"/>
    </row>
    <row r="66" spans="1:7">
      <c r="A66" s="6"/>
      <c r="B66" s="6"/>
      <c r="C66" s="6"/>
      <c r="D66" s="6"/>
      <c r="E66" s="6"/>
      <c r="F66" s="6"/>
      <c r="G66" s="6"/>
    </row>
    <row r="67" spans="1:7">
      <c r="A67" s="6"/>
      <c r="B67" s="6"/>
      <c r="C67" s="6"/>
      <c r="D67" s="6"/>
      <c r="E67" s="6"/>
      <c r="F67" s="6"/>
      <c r="G67" s="6"/>
    </row>
    <row r="68" spans="1:7">
      <c r="A68" s="6"/>
      <c r="B68" s="6"/>
      <c r="C68" s="6"/>
      <c r="D68" s="6"/>
      <c r="E68" s="6"/>
      <c r="F68" s="6"/>
      <c r="G68" s="6"/>
    </row>
  </sheetData>
  <mergeCells count="5">
    <mergeCell ref="A6:G6"/>
    <mergeCell ref="A8:H8"/>
    <mergeCell ref="A18:B18"/>
    <mergeCell ref="A19:B19"/>
    <mergeCell ref="F56:G56"/>
  </mergeCells>
  <pageMargins left="0.94488188976377963" right="0.39370078740157483" top="0.35433070866141736" bottom="0.27559055118110237" header="0.23622047244094491" footer="0.19685039370078741"/>
  <pageSetup paperSize="9" scale="72" orientation="portrait" r:id="rId1"/>
  <headerFooter alignWithMargins="0">
    <oddFooter>&amp;R&amp;8G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76"/>
  <sheetViews>
    <sheetView showGridLines="0" tabSelected="1" topLeftCell="A35" zoomScaleNormal="100" workbookViewId="0">
      <selection activeCell="F39" sqref="F39"/>
    </sheetView>
  </sheetViews>
  <sheetFormatPr baseColWidth="10" defaultColWidth="11.46484375" defaultRowHeight="12.75"/>
  <cols>
    <col min="1" max="1" width="8.46484375" style="7" customWidth="1"/>
    <col min="2" max="2" width="14.53125" style="7" customWidth="1"/>
    <col min="3" max="3" width="30.73046875" style="7" customWidth="1"/>
    <col min="4" max="4" width="11.73046875" style="7" customWidth="1"/>
    <col min="5" max="5" width="19.53125" style="7" customWidth="1"/>
    <col min="6" max="6" width="14.265625" style="7" customWidth="1"/>
    <col min="7" max="7" width="16.19921875" style="7" customWidth="1"/>
    <col min="8" max="8" width="16.265625" style="7" customWidth="1"/>
    <col min="9" max="9" width="3.19921875" style="7" customWidth="1"/>
    <col min="10" max="16384" width="11.46484375" style="7"/>
  </cols>
  <sheetData>
    <row r="1" spans="1:8" hidden="1">
      <c r="A1" s="6"/>
      <c r="B1" s="6"/>
      <c r="C1" s="6"/>
      <c r="D1" s="6"/>
      <c r="E1" s="6"/>
      <c r="F1" s="6"/>
      <c r="G1" s="6"/>
    </row>
    <row r="2" spans="1:8" hidden="1">
      <c r="A2" s="6"/>
      <c r="B2" s="6"/>
      <c r="C2" s="6"/>
      <c r="D2" s="6"/>
      <c r="E2" s="6"/>
      <c r="F2" s="6"/>
      <c r="G2" s="6"/>
    </row>
    <row r="3" spans="1:8" hidden="1">
      <c r="A3" s="6"/>
      <c r="B3" s="6"/>
      <c r="C3" s="6"/>
      <c r="D3" s="6"/>
      <c r="E3" s="6"/>
      <c r="F3" s="6"/>
      <c r="G3" s="6"/>
    </row>
    <row r="4" spans="1:8" hidden="1">
      <c r="A4" s="6"/>
      <c r="B4" s="6"/>
      <c r="C4" s="6"/>
      <c r="D4" s="6"/>
      <c r="E4" s="6"/>
      <c r="F4" s="6"/>
      <c r="G4" s="6"/>
    </row>
    <row r="5" spans="1:8" hidden="1">
      <c r="A5" s="6"/>
      <c r="B5" s="6"/>
      <c r="C5" s="6"/>
      <c r="D5" s="6"/>
      <c r="E5" s="6"/>
      <c r="F5" s="6"/>
      <c r="G5" s="6"/>
    </row>
    <row r="6" spans="1:8" hidden="1">
      <c r="A6" s="99"/>
      <c r="B6" s="99"/>
      <c r="C6" s="99"/>
      <c r="D6" s="99"/>
      <c r="E6" s="99"/>
      <c r="F6" s="99"/>
      <c r="G6" s="99"/>
    </row>
    <row r="7" spans="1:8" hidden="1">
      <c r="A7" s="6"/>
      <c r="B7" s="6"/>
      <c r="C7" s="6"/>
      <c r="D7" s="6"/>
      <c r="E7" s="6"/>
      <c r="F7" s="6"/>
      <c r="G7" s="6"/>
    </row>
    <row r="8" spans="1:8" ht="15" hidden="1">
      <c r="A8" s="100" t="s">
        <v>7</v>
      </c>
      <c r="B8" s="100"/>
      <c r="C8" s="100"/>
      <c r="D8" s="100"/>
      <c r="E8" s="100"/>
      <c r="F8" s="100"/>
      <c r="G8" s="100"/>
      <c r="H8" s="100"/>
    </row>
    <row r="9" spans="1:8" hidden="1">
      <c r="A9" s="6"/>
      <c r="B9" s="6"/>
      <c r="C9" s="6"/>
      <c r="D9" s="6"/>
      <c r="E9" s="6"/>
      <c r="F9" s="6"/>
      <c r="G9" s="6"/>
    </row>
    <row r="10" spans="1:8" hidden="1">
      <c r="A10" s="6"/>
      <c r="B10" s="6"/>
      <c r="C10" s="6"/>
      <c r="D10" s="6"/>
      <c r="E10" s="6"/>
      <c r="F10" s="6"/>
      <c r="G10" s="6"/>
    </row>
    <row r="11" spans="1:8" hidden="1">
      <c r="A11" s="8" t="s">
        <v>43</v>
      </c>
      <c r="B11" s="6"/>
      <c r="C11" s="6"/>
      <c r="D11" s="6"/>
      <c r="E11" s="9"/>
      <c r="F11" s="9"/>
      <c r="G11" s="10"/>
    </row>
    <row r="12" spans="1:8" hidden="1">
      <c r="A12" s="6"/>
      <c r="B12" s="6"/>
      <c r="C12" s="6"/>
      <c r="D12" s="6"/>
      <c r="E12" s="9"/>
      <c r="F12" s="9"/>
      <c r="G12" s="10"/>
    </row>
    <row r="13" spans="1:8" ht="15" hidden="1">
      <c r="A13" s="11"/>
      <c r="C13" s="6"/>
      <c r="D13" s="6"/>
      <c r="E13" s="9"/>
      <c r="F13" s="9"/>
      <c r="G13" s="10"/>
    </row>
    <row r="14" spans="1:8" ht="15" hidden="1">
      <c r="A14" s="12" t="s">
        <v>8</v>
      </c>
      <c r="B14" s="12"/>
      <c r="C14" s="6"/>
      <c r="D14" s="6"/>
      <c r="E14" s="9"/>
      <c r="F14" s="9"/>
      <c r="G14" s="10"/>
    </row>
    <row r="15" spans="1:8" ht="15" hidden="1">
      <c r="A15" s="12" t="s">
        <v>9</v>
      </c>
      <c r="B15" s="12"/>
      <c r="C15" s="6"/>
      <c r="D15" s="6"/>
      <c r="E15" s="9"/>
      <c r="F15" s="9"/>
      <c r="G15" s="10"/>
    </row>
    <row r="16" spans="1:8" ht="15" hidden="1">
      <c r="A16" s="12" t="s">
        <v>10</v>
      </c>
      <c r="B16" s="12"/>
      <c r="C16" s="6"/>
      <c r="D16" s="6"/>
      <c r="E16" s="9"/>
      <c r="F16" s="9"/>
      <c r="G16" s="10"/>
    </row>
    <row r="17" spans="1:8" ht="15" hidden="1">
      <c r="A17" s="12" t="s">
        <v>42</v>
      </c>
      <c r="B17" s="12"/>
      <c r="C17" s="6"/>
      <c r="D17" s="6"/>
      <c r="E17" s="9"/>
      <c r="F17" s="9"/>
      <c r="G17" s="10"/>
    </row>
    <row r="18" spans="1:8" ht="15" hidden="1">
      <c r="A18" s="101"/>
      <c r="B18" s="101"/>
      <c r="C18" s="6"/>
      <c r="D18" s="6"/>
      <c r="E18" s="10"/>
      <c r="F18" s="10"/>
      <c r="G18" s="10"/>
    </row>
    <row r="19" spans="1:8" ht="15" hidden="1">
      <c r="A19" s="101"/>
      <c r="B19" s="101"/>
      <c r="C19" s="6"/>
      <c r="D19" s="6"/>
      <c r="E19" s="10"/>
      <c r="F19" s="10"/>
      <c r="G19" s="10"/>
    </row>
    <row r="20" spans="1:8" hidden="1">
      <c r="A20" s="6"/>
      <c r="B20" s="6"/>
      <c r="C20" s="6"/>
      <c r="D20" s="6"/>
      <c r="E20" s="10"/>
      <c r="F20" s="10"/>
      <c r="G20" s="10"/>
    </row>
    <row r="21" spans="1:8" hidden="1">
      <c r="A21" s="6"/>
      <c r="B21" s="6"/>
      <c r="C21" s="6"/>
      <c r="D21" s="6"/>
      <c r="E21" s="6"/>
      <c r="F21" s="6"/>
      <c r="G21" s="6"/>
    </row>
    <row r="22" spans="1:8" hidden="1">
      <c r="A22" s="13" t="s">
        <v>11</v>
      </c>
      <c r="B22" s="13" t="s">
        <v>5</v>
      </c>
      <c r="C22" s="13" t="s">
        <v>12</v>
      </c>
      <c r="D22" s="13" t="s">
        <v>13</v>
      </c>
      <c r="F22" s="13" t="s">
        <v>14</v>
      </c>
      <c r="H22" s="13" t="s">
        <v>6</v>
      </c>
    </row>
    <row r="23" spans="1:8" ht="12.75" hidden="1" customHeight="1">
      <c r="A23" s="6"/>
      <c r="B23" s="6"/>
      <c r="C23" s="6" t="s">
        <v>15</v>
      </c>
      <c r="D23" s="36" t="s">
        <v>16</v>
      </c>
      <c r="F23" s="7" t="s">
        <v>17</v>
      </c>
      <c r="H23" s="22">
        <f ca="1">TODAY()</f>
        <v>45512</v>
      </c>
    </row>
    <row r="24" spans="1:8" hidden="1">
      <c r="A24" s="13"/>
      <c r="B24" s="13"/>
      <c r="C24" s="13"/>
      <c r="D24" s="35"/>
      <c r="E24" s="6"/>
      <c r="F24" s="14"/>
      <c r="G24" s="6"/>
    </row>
    <row r="25" spans="1:8" hidden="1">
      <c r="A25" s="13"/>
      <c r="B25" s="13"/>
      <c r="C25" s="13"/>
      <c r="D25" s="13"/>
      <c r="E25" s="6"/>
      <c r="F25" s="6"/>
      <c r="G25" s="15"/>
    </row>
    <row r="26" spans="1:8" ht="22.5" hidden="1">
      <c r="A26" s="16" t="s">
        <v>0</v>
      </c>
      <c r="B26" s="6"/>
      <c r="C26" s="13"/>
      <c r="D26" s="13"/>
      <c r="E26" s="6"/>
      <c r="F26" s="6"/>
      <c r="G26" s="15"/>
    </row>
    <row r="27" spans="1:8" ht="17.649999999999999" hidden="1">
      <c r="A27" s="17"/>
      <c r="B27" s="6"/>
      <c r="C27" s="13"/>
      <c r="D27" s="13"/>
      <c r="E27" s="6"/>
      <c r="F27" s="6"/>
      <c r="G27" s="15"/>
    </row>
    <row r="28" spans="1:8" hidden="1">
      <c r="A28" s="6"/>
      <c r="B28" s="6"/>
      <c r="C28" s="6"/>
      <c r="D28" s="6"/>
      <c r="E28" s="6"/>
      <c r="F28" s="6"/>
      <c r="G28" s="6"/>
    </row>
    <row r="29" spans="1:8" hidden="1">
      <c r="A29" s="6"/>
      <c r="B29" s="6"/>
      <c r="C29" s="6"/>
      <c r="D29" s="6"/>
      <c r="E29" s="6"/>
      <c r="F29" s="6"/>
      <c r="G29" s="6"/>
    </row>
    <row r="30" spans="1:8" ht="15" hidden="1">
      <c r="A30" s="18" t="s">
        <v>18</v>
      </c>
      <c r="C30" s="19">
        <v>2401</v>
      </c>
      <c r="D30" s="6"/>
      <c r="E30" s="6"/>
      <c r="F30" s="6"/>
      <c r="G30" s="6"/>
    </row>
    <row r="31" spans="1:8" ht="15" hidden="1">
      <c r="A31" s="20" t="s">
        <v>19</v>
      </c>
      <c r="C31" s="19">
        <v>50215</v>
      </c>
      <c r="D31" s="6"/>
      <c r="E31" s="6"/>
      <c r="F31" s="6"/>
      <c r="G31" s="6"/>
    </row>
    <row r="32" spans="1:8" ht="15" hidden="1">
      <c r="A32" s="20" t="s">
        <v>20</v>
      </c>
      <c r="B32" s="19"/>
      <c r="D32" s="6"/>
      <c r="E32" s="6"/>
      <c r="F32" s="6"/>
      <c r="G32" s="6"/>
    </row>
    <row r="33" spans="1:9" ht="15" hidden="1">
      <c r="A33" s="20" t="s">
        <v>21</v>
      </c>
      <c r="B33" s="23"/>
      <c r="D33" s="6"/>
      <c r="E33" s="6"/>
      <c r="F33" s="6"/>
      <c r="G33" s="6"/>
    </row>
    <row r="34" spans="1:9" ht="15" hidden="1">
      <c r="B34" s="20"/>
      <c r="C34" s="21"/>
      <c r="D34" s="6"/>
      <c r="E34" s="6"/>
      <c r="F34" s="6"/>
      <c r="G34" s="6"/>
    </row>
    <row r="35" spans="1:9" ht="13.9">
      <c r="A35" s="71" t="s">
        <v>1</v>
      </c>
      <c r="B35" s="6"/>
      <c r="C35" s="6"/>
      <c r="D35" s="6"/>
      <c r="E35" s="6"/>
      <c r="F35" s="6"/>
      <c r="G35" s="6"/>
    </row>
    <row r="36" spans="1:9" ht="13.5">
      <c r="A36" s="39"/>
      <c r="B36" s="40"/>
      <c r="C36" s="40"/>
      <c r="D36" s="40"/>
      <c r="E36" s="40"/>
      <c r="F36" s="40"/>
      <c r="G36" s="40"/>
      <c r="H36" s="41"/>
      <c r="I36" s="42"/>
    </row>
    <row r="37" spans="1:9" ht="13.15" thickBot="1">
      <c r="A37" s="43"/>
      <c r="B37" s="6"/>
      <c r="C37" s="6"/>
      <c r="D37" s="6"/>
      <c r="E37" s="6"/>
      <c r="F37" s="6"/>
      <c r="G37" s="6"/>
      <c r="I37" s="44"/>
    </row>
    <row r="38" spans="1:9" ht="14.25" thickBot="1">
      <c r="A38" s="55" t="s">
        <v>22</v>
      </c>
      <c r="B38" s="55" t="s">
        <v>23</v>
      </c>
      <c r="C38" s="55" t="s">
        <v>24</v>
      </c>
      <c r="D38" s="55" t="s">
        <v>25</v>
      </c>
      <c r="E38" s="55" t="s">
        <v>26</v>
      </c>
      <c r="F38" s="55" t="s">
        <v>38</v>
      </c>
      <c r="G38" s="55" t="s">
        <v>27</v>
      </c>
      <c r="H38" s="56" t="s">
        <v>28</v>
      </c>
      <c r="I38" s="44"/>
    </row>
    <row r="39" spans="1:9" ht="13.5">
      <c r="A39" s="24">
        <v>1</v>
      </c>
      <c r="B39" s="24">
        <v>101111</v>
      </c>
      <c r="C39" s="25" t="s">
        <v>29</v>
      </c>
      <c r="D39" s="24">
        <v>10</v>
      </c>
      <c r="E39" s="53">
        <v>489</v>
      </c>
      <c r="F39" s="52">
        <f>VLOOKUP(D39,$A$70:$B$74,2)</f>
        <v>10</v>
      </c>
      <c r="G39" s="53"/>
      <c r="H39" s="53"/>
      <c r="I39" s="44"/>
    </row>
    <row r="40" spans="1:9" ht="13.5">
      <c r="A40" s="57">
        <v>2</v>
      </c>
      <c r="B40" s="57">
        <v>101114</v>
      </c>
      <c r="C40" s="58" t="s">
        <v>39</v>
      </c>
      <c r="D40" s="57">
        <v>25</v>
      </c>
      <c r="E40" s="63">
        <v>98</v>
      </c>
      <c r="F40" s="59"/>
      <c r="G40" s="63"/>
      <c r="H40" s="63"/>
      <c r="I40" s="44"/>
    </row>
    <row r="41" spans="1:9" ht="13.5">
      <c r="A41" s="24">
        <v>3</v>
      </c>
      <c r="B41" s="24">
        <v>202111</v>
      </c>
      <c r="C41" s="25" t="s">
        <v>40</v>
      </c>
      <c r="D41" s="24">
        <v>20</v>
      </c>
      <c r="E41" s="53">
        <v>228</v>
      </c>
      <c r="F41" s="26"/>
      <c r="G41" s="53"/>
      <c r="H41" s="53"/>
      <c r="I41" s="44"/>
    </row>
    <row r="42" spans="1:9" ht="13.5">
      <c r="A42" s="57">
        <v>4</v>
      </c>
      <c r="B42" s="57">
        <v>202114</v>
      </c>
      <c r="C42" s="58" t="s">
        <v>81</v>
      </c>
      <c r="D42" s="57">
        <v>15</v>
      </c>
      <c r="E42" s="63">
        <v>349</v>
      </c>
      <c r="F42" s="59"/>
      <c r="G42" s="63"/>
      <c r="H42" s="63"/>
      <c r="I42" s="44"/>
    </row>
    <row r="43" spans="1:9" ht="13.5">
      <c r="A43" s="24"/>
      <c r="B43" s="24"/>
      <c r="C43" s="25"/>
      <c r="D43" s="24"/>
      <c r="E43" s="53"/>
      <c r="F43" s="26"/>
      <c r="G43" s="53"/>
      <c r="H43" s="53"/>
      <c r="I43" s="44"/>
    </row>
    <row r="44" spans="1:9" ht="13.5" hidden="1">
      <c r="A44" s="24"/>
      <c r="B44" s="24"/>
      <c r="C44" s="25"/>
      <c r="D44" s="24"/>
      <c r="E44" s="26"/>
      <c r="F44" s="26"/>
      <c r="G44" s="26"/>
      <c r="H44" s="26"/>
      <c r="I44" s="44"/>
    </row>
    <row r="45" spans="1:9" ht="13.5" hidden="1">
      <c r="A45" s="24"/>
      <c r="B45" s="24"/>
      <c r="C45" s="25"/>
      <c r="D45" s="24"/>
      <c r="E45" s="26"/>
      <c r="F45" s="26"/>
      <c r="G45" s="26"/>
      <c r="H45" s="26"/>
      <c r="I45" s="44"/>
    </row>
    <row r="46" spans="1:9" ht="13.5" hidden="1">
      <c r="A46" s="24"/>
      <c r="B46" s="24"/>
      <c r="C46" s="25"/>
      <c r="D46" s="24"/>
      <c r="E46" s="26"/>
      <c r="F46" s="26"/>
      <c r="G46" s="26"/>
      <c r="H46" s="26"/>
      <c r="I46" s="44"/>
    </row>
    <row r="47" spans="1:9" ht="13.5" hidden="1">
      <c r="A47" s="24"/>
      <c r="B47" s="24"/>
      <c r="C47" s="25"/>
      <c r="D47" s="24"/>
      <c r="E47" s="26"/>
      <c r="F47" s="26"/>
      <c r="G47" s="26"/>
      <c r="H47" s="26"/>
      <c r="I47" s="44"/>
    </row>
    <row r="48" spans="1:9" ht="13.5" hidden="1">
      <c r="A48" s="24"/>
      <c r="B48" s="24"/>
      <c r="C48" s="25"/>
      <c r="D48" s="24"/>
      <c r="E48" s="26"/>
      <c r="F48" s="26"/>
      <c r="G48" s="26"/>
      <c r="H48" s="26"/>
      <c r="I48" s="44"/>
    </row>
    <row r="49" spans="1:9" ht="13.5" hidden="1">
      <c r="A49" s="24"/>
      <c r="B49" s="24"/>
      <c r="C49" s="25"/>
      <c r="D49" s="24"/>
      <c r="E49" s="26"/>
      <c r="F49" s="26"/>
      <c r="G49" s="26"/>
      <c r="H49" s="26"/>
      <c r="I49" s="44"/>
    </row>
    <row r="50" spans="1:9" ht="13.5" hidden="1">
      <c r="A50" s="24"/>
      <c r="B50" s="24"/>
      <c r="C50" s="25"/>
      <c r="D50" s="24"/>
      <c r="E50" s="26"/>
      <c r="F50" s="26"/>
      <c r="G50" s="26"/>
      <c r="H50" s="26"/>
      <c r="I50" s="44"/>
    </row>
    <row r="51" spans="1:9" ht="13.5" hidden="1">
      <c r="A51" s="24"/>
      <c r="B51" s="24"/>
      <c r="C51" s="25"/>
      <c r="D51" s="24"/>
      <c r="E51" s="26"/>
      <c r="F51" s="26"/>
      <c r="G51" s="26"/>
      <c r="H51" s="26"/>
      <c r="I51" s="44"/>
    </row>
    <row r="52" spans="1:9" ht="13.5" hidden="1">
      <c r="A52" s="24"/>
      <c r="B52" s="24"/>
      <c r="C52" s="25"/>
      <c r="D52" s="24"/>
      <c r="E52" s="26"/>
      <c r="F52" s="26"/>
      <c r="G52" s="26"/>
      <c r="H52" s="26"/>
      <c r="I52" s="44"/>
    </row>
    <row r="53" spans="1:9" ht="13.5" hidden="1">
      <c r="A53" s="24"/>
      <c r="B53" s="24"/>
      <c r="C53" s="25"/>
      <c r="D53" s="24"/>
      <c r="E53" s="26"/>
      <c r="F53" s="26"/>
      <c r="G53" s="26"/>
      <c r="H53" s="26"/>
      <c r="I53" s="44"/>
    </row>
    <row r="54" spans="1:9" ht="13.5" hidden="1">
      <c r="A54" s="27"/>
      <c r="B54" s="27"/>
      <c r="C54" s="28"/>
      <c r="D54" s="27"/>
      <c r="E54" s="37"/>
      <c r="F54" s="26"/>
      <c r="G54" s="26"/>
      <c r="H54" s="26"/>
      <c r="I54" s="44"/>
    </row>
    <row r="55" spans="1:9" ht="13.5" hidden="1">
      <c r="A55" s="45"/>
      <c r="B55" s="29"/>
      <c r="C55" s="29"/>
      <c r="D55" s="29"/>
      <c r="F55" s="30" t="s">
        <v>30</v>
      </c>
      <c r="G55" s="31"/>
      <c r="H55" s="32">
        <f>SUM(H39:H54)</f>
        <v>0</v>
      </c>
      <c r="I55" s="44"/>
    </row>
    <row r="56" spans="1:9" ht="13.5" hidden="1">
      <c r="A56" s="45"/>
      <c r="B56" s="29"/>
      <c r="C56" s="29"/>
      <c r="D56" s="29"/>
      <c r="F56" s="102">
        <v>19</v>
      </c>
      <c r="G56" s="103"/>
      <c r="H56" s="32">
        <f>H55*F56/100</f>
        <v>0</v>
      </c>
      <c r="I56" s="44"/>
    </row>
    <row r="57" spans="1:9" ht="13.9" hidden="1">
      <c r="A57" s="45"/>
      <c r="B57" s="29"/>
      <c r="C57" s="29"/>
      <c r="D57" s="29"/>
      <c r="F57" s="33" t="s">
        <v>31</v>
      </c>
      <c r="G57" s="31" t="s">
        <v>32</v>
      </c>
      <c r="H57" s="34">
        <f>H55+H56</f>
        <v>0</v>
      </c>
      <c r="I57" s="44"/>
    </row>
    <row r="58" spans="1:9" ht="13.5" hidden="1">
      <c r="A58" s="46"/>
      <c r="B58" s="18"/>
      <c r="C58" s="18"/>
      <c r="D58" s="18"/>
      <c r="E58" s="18"/>
      <c r="F58" s="18"/>
      <c r="G58" s="18"/>
      <c r="I58" s="44"/>
    </row>
    <row r="59" spans="1:9" ht="13.5" hidden="1">
      <c r="A59" s="46"/>
      <c r="B59" s="18"/>
      <c r="C59" s="18"/>
      <c r="D59" s="18"/>
      <c r="E59" s="18"/>
      <c r="I59" s="44"/>
    </row>
    <row r="60" spans="1:9" ht="13.5" hidden="1">
      <c r="A60" s="47" t="s">
        <v>33</v>
      </c>
      <c r="C60" s="18"/>
      <c r="D60" s="18"/>
      <c r="F60" s="18" t="s">
        <v>34</v>
      </c>
      <c r="I60" s="44"/>
    </row>
    <row r="61" spans="1:9" hidden="1">
      <c r="A61" s="43" t="s">
        <v>35</v>
      </c>
      <c r="B61" s="6"/>
      <c r="C61" s="6"/>
      <c r="D61" s="6"/>
      <c r="F61" s="6" t="s">
        <v>36</v>
      </c>
      <c r="I61" s="44"/>
    </row>
    <row r="62" spans="1:9" hidden="1">
      <c r="A62" s="43"/>
      <c r="B62" s="6"/>
      <c r="C62" s="6"/>
      <c r="D62" s="6"/>
      <c r="F62" s="6" t="s">
        <v>37</v>
      </c>
      <c r="G62" s="6"/>
      <c r="I62" s="44"/>
    </row>
    <row r="63" spans="1:9">
      <c r="A63" s="48"/>
      <c r="B63" s="49"/>
      <c r="C63" s="49"/>
      <c r="D63" s="49"/>
      <c r="E63" s="50"/>
      <c r="F63" s="49"/>
      <c r="G63" s="49"/>
      <c r="H63" s="50"/>
      <c r="I63" s="51"/>
    </row>
    <row r="64" spans="1:9">
      <c r="A64" s="6"/>
      <c r="B64" s="6"/>
      <c r="C64" s="6"/>
      <c r="D64" s="6"/>
      <c r="E64" s="6"/>
      <c r="F64" s="6"/>
      <c r="G64" s="6"/>
    </row>
    <row r="65" spans="1:7">
      <c r="A65" s="6"/>
      <c r="B65" s="6"/>
      <c r="C65" s="6"/>
      <c r="D65" s="6"/>
      <c r="E65" s="6"/>
      <c r="F65" s="6"/>
      <c r="G65" s="6"/>
    </row>
    <row r="66" spans="1:7">
      <c r="A66" s="6"/>
      <c r="B66" s="6"/>
      <c r="C66" s="6"/>
      <c r="D66" s="6"/>
      <c r="E66" s="6"/>
      <c r="F66" s="6"/>
      <c r="G66" s="6"/>
    </row>
    <row r="67" spans="1:7" customFormat="1" ht="13.9">
      <c r="A67" s="66" t="s">
        <v>2</v>
      </c>
      <c r="B67" s="68"/>
    </row>
    <row r="68" spans="1:7" customFormat="1" ht="13.9">
      <c r="A68" s="67"/>
      <c r="B68" s="69"/>
      <c r="C68" s="1"/>
    </row>
    <row r="69" spans="1:7" customFormat="1" ht="27.75">
      <c r="A69" s="64" t="s">
        <v>3</v>
      </c>
      <c r="B69" s="64" t="s">
        <v>4</v>
      </c>
      <c r="C69" s="2"/>
    </row>
    <row r="70" spans="1:7" customFormat="1" ht="13.5">
      <c r="A70" s="65">
        <v>0</v>
      </c>
      <c r="B70" s="70">
        <v>0</v>
      </c>
      <c r="C70" s="2"/>
    </row>
    <row r="71" spans="1:7" customFormat="1" ht="13.5">
      <c r="A71" s="65">
        <v>10</v>
      </c>
      <c r="B71" s="70">
        <v>10</v>
      </c>
      <c r="C71" s="2"/>
    </row>
    <row r="72" spans="1:7" customFormat="1" ht="13.5">
      <c r="A72" s="65">
        <v>20</v>
      </c>
      <c r="B72" s="70">
        <v>15</v>
      </c>
      <c r="C72" s="2"/>
    </row>
    <row r="73" spans="1:7" customFormat="1" ht="13.5">
      <c r="A73" s="65">
        <v>50</v>
      </c>
      <c r="B73" s="70">
        <v>20</v>
      </c>
      <c r="C73" s="2"/>
    </row>
    <row r="74" spans="1:7" customFormat="1" ht="13.5">
      <c r="A74" s="65">
        <v>100</v>
      </c>
      <c r="B74" s="70">
        <v>30</v>
      </c>
      <c r="C74" s="2"/>
    </row>
    <row r="75" spans="1:7" customFormat="1">
      <c r="A75" s="3"/>
      <c r="B75" s="4"/>
      <c r="C75" s="5"/>
    </row>
    <row r="76" spans="1:7" customFormat="1"/>
  </sheetData>
  <mergeCells count="5">
    <mergeCell ref="A6:G6"/>
    <mergeCell ref="A8:H8"/>
    <mergeCell ref="A18:B18"/>
    <mergeCell ref="A19:B19"/>
    <mergeCell ref="F56:G56"/>
  </mergeCells>
  <pageMargins left="0.94488188976377963" right="0.39370078740157483" top="0.35433070866141736" bottom="0.27559055118110237" header="0.23622047244094491" footer="0.19685039370078741"/>
  <pageSetup paperSize="9" scale="72" orientation="portrait" r:id="rId1"/>
  <headerFooter alignWithMargins="0">
    <oddFooter>&amp;R&amp;8G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76"/>
  <sheetViews>
    <sheetView showGridLines="0" topLeftCell="A35" zoomScaleNormal="100" workbookViewId="0">
      <selection activeCell="A14" sqref="A14"/>
    </sheetView>
  </sheetViews>
  <sheetFormatPr baseColWidth="10" defaultColWidth="11.46484375" defaultRowHeight="12.75"/>
  <cols>
    <col min="1" max="1" width="8.46484375" style="7" customWidth="1"/>
    <col min="2" max="2" width="15.46484375" style="7" customWidth="1"/>
    <col min="3" max="3" width="23.796875" style="7" customWidth="1"/>
    <col min="4" max="4" width="16.53125" style="7" customWidth="1"/>
    <col min="5" max="5" width="19.53125" style="7" customWidth="1"/>
    <col min="6" max="6" width="15.796875" style="7" customWidth="1"/>
    <col min="7" max="7" width="16.19921875" style="7" customWidth="1"/>
    <col min="8" max="8" width="10.46484375" style="7" customWidth="1"/>
    <col min="9" max="9" width="3.19921875" style="7" customWidth="1"/>
    <col min="10" max="16384" width="11.46484375" style="7"/>
  </cols>
  <sheetData>
    <row r="1" spans="1:9" hidden="1">
      <c r="A1" s="6"/>
      <c r="B1" s="6"/>
      <c r="C1" s="6"/>
      <c r="D1" s="6"/>
      <c r="E1" s="6"/>
      <c r="F1" s="6"/>
      <c r="G1" s="6"/>
    </row>
    <row r="2" spans="1:9" hidden="1">
      <c r="A2" s="6"/>
      <c r="B2" s="6"/>
      <c r="C2" s="6"/>
      <c r="D2" s="6"/>
      <c r="E2" s="6"/>
      <c r="F2" s="6"/>
      <c r="G2" s="6"/>
    </row>
    <row r="3" spans="1:9" hidden="1">
      <c r="A3" s="6"/>
      <c r="B3" s="6"/>
      <c r="C3" s="6"/>
      <c r="D3" s="6"/>
      <c r="E3" s="6"/>
      <c r="F3" s="6"/>
      <c r="G3" s="6"/>
    </row>
    <row r="4" spans="1:9" hidden="1">
      <c r="A4" s="6"/>
      <c r="B4" s="6"/>
      <c r="C4" s="6"/>
      <c r="D4" s="6"/>
      <c r="E4" s="6"/>
      <c r="F4" s="6"/>
      <c r="G4" s="6"/>
    </row>
    <row r="5" spans="1:9" hidden="1">
      <c r="A5" s="6"/>
      <c r="B5" s="6"/>
      <c r="C5" s="6"/>
      <c r="D5" s="6"/>
      <c r="E5" s="6"/>
      <c r="F5" s="6"/>
      <c r="G5" s="6"/>
    </row>
    <row r="6" spans="1:9" hidden="1">
      <c r="A6" s="99"/>
      <c r="B6" s="99"/>
      <c r="C6" s="99"/>
      <c r="D6" s="99"/>
      <c r="E6" s="99"/>
      <c r="F6" s="99"/>
      <c r="G6" s="99"/>
    </row>
    <row r="7" spans="1:9" hidden="1">
      <c r="A7" s="6"/>
      <c r="B7" s="6"/>
      <c r="C7" s="6"/>
      <c r="D7" s="6"/>
      <c r="E7" s="6"/>
      <c r="F7" s="6"/>
      <c r="G7" s="6"/>
    </row>
    <row r="8" spans="1:9" ht="15" hidden="1">
      <c r="A8" s="100" t="s">
        <v>7</v>
      </c>
      <c r="B8" s="100"/>
      <c r="C8" s="100"/>
      <c r="D8" s="100"/>
      <c r="E8" s="100"/>
      <c r="F8" s="100"/>
      <c r="G8" s="100"/>
      <c r="H8" s="100"/>
    </row>
    <row r="9" spans="1:9" ht="13.9">
      <c r="A9" s="71" t="s">
        <v>1</v>
      </c>
      <c r="B9" s="6"/>
      <c r="C9" s="6"/>
      <c r="D9" s="6"/>
      <c r="E9" s="6"/>
      <c r="F9" s="6"/>
      <c r="G9" s="6"/>
    </row>
    <row r="10" spans="1:9">
      <c r="A10" s="41"/>
      <c r="B10" s="40"/>
      <c r="C10" s="40"/>
      <c r="D10" s="40"/>
      <c r="E10" s="40"/>
      <c r="F10" s="40"/>
      <c r="G10" s="40"/>
      <c r="H10" s="41"/>
      <c r="I10" s="42"/>
    </row>
    <row r="11" spans="1:9">
      <c r="A11" s="90" t="s">
        <v>43</v>
      </c>
      <c r="B11" s="6"/>
      <c r="C11" s="6"/>
      <c r="D11" s="6"/>
      <c r="E11" s="9"/>
      <c r="F11" s="9"/>
      <c r="G11" s="10"/>
      <c r="I11" s="44"/>
    </row>
    <row r="12" spans="1:9">
      <c r="A12" s="43"/>
      <c r="B12" s="6"/>
      <c r="C12" s="6"/>
      <c r="D12" s="6"/>
      <c r="E12" s="9"/>
      <c r="F12" s="9"/>
      <c r="G12" s="10"/>
      <c r="I12" s="44"/>
    </row>
    <row r="13" spans="1:9" ht="15">
      <c r="A13" s="72"/>
      <c r="C13" s="6"/>
      <c r="D13" s="6"/>
      <c r="E13" s="9"/>
      <c r="F13" s="9"/>
      <c r="G13" s="10"/>
      <c r="I13" s="44"/>
    </row>
    <row r="14" spans="1:9" ht="15">
      <c r="A14" s="73" t="str">
        <f>VLOOKUP($C$30,$A$68:$E$75,2,FALSE)</f>
        <v>Neuhoff KG</v>
      </c>
      <c r="B14" s="12"/>
      <c r="C14" s="6"/>
      <c r="D14" s="6"/>
      <c r="E14" s="9"/>
      <c r="F14" s="9"/>
      <c r="G14" s="10"/>
      <c r="I14" s="44"/>
    </row>
    <row r="15" spans="1:9" ht="15">
      <c r="A15" s="73" t="str">
        <f>VLOOKUP($C$30,$A$68:$E$75,3,FALSE)</f>
        <v>RaumDesign</v>
      </c>
      <c r="B15" s="12"/>
      <c r="C15" s="6"/>
      <c r="D15" s="6"/>
      <c r="E15" s="9"/>
      <c r="F15" s="9"/>
      <c r="G15" s="10"/>
      <c r="I15" s="44"/>
    </row>
    <row r="16" spans="1:9" ht="15">
      <c r="A16" s="73" t="str">
        <f>VLOOKUP($C$30,$A$68:$E$75,4,FALSE)</f>
        <v>Brunnenstraße 3</v>
      </c>
      <c r="B16" s="12"/>
      <c r="C16" s="6"/>
      <c r="D16" s="6"/>
      <c r="E16" s="9"/>
      <c r="F16" s="9"/>
      <c r="G16" s="10"/>
      <c r="I16" s="44"/>
    </row>
    <row r="17" spans="1:9" ht="15">
      <c r="A17" s="73" t="str">
        <f>VLOOKUP($C$30,$A$68:$E$75,5,FALSE)</f>
        <v>38700 Hannover</v>
      </c>
      <c r="B17" s="12"/>
      <c r="C17" s="6"/>
      <c r="D17" s="6"/>
      <c r="E17" s="9"/>
      <c r="F17" s="9"/>
      <c r="G17" s="10"/>
      <c r="I17" s="44"/>
    </row>
    <row r="18" spans="1:9" ht="15">
      <c r="A18" s="73"/>
      <c r="B18" s="11"/>
      <c r="C18" s="6"/>
      <c r="D18" s="6"/>
      <c r="E18" s="10"/>
      <c r="F18" s="10"/>
      <c r="G18" s="10"/>
      <c r="I18" s="44"/>
    </row>
    <row r="19" spans="1:9" ht="15">
      <c r="A19" s="104"/>
      <c r="B19" s="101"/>
      <c r="C19" s="6"/>
      <c r="D19" s="6"/>
      <c r="E19" s="10"/>
      <c r="F19" s="10"/>
      <c r="G19" s="10"/>
      <c r="I19" s="44"/>
    </row>
    <row r="20" spans="1:9">
      <c r="A20" s="43"/>
      <c r="B20" s="6"/>
      <c r="C20" s="6"/>
      <c r="D20" s="6"/>
      <c r="E20" s="10"/>
      <c r="F20" s="10"/>
      <c r="G20" s="10"/>
      <c r="I20" s="44"/>
    </row>
    <row r="21" spans="1:9">
      <c r="A21" s="43"/>
      <c r="B21" s="6"/>
      <c r="C21" s="6"/>
      <c r="D21" s="6"/>
      <c r="E21" s="6"/>
      <c r="F21" s="6"/>
      <c r="G21" s="6"/>
      <c r="I21" s="44"/>
    </row>
    <row r="22" spans="1:9">
      <c r="A22" s="74" t="s">
        <v>11</v>
      </c>
      <c r="B22" s="13" t="s">
        <v>5</v>
      </c>
      <c r="C22" s="13" t="s">
        <v>12</v>
      </c>
      <c r="D22" s="13" t="s">
        <v>13</v>
      </c>
      <c r="F22" s="13" t="s">
        <v>14</v>
      </c>
      <c r="H22" s="13" t="s">
        <v>6</v>
      </c>
      <c r="I22" s="44"/>
    </row>
    <row r="23" spans="1:9" ht="12.75" customHeight="1">
      <c r="A23" s="43"/>
      <c r="B23" s="6"/>
      <c r="C23" s="6" t="s">
        <v>15</v>
      </c>
      <c r="D23" s="36" t="s">
        <v>16</v>
      </c>
      <c r="F23" s="7" t="s">
        <v>17</v>
      </c>
      <c r="H23" s="91" t="s">
        <v>79</v>
      </c>
      <c r="I23" s="44"/>
    </row>
    <row r="24" spans="1:9">
      <c r="A24" s="74"/>
      <c r="B24" s="13"/>
      <c r="C24" s="13"/>
      <c r="D24" s="35"/>
      <c r="E24" s="6"/>
      <c r="F24" s="14"/>
      <c r="G24" s="6"/>
      <c r="I24" s="44"/>
    </row>
    <row r="25" spans="1:9">
      <c r="A25" s="74"/>
      <c r="B25" s="13"/>
      <c r="C25" s="13"/>
      <c r="D25" s="13"/>
      <c r="E25" s="6"/>
      <c r="F25" s="6"/>
      <c r="G25" s="15"/>
      <c r="I25" s="44"/>
    </row>
    <row r="26" spans="1:9" ht="22.5">
      <c r="A26" s="75" t="s">
        <v>0</v>
      </c>
      <c r="B26" s="6"/>
      <c r="C26" s="13"/>
      <c r="D26" s="13"/>
      <c r="E26" s="6"/>
      <c r="F26" s="6"/>
      <c r="G26" s="15"/>
      <c r="I26" s="44"/>
    </row>
    <row r="27" spans="1:9" ht="17.649999999999999">
      <c r="A27" s="76"/>
      <c r="B27" s="6"/>
      <c r="C27" s="13"/>
      <c r="D27" s="13"/>
      <c r="E27" s="6"/>
      <c r="F27" s="6"/>
      <c r="G27" s="15"/>
      <c r="I27" s="44"/>
    </row>
    <row r="28" spans="1:9">
      <c r="A28" s="43"/>
      <c r="B28" s="6"/>
      <c r="C28" s="6"/>
      <c r="D28" s="6"/>
      <c r="E28" s="6"/>
      <c r="F28" s="6"/>
      <c r="G28" s="6"/>
      <c r="I28" s="44"/>
    </row>
    <row r="29" spans="1:9">
      <c r="A29" s="43"/>
      <c r="B29" s="6"/>
      <c r="C29" s="6"/>
      <c r="D29" s="6"/>
      <c r="E29" s="6"/>
      <c r="F29" s="6"/>
      <c r="G29" s="6"/>
      <c r="I29" s="44"/>
    </row>
    <row r="30" spans="1:9" ht="15">
      <c r="A30" s="46" t="s">
        <v>18</v>
      </c>
      <c r="C30" s="19">
        <v>2401</v>
      </c>
      <c r="D30" s="6"/>
      <c r="E30" s="6"/>
      <c r="F30" s="6"/>
      <c r="G30" s="6"/>
      <c r="I30" s="44"/>
    </row>
    <row r="31" spans="1:9" ht="15">
      <c r="A31" s="77" t="s">
        <v>19</v>
      </c>
      <c r="C31" s="19">
        <v>50215</v>
      </c>
      <c r="D31" s="6"/>
      <c r="E31" s="6"/>
      <c r="F31" s="6"/>
      <c r="G31" s="6"/>
      <c r="I31" s="44"/>
    </row>
    <row r="32" spans="1:9" ht="15">
      <c r="A32" s="77" t="s">
        <v>20</v>
      </c>
      <c r="B32" s="19"/>
      <c r="D32" s="6"/>
      <c r="E32" s="6"/>
      <c r="F32" s="6"/>
      <c r="G32" s="6"/>
      <c r="I32" s="44"/>
    </row>
    <row r="33" spans="1:9" ht="15">
      <c r="A33" s="77" t="s">
        <v>21</v>
      </c>
      <c r="B33" s="23"/>
      <c r="D33" s="6"/>
      <c r="E33" s="6"/>
      <c r="F33" s="6"/>
      <c r="G33" s="6"/>
      <c r="I33" s="44"/>
    </row>
    <row r="34" spans="1:9" ht="15">
      <c r="A34" s="78"/>
      <c r="B34" s="79"/>
      <c r="C34" s="80"/>
      <c r="D34" s="49"/>
      <c r="E34" s="49"/>
      <c r="F34" s="49"/>
      <c r="G34" s="49"/>
      <c r="H34" s="50"/>
      <c r="I34" s="51"/>
    </row>
    <row r="36" spans="1:9" ht="13.5" hidden="1">
      <c r="A36" s="39"/>
      <c r="B36" s="40"/>
      <c r="C36" s="40"/>
      <c r="D36" s="40"/>
      <c r="E36" s="40"/>
      <c r="F36" s="40"/>
      <c r="G36" s="40"/>
      <c r="H36" s="41"/>
      <c r="I36" s="42"/>
    </row>
    <row r="37" spans="1:9" ht="13.15" hidden="1" thickBot="1">
      <c r="A37" s="43"/>
      <c r="B37" s="6"/>
      <c r="C37" s="6"/>
      <c r="D37" s="6"/>
      <c r="E37" s="6"/>
      <c r="F37" s="6"/>
      <c r="G37" s="6"/>
      <c r="I37" s="44"/>
    </row>
    <row r="38" spans="1:9" ht="14.25" hidden="1" thickBot="1">
      <c r="A38" s="55" t="s">
        <v>22</v>
      </c>
      <c r="B38" s="55" t="s">
        <v>23</v>
      </c>
      <c r="C38" s="55" t="s">
        <v>24</v>
      </c>
      <c r="D38" s="55" t="s">
        <v>25</v>
      </c>
      <c r="E38" s="55" t="s">
        <v>26</v>
      </c>
      <c r="F38" s="55" t="s">
        <v>38</v>
      </c>
      <c r="G38" s="55" t="s">
        <v>27</v>
      </c>
      <c r="H38" s="56" t="s">
        <v>28</v>
      </c>
      <c r="I38" s="44"/>
    </row>
    <row r="39" spans="1:9" ht="13.5" hidden="1">
      <c r="A39" s="24">
        <v>1</v>
      </c>
      <c r="B39" s="24">
        <v>101111</v>
      </c>
      <c r="C39" s="25" t="s">
        <v>29</v>
      </c>
      <c r="D39" s="24">
        <v>10</v>
      </c>
      <c r="E39" s="53">
        <v>489</v>
      </c>
      <c r="F39" s="52"/>
      <c r="G39" s="53"/>
      <c r="H39" s="53"/>
      <c r="I39" s="44"/>
    </row>
    <row r="40" spans="1:9" ht="13.5" hidden="1">
      <c r="A40" s="57">
        <v>2</v>
      </c>
      <c r="B40" s="57">
        <v>101114</v>
      </c>
      <c r="C40" s="58" t="s">
        <v>39</v>
      </c>
      <c r="D40" s="57">
        <v>25</v>
      </c>
      <c r="E40" s="63">
        <v>98</v>
      </c>
      <c r="F40" s="59"/>
      <c r="G40" s="63"/>
      <c r="H40" s="63"/>
      <c r="I40" s="44"/>
    </row>
    <row r="41" spans="1:9" ht="13.5" hidden="1">
      <c r="A41" s="24">
        <v>3</v>
      </c>
      <c r="B41" s="24">
        <v>202111</v>
      </c>
      <c r="C41" s="25" t="s">
        <v>40</v>
      </c>
      <c r="D41" s="24">
        <v>20</v>
      </c>
      <c r="E41" s="53">
        <v>228</v>
      </c>
      <c r="F41" s="26"/>
      <c r="G41" s="53"/>
      <c r="H41" s="53"/>
      <c r="I41" s="44"/>
    </row>
    <row r="42" spans="1:9" ht="13.5" hidden="1">
      <c r="A42" s="57">
        <v>4</v>
      </c>
      <c r="B42" s="57">
        <v>202114</v>
      </c>
      <c r="C42" s="58" t="s">
        <v>41</v>
      </c>
      <c r="D42" s="57">
        <v>15</v>
      </c>
      <c r="E42" s="63">
        <v>349</v>
      </c>
      <c r="F42" s="59"/>
      <c r="G42" s="63"/>
      <c r="H42" s="63"/>
      <c r="I42" s="44"/>
    </row>
    <row r="43" spans="1:9" ht="13.5" hidden="1">
      <c r="A43" s="24"/>
      <c r="B43" s="24"/>
      <c r="C43" s="25"/>
      <c r="D43" s="24"/>
      <c r="E43" s="53"/>
      <c r="F43" s="26"/>
      <c r="G43" s="53"/>
      <c r="H43" s="53"/>
      <c r="I43" s="44"/>
    </row>
    <row r="44" spans="1:9" ht="13.5" hidden="1">
      <c r="A44" s="24"/>
      <c r="B44" s="24"/>
      <c r="C44" s="25"/>
      <c r="D44" s="24"/>
      <c r="E44" s="26"/>
      <c r="F44" s="26"/>
      <c r="G44" s="26"/>
      <c r="H44" s="26"/>
      <c r="I44" s="44"/>
    </row>
    <row r="45" spans="1:9" ht="13.5" hidden="1">
      <c r="A45" s="24"/>
      <c r="B45" s="24"/>
      <c r="C45" s="25"/>
      <c r="D45" s="24"/>
      <c r="E45" s="26"/>
      <c r="F45" s="26"/>
      <c r="G45" s="26"/>
      <c r="H45" s="26"/>
      <c r="I45" s="44"/>
    </row>
    <row r="46" spans="1:9" ht="13.5" hidden="1">
      <c r="A46" s="24"/>
      <c r="B46" s="24"/>
      <c r="C46" s="25"/>
      <c r="D46" s="24"/>
      <c r="E46" s="26"/>
      <c r="F46" s="26"/>
      <c r="G46" s="26"/>
      <c r="H46" s="26"/>
      <c r="I46" s="44"/>
    </row>
    <row r="47" spans="1:9" ht="13.5" hidden="1">
      <c r="A47" s="24"/>
      <c r="B47" s="24"/>
      <c r="C47" s="25"/>
      <c r="D47" s="24"/>
      <c r="E47" s="26"/>
      <c r="F47" s="26"/>
      <c r="G47" s="26"/>
      <c r="H47" s="26"/>
      <c r="I47" s="44"/>
    </row>
    <row r="48" spans="1:9" ht="13.5" hidden="1">
      <c r="A48" s="24"/>
      <c r="B48" s="24"/>
      <c r="C48" s="25"/>
      <c r="D48" s="24"/>
      <c r="E48" s="26"/>
      <c r="F48" s="26"/>
      <c r="G48" s="26"/>
      <c r="H48" s="26"/>
      <c r="I48" s="44"/>
    </row>
    <row r="49" spans="1:9" ht="13.5" hidden="1">
      <c r="A49" s="24"/>
      <c r="B49" s="24"/>
      <c r="C49" s="25"/>
      <c r="D49" s="24"/>
      <c r="E49" s="26"/>
      <c r="F49" s="26"/>
      <c r="G49" s="26"/>
      <c r="H49" s="26"/>
      <c r="I49" s="44"/>
    </row>
    <row r="50" spans="1:9" ht="13.5" hidden="1">
      <c r="A50" s="24"/>
      <c r="B50" s="24"/>
      <c r="C50" s="25"/>
      <c r="D50" s="24"/>
      <c r="E50" s="26"/>
      <c r="F50" s="26"/>
      <c r="G50" s="26"/>
      <c r="H50" s="26"/>
      <c r="I50" s="44"/>
    </row>
    <row r="51" spans="1:9" ht="13.5" hidden="1">
      <c r="A51" s="24"/>
      <c r="B51" s="24"/>
      <c r="C51" s="25"/>
      <c r="D51" s="24"/>
      <c r="E51" s="26"/>
      <c r="F51" s="26"/>
      <c r="G51" s="26"/>
      <c r="H51" s="26"/>
      <c r="I51" s="44"/>
    </row>
    <row r="52" spans="1:9" ht="13.5" hidden="1">
      <c r="A52" s="24"/>
      <c r="B52" s="24"/>
      <c r="C52" s="25"/>
      <c r="D52" s="24"/>
      <c r="E52" s="26"/>
      <c r="F52" s="26"/>
      <c r="G52" s="26"/>
      <c r="H52" s="26"/>
      <c r="I52" s="44"/>
    </row>
    <row r="53" spans="1:9" ht="13.5" hidden="1">
      <c r="A53" s="24"/>
      <c r="B53" s="24"/>
      <c r="C53" s="25"/>
      <c r="D53" s="24"/>
      <c r="E53" s="26"/>
      <c r="F53" s="26"/>
      <c r="G53" s="26"/>
      <c r="H53" s="26"/>
      <c r="I53" s="44"/>
    </row>
    <row r="54" spans="1:9" ht="13.5" hidden="1">
      <c r="A54" s="27"/>
      <c r="B54" s="27"/>
      <c r="C54" s="28"/>
      <c r="D54" s="27"/>
      <c r="E54" s="37"/>
      <c r="F54" s="26"/>
      <c r="G54" s="26"/>
      <c r="H54" s="26"/>
      <c r="I54" s="44"/>
    </row>
    <row r="55" spans="1:9" ht="13.5" hidden="1">
      <c r="A55" s="45"/>
      <c r="B55" s="29"/>
      <c r="C55" s="29"/>
      <c r="D55" s="29"/>
      <c r="F55" s="30" t="s">
        <v>30</v>
      </c>
      <c r="G55" s="31"/>
      <c r="H55" s="32">
        <f>SUM(H39:H54)</f>
        <v>0</v>
      </c>
      <c r="I55" s="44"/>
    </row>
    <row r="56" spans="1:9" ht="13.5" hidden="1">
      <c r="A56" s="45"/>
      <c r="B56" s="29"/>
      <c r="C56" s="29"/>
      <c r="D56" s="29"/>
      <c r="F56" s="102">
        <v>19</v>
      </c>
      <c r="G56" s="103"/>
      <c r="H56" s="32">
        <f>H55*F56/100</f>
        <v>0</v>
      </c>
      <c r="I56" s="44"/>
    </row>
    <row r="57" spans="1:9" ht="13.9" hidden="1">
      <c r="A57" s="45"/>
      <c r="B57" s="29"/>
      <c r="C57" s="29"/>
      <c r="D57" s="29"/>
      <c r="F57" s="33" t="s">
        <v>31</v>
      </c>
      <c r="G57" s="31" t="s">
        <v>32</v>
      </c>
      <c r="H57" s="34">
        <f>H55+H56</f>
        <v>0</v>
      </c>
      <c r="I57" s="44"/>
    </row>
    <row r="58" spans="1:9" ht="13.5" hidden="1">
      <c r="A58" s="46"/>
      <c r="B58" s="18"/>
      <c r="C58" s="18"/>
      <c r="D58" s="18"/>
      <c r="E58" s="18"/>
      <c r="F58" s="18"/>
      <c r="G58" s="18"/>
      <c r="I58" s="44"/>
    </row>
    <row r="59" spans="1:9" ht="13.5" hidden="1">
      <c r="A59" s="46"/>
      <c r="B59" s="18"/>
      <c r="C59" s="18"/>
      <c r="D59" s="18"/>
      <c r="E59" s="18"/>
      <c r="I59" s="44"/>
    </row>
    <row r="60" spans="1:9" ht="13.5" hidden="1">
      <c r="A60" s="47" t="s">
        <v>33</v>
      </c>
      <c r="C60" s="18"/>
      <c r="D60" s="18"/>
      <c r="F60" s="18" t="s">
        <v>34</v>
      </c>
      <c r="I60" s="44"/>
    </row>
    <row r="61" spans="1:9" hidden="1">
      <c r="A61" s="43" t="s">
        <v>35</v>
      </c>
      <c r="B61" s="6"/>
      <c r="C61" s="6"/>
      <c r="D61" s="6"/>
      <c r="F61" s="6" t="s">
        <v>36</v>
      </c>
      <c r="I61" s="44"/>
    </row>
    <row r="62" spans="1:9" hidden="1">
      <c r="A62" s="43"/>
      <c r="B62" s="6"/>
      <c r="C62" s="6"/>
      <c r="D62" s="6"/>
      <c r="F62" s="6" t="s">
        <v>37</v>
      </c>
      <c r="G62" s="6"/>
      <c r="I62" s="44"/>
    </row>
    <row r="63" spans="1:9" hidden="1">
      <c r="A63" s="48"/>
      <c r="B63" s="49"/>
      <c r="C63" s="49"/>
      <c r="D63" s="49"/>
      <c r="E63" s="50"/>
      <c r="F63" s="49"/>
      <c r="G63" s="49"/>
      <c r="H63" s="50"/>
      <c r="I63" s="51"/>
    </row>
    <row r="64" spans="1:9" hidden="1">
      <c r="A64" s="6"/>
      <c r="B64" s="6"/>
      <c r="C64" s="6"/>
      <c r="D64" s="6"/>
      <c r="E64" s="6"/>
      <c r="F64" s="6"/>
      <c r="G64" s="6"/>
    </row>
    <row r="65" spans="1:7" ht="13.9">
      <c r="A65" s="71" t="s">
        <v>44</v>
      </c>
      <c r="B65" s="6"/>
      <c r="C65" s="6"/>
      <c r="D65" s="6"/>
      <c r="E65" s="6"/>
      <c r="F65" s="6"/>
      <c r="G65" s="6"/>
    </row>
    <row r="66" spans="1:7">
      <c r="A66" s="87"/>
      <c r="B66" s="40"/>
      <c r="C66" s="40"/>
      <c r="D66" s="40"/>
      <c r="E66" s="40"/>
      <c r="F66" s="88"/>
      <c r="G66" s="6"/>
    </row>
    <row r="67" spans="1:7" ht="25.5" customHeight="1">
      <c r="A67" s="89" t="s">
        <v>69</v>
      </c>
      <c r="B67" s="86" t="s">
        <v>46</v>
      </c>
      <c r="C67" s="86" t="s">
        <v>47</v>
      </c>
      <c r="D67" s="85" t="s">
        <v>77</v>
      </c>
      <c r="E67" s="86" t="s">
        <v>76</v>
      </c>
      <c r="F67" s="44"/>
    </row>
    <row r="68" spans="1:7">
      <c r="A68" s="81">
        <v>2401</v>
      </c>
      <c r="B68" s="82" t="s">
        <v>8</v>
      </c>
      <c r="C68" s="82" t="s">
        <v>9</v>
      </c>
      <c r="D68" s="83" t="s">
        <v>10</v>
      </c>
      <c r="E68" s="84" t="s">
        <v>42</v>
      </c>
      <c r="F68" s="44"/>
    </row>
    <row r="69" spans="1:7">
      <c r="A69" s="81">
        <v>2402</v>
      </c>
      <c r="B69" s="82" t="s">
        <v>48</v>
      </c>
      <c r="C69" s="82" t="s">
        <v>49</v>
      </c>
      <c r="D69" s="83" t="s">
        <v>50</v>
      </c>
      <c r="E69" s="84" t="s">
        <v>70</v>
      </c>
      <c r="F69" s="44"/>
    </row>
    <row r="70" spans="1:7">
      <c r="A70" s="81">
        <v>2403</v>
      </c>
      <c r="B70" s="82" t="s">
        <v>51</v>
      </c>
      <c r="C70" s="82" t="s">
        <v>52</v>
      </c>
      <c r="D70" s="83" t="s">
        <v>53</v>
      </c>
      <c r="E70" s="84" t="s">
        <v>71</v>
      </c>
      <c r="F70" s="44"/>
    </row>
    <row r="71" spans="1:7">
      <c r="A71" s="81">
        <v>2404</v>
      </c>
      <c r="B71" s="82" t="s">
        <v>54</v>
      </c>
      <c r="C71" s="82" t="s">
        <v>55</v>
      </c>
      <c r="D71" s="83" t="s">
        <v>56</v>
      </c>
      <c r="E71" s="84" t="s">
        <v>72</v>
      </c>
      <c r="F71" s="44"/>
    </row>
    <row r="72" spans="1:7">
      <c r="A72" s="81">
        <v>2405</v>
      </c>
      <c r="B72" s="82" t="s">
        <v>57</v>
      </c>
      <c r="C72" s="82" t="s">
        <v>58</v>
      </c>
      <c r="D72" s="83" t="s">
        <v>59</v>
      </c>
      <c r="E72" s="84" t="s">
        <v>73</v>
      </c>
      <c r="F72" s="44"/>
    </row>
    <row r="73" spans="1:7">
      <c r="A73" s="81">
        <v>2406</v>
      </c>
      <c r="B73" s="82" t="s">
        <v>60</v>
      </c>
      <c r="C73" s="82" t="s">
        <v>61</v>
      </c>
      <c r="D73" s="83" t="s">
        <v>62</v>
      </c>
      <c r="E73" s="84" t="s">
        <v>80</v>
      </c>
      <c r="F73" s="44"/>
    </row>
    <row r="74" spans="1:7">
      <c r="A74" s="81">
        <v>2407</v>
      </c>
      <c r="B74" s="82" t="s">
        <v>63</v>
      </c>
      <c r="C74" s="82" t="s">
        <v>64</v>
      </c>
      <c r="D74" s="83" t="s">
        <v>65</v>
      </c>
      <c r="E74" s="84" t="s">
        <v>74</v>
      </c>
      <c r="F74" s="44"/>
    </row>
    <row r="75" spans="1:7">
      <c r="A75" s="81">
        <v>2408</v>
      </c>
      <c r="B75" s="82" t="s">
        <v>66</v>
      </c>
      <c r="C75" s="82" t="s">
        <v>67</v>
      </c>
      <c r="D75" s="83" t="s">
        <v>68</v>
      </c>
      <c r="E75" s="84" t="s">
        <v>75</v>
      </c>
      <c r="F75" s="44"/>
    </row>
    <row r="76" spans="1:7">
      <c r="A76" s="78"/>
      <c r="B76" s="50"/>
      <c r="C76" s="50"/>
      <c r="D76" s="50"/>
      <c r="E76" s="50"/>
      <c r="F76" s="51"/>
    </row>
  </sheetData>
  <mergeCells count="4">
    <mergeCell ref="A6:G6"/>
    <mergeCell ref="A8:H8"/>
    <mergeCell ref="A19:B19"/>
    <mergeCell ref="F56:G56"/>
  </mergeCells>
  <pageMargins left="0.94488188976377963" right="0.39370078740157483" top="0.35433070866141736" bottom="0.27559055118110237" header="0.23622047244094491" footer="0.19685039370078741"/>
  <pageSetup paperSize="9" scale="72" orientation="portrait" r:id="rId1"/>
  <headerFooter alignWithMargins="0">
    <oddFooter>&amp;R&amp;8G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64"/>
  <sheetViews>
    <sheetView showGridLines="0" topLeftCell="A30" zoomScaleNormal="100" workbookViewId="0">
      <selection activeCell="H24" sqref="H24"/>
    </sheetView>
  </sheetViews>
  <sheetFormatPr baseColWidth="10" defaultColWidth="11.46484375" defaultRowHeight="12.75"/>
  <cols>
    <col min="1" max="1" width="8.46484375" style="7" customWidth="1"/>
    <col min="2" max="2" width="15.46484375" style="7" customWidth="1"/>
    <col min="3" max="3" width="23.796875" style="7" customWidth="1"/>
    <col min="4" max="4" width="16.53125" style="7" customWidth="1"/>
    <col min="5" max="5" width="19.53125" style="7" customWidth="1"/>
    <col min="6" max="6" width="15.796875" style="7" customWidth="1"/>
    <col min="7" max="7" width="16.19921875" style="7" customWidth="1"/>
    <col min="8" max="8" width="10.46484375" style="7" customWidth="1"/>
    <col min="9" max="9" width="3.19921875" style="7" customWidth="1"/>
    <col min="10" max="16384" width="11.46484375" style="7"/>
  </cols>
  <sheetData>
    <row r="1" spans="1:9" hidden="1">
      <c r="A1" s="6"/>
      <c r="B1" s="6"/>
      <c r="C1" s="6"/>
      <c r="D1" s="6"/>
      <c r="E1" s="6"/>
      <c r="F1" s="6"/>
      <c r="G1" s="6"/>
    </row>
    <row r="2" spans="1:9" hidden="1">
      <c r="A2" s="6"/>
      <c r="B2" s="6"/>
      <c r="C2" s="6"/>
      <c r="D2" s="6"/>
      <c r="E2" s="6"/>
      <c r="F2" s="6"/>
      <c r="G2" s="6"/>
    </row>
    <row r="3" spans="1:9" hidden="1">
      <c r="A3" s="6"/>
      <c r="B3" s="6"/>
      <c r="C3" s="6"/>
      <c r="D3" s="6"/>
      <c r="E3" s="6"/>
      <c r="F3" s="6"/>
      <c r="G3" s="6"/>
    </row>
    <row r="4" spans="1:9" hidden="1">
      <c r="A4" s="6"/>
      <c r="B4" s="6"/>
      <c r="C4" s="6"/>
      <c r="D4" s="6"/>
      <c r="E4" s="6"/>
      <c r="F4" s="6"/>
      <c r="G4" s="6"/>
    </row>
    <row r="5" spans="1:9" hidden="1">
      <c r="A5" s="6"/>
      <c r="B5" s="6"/>
      <c r="C5" s="6"/>
      <c r="D5" s="6"/>
      <c r="E5" s="6"/>
      <c r="F5" s="6"/>
      <c r="G5" s="6"/>
    </row>
    <row r="6" spans="1:9" hidden="1">
      <c r="A6" s="99"/>
      <c r="B6" s="99"/>
      <c r="C6" s="99"/>
      <c r="D6" s="99"/>
      <c r="E6" s="99"/>
      <c r="F6" s="99"/>
      <c r="G6" s="99"/>
    </row>
    <row r="7" spans="1:9" hidden="1">
      <c r="A7" s="6"/>
      <c r="B7" s="6"/>
      <c r="C7" s="6"/>
      <c r="D7" s="6"/>
      <c r="E7" s="6"/>
      <c r="F7" s="6"/>
      <c r="G7" s="6"/>
    </row>
    <row r="8" spans="1:9" ht="15" hidden="1">
      <c r="A8" s="100" t="s">
        <v>7</v>
      </c>
      <c r="B8" s="100"/>
      <c r="C8" s="100"/>
      <c r="D8" s="100"/>
      <c r="E8" s="100"/>
      <c r="F8" s="100"/>
      <c r="G8" s="100"/>
      <c r="H8" s="100"/>
    </row>
    <row r="9" spans="1:9" ht="13.9">
      <c r="A9" s="71" t="s">
        <v>1</v>
      </c>
      <c r="B9" s="6"/>
      <c r="C9" s="6"/>
      <c r="D9" s="6"/>
      <c r="E9" s="6"/>
      <c r="F9" s="6"/>
      <c r="G9" s="6"/>
    </row>
    <row r="10" spans="1:9">
      <c r="A10" s="41"/>
      <c r="B10" s="40"/>
      <c r="C10" s="40"/>
      <c r="D10" s="40"/>
      <c r="E10" s="40"/>
      <c r="F10" s="40"/>
      <c r="G10" s="40"/>
      <c r="H10" s="41"/>
      <c r="I10" s="42"/>
    </row>
    <row r="11" spans="1:9">
      <c r="A11" s="90" t="s">
        <v>43</v>
      </c>
      <c r="B11" s="6"/>
      <c r="C11" s="6"/>
      <c r="D11" s="6"/>
      <c r="E11" s="9"/>
      <c r="F11" s="9"/>
      <c r="G11" s="10"/>
      <c r="I11" s="44"/>
    </row>
    <row r="12" spans="1:9">
      <c r="A12" s="43"/>
      <c r="B12" s="6"/>
      <c r="C12" s="6"/>
      <c r="D12" s="6"/>
      <c r="E12" s="9"/>
      <c r="F12" s="9"/>
      <c r="G12" s="10"/>
      <c r="I12" s="44"/>
    </row>
    <row r="13" spans="1:9" ht="15">
      <c r="A13" s="72"/>
      <c r="C13" s="6"/>
      <c r="D13" s="6"/>
      <c r="E13" s="9"/>
      <c r="F13" s="9"/>
      <c r="G13" s="10"/>
      <c r="I13" s="44"/>
    </row>
    <row r="14" spans="1:9" ht="15">
      <c r="A14" s="73" t="str">
        <f>VLOOKUP($C$30,'04'!$A$2:$E$9,2,FALSE)</f>
        <v>Neuhoff KG</v>
      </c>
      <c r="B14" s="12"/>
      <c r="C14" s="6"/>
      <c r="D14" s="6"/>
      <c r="E14" s="9"/>
      <c r="F14" s="9"/>
      <c r="G14" s="10"/>
      <c r="I14" s="44"/>
    </row>
    <row r="15" spans="1:9" ht="15">
      <c r="A15" s="73" t="str">
        <f>VLOOKUP($C$30,'04'!$A$2:$E$9,3,FALSE)</f>
        <v>RaumDesign</v>
      </c>
      <c r="B15" s="12"/>
      <c r="C15" s="6"/>
      <c r="D15" s="6"/>
      <c r="E15" s="9"/>
      <c r="F15" s="9"/>
      <c r="G15" s="10"/>
      <c r="I15" s="44"/>
    </row>
    <row r="16" spans="1:9" ht="15">
      <c r="A16" s="73" t="str">
        <f>VLOOKUP($C$30,'04'!$A$2:$E$9,4,FALSE)</f>
        <v>Brunnenstraße 3</v>
      </c>
      <c r="B16" s="12"/>
      <c r="C16" s="6"/>
      <c r="D16" s="6"/>
      <c r="E16" s="9"/>
      <c r="F16" s="9"/>
      <c r="G16" s="10"/>
      <c r="I16" s="44"/>
    </row>
    <row r="17" spans="1:9" ht="15">
      <c r="A17" s="73" t="str">
        <f>VLOOKUP($C$30,'04'!$A$2:$E$9,5,FALSE)</f>
        <v>38700 Hannover</v>
      </c>
      <c r="B17" s="12"/>
      <c r="C17" s="6"/>
      <c r="D17" s="6"/>
      <c r="E17" s="9"/>
      <c r="F17" s="9"/>
      <c r="G17" s="10"/>
      <c r="I17" s="44"/>
    </row>
    <row r="18" spans="1:9" ht="15">
      <c r="A18" s="73"/>
      <c r="B18" s="11"/>
      <c r="C18" s="6"/>
      <c r="D18" s="6"/>
      <c r="E18" s="10"/>
      <c r="F18" s="10"/>
      <c r="G18" s="10"/>
      <c r="I18" s="44"/>
    </row>
    <row r="19" spans="1:9" ht="15">
      <c r="A19" s="104"/>
      <c r="B19" s="101"/>
      <c r="C19" s="6"/>
      <c r="D19" s="6"/>
      <c r="E19" s="10"/>
      <c r="F19" s="10"/>
      <c r="G19" s="10"/>
      <c r="I19" s="44"/>
    </row>
    <row r="20" spans="1:9">
      <c r="A20" s="43"/>
      <c r="B20" s="6"/>
      <c r="C20" s="6"/>
      <c r="D20" s="6"/>
      <c r="E20" s="10"/>
      <c r="F20" s="10"/>
      <c r="G20" s="10"/>
      <c r="I20" s="44"/>
    </row>
    <row r="21" spans="1:9">
      <c r="A21" s="43"/>
      <c r="B21" s="6"/>
      <c r="C21" s="6"/>
      <c r="D21" s="6"/>
      <c r="E21" s="6"/>
      <c r="F21" s="6"/>
      <c r="G21" s="6"/>
      <c r="I21" s="44"/>
    </row>
    <row r="22" spans="1:9">
      <c r="A22" s="74" t="s">
        <v>11</v>
      </c>
      <c r="B22" s="13" t="s">
        <v>5</v>
      </c>
      <c r="C22" s="13" t="s">
        <v>12</v>
      </c>
      <c r="D22" s="13" t="s">
        <v>13</v>
      </c>
      <c r="F22" s="13" t="s">
        <v>14</v>
      </c>
      <c r="H22" s="13" t="s">
        <v>6</v>
      </c>
      <c r="I22" s="44"/>
    </row>
    <row r="23" spans="1:9" ht="12.75" customHeight="1">
      <c r="A23" s="43"/>
      <c r="B23" s="6"/>
      <c r="C23" s="6" t="s">
        <v>15</v>
      </c>
      <c r="D23" s="36" t="s">
        <v>16</v>
      </c>
      <c r="F23" s="7" t="s">
        <v>17</v>
      </c>
      <c r="H23" s="91" t="s">
        <v>79</v>
      </c>
      <c r="I23" s="44"/>
    </row>
    <row r="24" spans="1:9">
      <c r="A24" s="74"/>
      <c r="B24" s="13"/>
      <c r="C24" s="13"/>
      <c r="D24" s="35"/>
      <c r="E24" s="6"/>
      <c r="F24" s="14"/>
      <c r="G24" s="6"/>
      <c r="I24" s="44"/>
    </row>
    <row r="25" spans="1:9">
      <c r="A25" s="74"/>
      <c r="B25" s="13"/>
      <c r="C25" s="13"/>
      <c r="D25" s="13"/>
      <c r="E25" s="6"/>
      <c r="F25" s="6"/>
      <c r="G25" s="15"/>
      <c r="I25" s="44"/>
    </row>
    <row r="26" spans="1:9" ht="22.5">
      <c r="A26" s="75" t="s">
        <v>0</v>
      </c>
      <c r="B26" s="6"/>
      <c r="C26" s="13"/>
      <c r="D26" s="13"/>
      <c r="E26" s="6"/>
      <c r="F26" s="6"/>
      <c r="G26" s="15"/>
      <c r="I26" s="44"/>
    </row>
    <row r="27" spans="1:9" ht="17.649999999999999">
      <c r="A27" s="76"/>
      <c r="B27" s="6"/>
      <c r="C27" s="13"/>
      <c r="D27" s="13"/>
      <c r="E27" s="6"/>
      <c r="F27" s="6"/>
      <c r="G27" s="15"/>
      <c r="I27" s="44"/>
    </row>
    <row r="28" spans="1:9">
      <c r="A28" s="43"/>
      <c r="B28" s="6"/>
      <c r="C28" s="6"/>
      <c r="D28" s="6"/>
      <c r="E28" s="6"/>
      <c r="F28" s="6"/>
      <c r="G28" s="6"/>
      <c r="I28" s="44"/>
    </row>
    <row r="29" spans="1:9">
      <c r="A29" s="43"/>
      <c r="B29" s="6"/>
      <c r="C29" s="6"/>
      <c r="D29" s="6"/>
      <c r="E29" s="6"/>
      <c r="F29" s="6"/>
      <c r="G29" s="6"/>
      <c r="I29" s="44"/>
    </row>
    <row r="30" spans="1:9" ht="15">
      <c r="A30" s="46" t="s">
        <v>18</v>
      </c>
      <c r="C30" s="19">
        <v>2401</v>
      </c>
      <c r="D30" s="6"/>
      <c r="E30" s="6"/>
      <c r="F30" s="6"/>
      <c r="G30" s="6"/>
      <c r="I30" s="44"/>
    </row>
    <row r="31" spans="1:9" ht="15">
      <c r="A31" s="77" t="s">
        <v>19</v>
      </c>
      <c r="C31" s="19">
        <v>50215</v>
      </c>
      <c r="D31" s="6"/>
      <c r="E31" s="6"/>
      <c r="F31" s="6"/>
      <c r="G31" s="6"/>
      <c r="I31" s="44"/>
    </row>
    <row r="32" spans="1:9" ht="15">
      <c r="A32" s="77" t="s">
        <v>20</v>
      </c>
      <c r="B32" s="19"/>
      <c r="D32" s="6"/>
      <c r="E32" s="6"/>
      <c r="F32" s="6"/>
      <c r="G32" s="6"/>
      <c r="I32" s="44"/>
    </row>
    <row r="33" spans="1:9" ht="15">
      <c r="A33" s="77" t="s">
        <v>21</v>
      </c>
      <c r="B33" s="23"/>
      <c r="D33" s="6"/>
      <c r="E33" s="6"/>
      <c r="F33" s="6"/>
      <c r="G33" s="6"/>
      <c r="I33" s="44"/>
    </row>
    <row r="34" spans="1:9" ht="15">
      <c r="A34" s="78"/>
      <c r="B34" s="79"/>
      <c r="C34" s="80"/>
      <c r="D34" s="49"/>
      <c r="E34" s="49"/>
      <c r="F34" s="49"/>
      <c r="G34" s="49"/>
      <c r="H34" s="50"/>
      <c r="I34" s="51"/>
    </row>
    <row r="36" spans="1:9" ht="13.5" hidden="1">
      <c r="A36" s="39"/>
      <c r="B36" s="40"/>
      <c r="C36" s="40"/>
      <c r="D36" s="40"/>
      <c r="E36" s="40"/>
      <c r="F36" s="40"/>
      <c r="G36" s="40"/>
      <c r="H36" s="41"/>
      <c r="I36" s="42"/>
    </row>
    <row r="37" spans="1:9" hidden="1">
      <c r="A37" s="43"/>
      <c r="B37" s="6"/>
      <c r="C37" s="6"/>
      <c r="D37" s="6"/>
      <c r="E37" s="6"/>
      <c r="F37" s="6"/>
      <c r="G37" s="6"/>
      <c r="I37" s="44"/>
    </row>
    <row r="38" spans="1:9" ht="14.25" hidden="1" thickBot="1">
      <c r="A38" s="55" t="s">
        <v>22</v>
      </c>
      <c r="B38" s="55" t="s">
        <v>23</v>
      </c>
      <c r="C38" s="55" t="s">
        <v>24</v>
      </c>
      <c r="D38" s="55" t="s">
        <v>25</v>
      </c>
      <c r="E38" s="55" t="s">
        <v>26</v>
      </c>
      <c r="F38" s="55" t="s">
        <v>38</v>
      </c>
      <c r="G38" s="55" t="s">
        <v>27</v>
      </c>
      <c r="H38" s="56" t="s">
        <v>28</v>
      </c>
      <c r="I38" s="44"/>
    </row>
    <row r="39" spans="1:9" ht="13.5" hidden="1">
      <c r="A39" s="24">
        <v>1</v>
      </c>
      <c r="B39" s="24">
        <v>101111</v>
      </c>
      <c r="C39" s="25" t="s">
        <v>29</v>
      </c>
      <c r="D39" s="24">
        <v>10</v>
      </c>
      <c r="E39" s="53">
        <v>489</v>
      </c>
      <c r="F39" s="52"/>
      <c r="G39" s="53"/>
      <c r="H39" s="53"/>
      <c r="I39" s="44"/>
    </row>
    <row r="40" spans="1:9" ht="13.5" hidden="1">
      <c r="A40" s="57">
        <v>2</v>
      </c>
      <c r="B40" s="57">
        <v>101114</v>
      </c>
      <c r="C40" s="58" t="s">
        <v>39</v>
      </c>
      <c r="D40" s="57">
        <v>25</v>
      </c>
      <c r="E40" s="63">
        <v>98</v>
      </c>
      <c r="F40" s="59"/>
      <c r="G40" s="63"/>
      <c r="H40" s="63"/>
      <c r="I40" s="44"/>
    </row>
    <row r="41" spans="1:9" ht="13.5" hidden="1">
      <c r="A41" s="24">
        <v>3</v>
      </c>
      <c r="B41" s="24">
        <v>202111</v>
      </c>
      <c r="C41" s="25" t="s">
        <v>40</v>
      </c>
      <c r="D41" s="24">
        <v>20</v>
      </c>
      <c r="E41" s="53">
        <v>228</v>
      </c>
      <c r="F41" s="26"/>
      <c r="G41" s="53"/>
      <c r="H41" s="53"/>
      <c r="I41" s="44"/>
    </row>
    <row r="42" spans="1:9" ht="13.5" hidden="1">
      <c r="A42" s="57">
        <v>4</v>
      </c>
      <c r="B42" s="57">
        <v>202114</v>
      </c>
      <c r="C42" s="58" t="s">
        <v>41</v>
      </c>
      <c r="D42" s="57">
        <v>15</v>
      </c>
      <c r="E42" s="63">
        <v>349</v>
      </c>
      <c r="F42" s="59"/>
      <c r="G42" s="63"/>
      <c r="H42" s="63"/>
      <c r="I42" s="44"/>
    </row>
    <row r="43" spans="1:9" ht="13.5" hidden="1">
      <c r="A43" s="24"/>
      <c r="B43" s="24"/>
      <c r="C43" s="25"/>
      <c r="D43" s="24"/>
      <c r="E43" s="53"/>
      <c r="F43" s="26"/>
      <c r="G43" s="53"/>
      <c r="H43" s="53"/>
      <c r="I43" s="44"/>
    </row>
    <row r="44" spans="1:9" ht="13.5" hidden="1">
      <c r="A44" s="24"/>
      <c r="B44" s="24"/>
      <c r="C44" s="25"/>
      <c r="D44" s="24"/>
      <c r="E44" s="26"/>
      <c r="F44" s="26"/>
      <c r="G44" s="26"/>
      <c r="H44" s="26"/>
      <c r="I44" s="44"/>
    </row>
    <row r="45" spans="1:9" ht="13.5" hidden="1">
      <c r="A45" s="24"/>
      <c r="B45" s="24"/>
      <c r="C45" s="25"/>
      <c r="D45" s="24"/>
      <c r="E45" s="26"/>
      <c r="F45" s="26"/>
      <c r="G45" s="26"/>
      <c r="H45" s="26"/>
      <c r="I45" s="44"/>
    </row>
    <row r="46" spans="1:9" ht="13.5" hidden="1">
      <c r="A46" s="24"/>
      <c r="B46" s="24"/>
      <c r="C46" s="25"/>
      <c r="D46" s="24"/>
      <c r="E46" s="26"/>
      <c r="F46" s="26"/>
      <c r="G46" s="26"/>
      <c r="H46" s="26"/>
      <c r="I46" s="44"/>
    </row>
    <row r="47" spans="1:9" ht="13.5" hidden="1">
      <c r="A47" s="24"/>
      <c r="B47" s="24"/>
      <c r="C47" s="25"/>
      <c r="D47" s="24"/>
      <c r="E47" s="26"/>
      <c r="F47" s="26"/>
      <c r="G47" s="26"/>
      <c r="H47" s="26"/>
      <c r="I47" s="44"/>
    </row>
    <row r="48" spans="1:9" ht="13.5" hidden="1">
      <c r="A48" s="24"/>
      <c r="B48" s="24"/>
      <c r="C48" s="25"/>
      <c r="D48" s="24"/>
      <c r="E48" s="26"/>
      <c r="F48" s="26"/>
      <c r="G48" s="26"/>
      <c r="H48" s="26"/>
      <c r="I48" s="44"/>
    </row>
    <row r="49" spans="1:9" ht="13.5" hidden="1">
      <c r="A49" s="24"/>
      <c r="B49" s="24"/>
      <c r="C49" s="25"/>
      <c r="D49" s="24"/>
      <c r="E49" s="26"/>
      <c r="F49" s="26"/>
      <c r="G49" s="26"/>
      <c r="H49" s="26"/>
      <c r="I49" s="44"/>
    </row>
    <row r="50" spans="1:9" ht="13.5" hidden="1">
      <c r="A50" s="24"/>
      <c r="B50" s="24"/>
      <c r="C50" s="25"/>
      <c r="D50" s="24"/>
      <c r="E50" s="26"/>
      <c r="F50" s="26"/>
      <c r="G50" s="26"/>
      <c r="H50" s="26"/>
      <c r="I50" s="44"/>
    </row>
    <row r="51" spans="1:9" ht="13.5" hidden="1">
      <c r="A51" s="24"/>
      <c r="B51" s="24"/>
      <c r="C51" s="25"/>
      <c r="D51" s="24"/>
      <c r="E51" s="26"/>
      <c r="F51" s="26"/>
      <c r="G51" s="26"/>
      <c r="H51" s="26"/>
      <c r="I51" s="44"/>
    </row>
    <row r="52" spans="1:9" ht="13.5" hidden="1">
      <c r="A52" s="24"/>
      <c r="B52" s="24"/>
      <c r="C52" s="25"/>
      <c r="D52" s="24"/>
      <c r="E52" s="26"/>
      <c r="F52" s="26"/>
      <c r="G52" s="26"/>
      <c r="H52" s="26"/>
      <c r="I52" s="44"/>
    </row>
    <row r="53" spans="1:9" ht="13.5" hidden="1">
      <c r="A53" s="24"/>
      <c r="B53" s="24"/>
      <c r="C53" s="25"/>
      <c r="D53" s="24"/>
      <c r="E53" s="26"/>
      <c r="F53" s="26"/>
      <c r="G53" s="26"/>
      <c r="H53" s="26"/>
      <c r="I53" s="44"/>
    </row>
    <row r="54" spans="1:9" ht="13.5" hidden="1">
      <c r="A54" s="27"/>
      <c r="B54" s="27"/>
      <c r="C54" s="28"/>
      <c r="D54" s="27"/>
      <c r="E54" s="37"/>
      <c r="F54" s="26"/>
      <c r="G54" s="26"/>
      <c r="H54" s="26"/>
      <c r="I54" s="44"/>
    </row>
    <row r="55" spans="1:9" ht="13.5" hidden="1">
      <c r="A55" s="45"/>
      <c r="B55" s="29"/>
      <c r="C55" s="29"/>
      <c r="D55" s="29"/>
      <c r="F55" s="30" t="s">
        <v>30</v>
      </c>
      <c r="G55" s="31"/>
      <c r="H55" s="32">
        <f>SUM(H39:H54)</f>
        <v>0</v>
      </c>
      <c r="I55" s="44"/>
    </row>
    <row r="56" spans="1:9" ht="13.5" hidden="1">
      <c r="A56" s="45"/>
      <c r="B56" s="29"/>
      <c r="C56" s="29"/>
      <c r="D56" s="29"/>
      <c r="F56" s="102">
        <v>19</v>
      </c>
      <c r="G56" s="103"/>
      <c r="H56" s="32">
        <f>H55*F56/100</f>
        <v>0</v>
      </c>
      <c r="I56" s="44"/>
    </row>
    <row r="57" spans="1:9" ht="13.9" hidden="1">
      <c r="A57" s="45"/>
      <c r="B57" s="29"/>
      <c r="C57" s="29"/>
      <c r="D57" s="29"/>
      <c r="F57" s="33" t="s">
        <v>31</v>
      </c>
      <c r="G57" s="31" t="s">
        <v>32</v>
      </c>
      <c r="H57" s="34">
        <f>H55+H56</f>
        <v>0</v>
      </c>
      <c r="I57" s="44"/>
    </row>
    <row r="58" spans="1:9" ht="13.5" hidden="1">
      <c r="A58" s="46"/>
      <c r="B58" s="18"/>
      <c r="C58" s="18"/>
      <c r="D58" s="18"/>
      <c r="E58" s="18"/>
      <c r="F58" s="18"/>
      <c r="G58" s="18"/>
      <c r="I58" s="44"/>
    </row>
    <row r="59" spans="1:9" ht="13.5" hidden="1">
      <c r="A59" s="46"/>
      <c r="B59" s="18"/>
      <c r="C59" s="18"/>
      <c r="D59" s="18"/>
      <c r="E59" s="18"/>
      <c r="I59" s="44"/>
    </row>
    <row r="60" spans="1:9" ht="13.5" hidden="1">
      <c r="A60" s="47" t="s">
        <v>33</v>
      </c>
      <c r="C60" s="18"/>
      <c r="D60" s="18"/>
      <c r="F60" s="18" t="s">
        <v>34</v>
      </c>
      <c r="I60" s="44"/>
    </row>
    <row r="61" spans="1:9" hidden="1">
      <c r="A61" s="43" t="s">
        <v>35</v>
      </c>
      <c r="B61" s="6"/>
      <c r="C61" s="6"/>
      <c r="D61" s="6"/>
      <c r="F61" s="6" t="s">
        <v>36</v>
      </c>
      <c r="I61" s="44"/>
    </row>
    <row r="62" spans="1:9" hidden="1">
      <c r="A62" s="43"/>
      <c r="B62" s="6"/>
      <c r="C62" s="6"/>
      <c r="D62" s="6"/>
      <c r="F62" s="6" t="s">
        <v>37</v>
      </c>
      <c r="G62" s="6"/>
      <c r="I62" s="44"/>
    </row>
    <row r="63" spans="1:9" hidden="1">
      <c r="A63" s="48"/>
      <c r="B63" s="49"/>
      <c r="C63" s="49"/>
      <c r="D63" s="49"/>
      <c r="E63" s="50"/>
      <c r="F63" s="49"/>
      <c r="G63" s="49"/>
      <c r="H63" s="50"/>
      <c r="I63" s="51"/>
    </row>
    <row r="64" spans="1:9" hidden="1">
      <c r="A64" s="6"/>
      <c r="B64" s="6"/>
      <c r="C64" s="6"/>
      <c r="D64" s="6"/>
      <c r="E64" s="6"/>
      <c r="F64" s="6"/>
      <c r="G64" s="6"/>
    </row>
  </sheetData>
  <mergeCells count="4">
    <mergeCell ref="A6:G6"/>
    <mergeCell ref="A8:H8"/>
    <mergeCell ref="A19:B19"/>
    <mergeCell ref="F56:G56"/>
  </mergeCells>
  <pageMargins left="0.94488188976377963" right="0.39370078740157483" top="0.35433070866141736" bottom="0.27559055118110237" header="0.23622047244094491" footer="0.19685039370078741"/>
  <pageSetup paperSize="9" scale="72" orientation="portrait" r:id="rId1"/>
  <headerFooter alignWithMargins="0">
    <oddFooter>&amp;R&amp;8G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1"/>
  <sheetViews>
    <sheetView workbookViewId="0">
      <selection activeCell="K39" sqref="K39"/>
    </sheetView>
  </sheetViews>
  <sheetFormatPr baseColWidth="10" defaultRowHeight="12.75"/>
  <cols>
    <col min="2" max="2" width="15.46484375" bestFit="1" customWidth="1"/>
    <col min="3" max="3" width="23" bestFit="1" customWidth="1"/>
    <col min="4" max="4" width="15.265625" bestFit="1" customWidth="1"/>
    <col min="5" max="5" width="16.265625" bestFit="1" customWidth="1"/>
  </cols>
  <sheetData>
    <row r="1" spans="1:7" ht="26.25">
      <c r="A1" s="89" t="s">
        <v>69</v>
      </c>
      <c r="B1" s="86" t="s">
        <v>46</v>
      </c>
      <c r="C1" s="86" t="s">
        <v>47</v>
      </c>
      <c r="D1" s="85" t="s">
        <v>78</v>
      </c>
      <c r="E1" s="86" t="s">
        <v>76</v>
      </c>
      <c r="F1" s="7"/>
      <c r="G1" s="7"/>
    </row>
    <row r="2" spans="1:7">
      <c r="A2" s="81">
        <v>2401</v>
      </c>
      <c r="B2" s="82" t="s">
        <v>8</v>
      </c>
      <c r="C2" s="82" t="s">
        <v>9</v>
      </c>
      <c r="D2" s="83" t="s">
        <v>10</v>
      </c>
      <c r="E2" s="84" t="s">
        <v>42</v>
      </c>
      <c r="F2" s="7"/>
      <c r="G2" s="7"/>
    </row>
    <row r="3" spans="1:7">
      <c r="A3" s="81">
        <v>2402</v>
      </c>
      <c r="B3" s="82" t="s">
        <v>48</v>
      </c>
      <c r="C3" s="82" t="s">
        <v>49</v>
      </c>
      <c r="D3" s="83" t="s">
        <v>50</v>
      </c>
      <c r="E3" s="84" t="s">
        <v>70</v>
      </c>
      <c r="F3" s="7"/>
      <c r="G3" s="7"/>
    </row>
    <row r="4" spans="1:7">
      <c r="A4" s="81">
        <v>2403</v>
      </c>
      <c r="B4" s="82" t="s">
        <v>51</v>
      </c>
      <c r="C4" s="82" t="s">
        <v>52</v>
      </c>
      <c r="D4" s="83" t="s">
        <v>53</v>
      </c>
      <c r="E4" s="84" t="s">
        <v>71</v>
      </c>
      <c r="F4" s="7"/>
      <c r="G4" s="7"/>
    </row>
    <row r="5" spans="1:7">
      <c r="A5" s="81">
        <v>2404</v>
      </c>
      <c r="B5" s="82" t="s">
        <v>54</v>
      </c>
      <c r="C5" s="82" t="s">
        <v>55</v>
      </c>
      <c r="D5" s="83" t="s">
        <v>56</v>
      </c>
      <c r="E5" s="84" t="s">
        <v>72</v>
      </c>
      <c r="F5" s="7"/>
      <c r="G5" s="7"/>
    </row>
    <row r="6" spans="1:7">
      <c r="A6" s="81">
        <v>2405</v>
      </c>
      <c r="B6" s="82" t="s">
        <v>57</v>
      </c>
      <c r="C6" s="82" t="s">
        <v>58</v>
      </c>
      <c r="D6" s="83" t="s">
        <v>59</v>
      </c>
      <c r="E6" s="84" t="s">
        <v>73</v>
      </c>
      <c r="F6" s="7"/>
      <c r="G6" s="7"/>
    </row>
    <row r="7" spans="1:7">
      <c r="A7" s="81">
        <v>2406</v>
      </c>
      <c r="B7" s="82" t="s">
        <v>60</v>
      </c>
      <c r="C7" s="82" t="s">
        <v>61</v>
      </c>
      <c r="D7" s="83" t="s">
        <v>62</v>
      </c>
      <c r="E7" s="84" t="s">
        <v>80</v>
      </c>
      <c r="F7" s="7"/>
      <c r="G7" s="7"/>
    </row>
    <row r="8" spans="1:7">
      <c r="A8" s="81">
        <v>2407</v>
      </c>
      <c r="B8" s="82" t="s">
        <v>63</v>
      </c>
      <c r="C8" s="82" t="s">
        <v>64</v>
      </c>
      <c r="D8" s="83" t="s">
        <v>65</v>
      </c>
      <c r="E8" s="84" t="s">
        <v>74</v>
      </c>
      <c r="F8" s="7"/>
      <c r="G8" s="7"/>
    </row>
    <row r="9" spans="1:7">
      <c r="A9" s="81">
        <v>2408</v>
      </c>
      <c r="B9" s="82" t="s">
        <v>66</v>
      </c>
      <c r="C9" s="82" t="s">
        <v>67</v>
      </c>
      <c r="D9" s="83" t="s">
        <v>68</v>
      </c>
      <c r="E9" s="84" t="s">
        <v>75</v>
      </c>
      <c r="F9" s="7"/>
      <c r="G9" s="7"/>
    </row>
    <row r="10" spans="1:7">
      <c r="A10" s="41"/>
      <c r="B10" s="7"/>
      <c r="C10" s="7"/>
      <c r="D10" s="7"/>
      <c r="E10" s="7"/>
      <c r="F10" s="7"/>
      <c r="G10" s="7"/>
    </row>
    <row r="11" spans="1:7">
      <c r="A11" s="7"/>
      <c r="B11" s="7"/>
      <c r="C11" s="7"/>
      <c r="D11" s="7"/>
      <c r="E11" s="7"/>
      <c r="F11" s="7"/>
      <c r="G11" s="7"/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71"/>
  <sheetViews>
    <sheetView showGridLines="0" topLeftCell="A35" zoomScaleNormal="100" workbookViewId="0">
      <selection activeCell="C42" sqref="C42"/>
    </sheetView>
  </sheetViews>
  <sheetFormatPr baseColWidth="10" defaultColWidth="11.46484375" defaultRowHeight="12.75"/>
  <cols>
    <col min="1" max="1" width="12.19921875" style="7" customWidth="1"/>
    <col min="2" max="6" width="21.796875" style="7" customWidth="1"/>
    <col min="7" max="7" width="15.796875" style="7" bestFit="1" customWidth="1"/>
    <col min="8" max="8" width="16.265625" style="7" customWidth="1"/>
    <col min="9" max="9" width="3.19921875" style="7" customWidth="1"/>
    <col min="10" max="16384" width="11.46484375" style="7"/>
  </cols>
  <sheetData>
    <row r="1" spans="1:8" hidden="1">
      <c r="A1" s="6"/>
      <c r="B1" s="6"/>
      <c r="C1" s="6"/>
      <c r="D1" s="6"/>
      <c r="E1" s="6"/>
      <c r="F1" s="6"/>
      <c r="G1" s="6"/>
    </row>
    <row r="2" spans="1:8" hidden="1">
      <c r="A2" s="6"/>
      <c r="B2" s="6"/>
      <c r="C2" s="6"/>
      <c r="D2" s="6"/>
      <c r="E2" s="6"/>
      <c r="F2" s="6"/>
      <c r="G2" s="6"/>
    </row>
    <row r="3" spans="1:8" hidden="1">
      <c r="A3" s="6"/>
      <c r="B3" s="6"/>
      <c r="C3" s="6"/>
      <c r="D3" s="6"/>
      <c r="E3" s="6"/>
      <c r="F3" s="6"/>
      <c r="G3" s="6"/>
    </row>
    <row r="4" spans="1:8" hidden="1">
      <c r="A4" s="6"/>
      <c r="B4" s="6"/>
      <c r="C4" s="6"/>
      <c r="D4" s="6"/>
      <c r="E4" s="6"/>
      <c r="F4" s="6"/>
      <c r="G4" s="6"/>
    </row>
    <row r="5" spans="1:8" hidden="1">
      <c r="A5" s="6"/>
      <c r="B5" s="6"/>
      <c r="C5" s="6"/>
      <c r="D5" s="6"/>
      <c r="E5" s="6"/>
      <c r="F5" s="6"/>
      <c r="G5" s="6"/>
    </row>
    <row r="6" spans="1:8" hidden="1">
      <c r="A6" s="99"/>
      <c r="B6" s="99"/>
      <c r="C6" s="99"/>
      <c r="D6" s="99"/>
      <c r="E6" s="99"/>
      <c r="F6" s="99"/>
      <c r="G6" s="99"/>
    </row>
    <row r="7" spans="1:8" hidden="1">
      <c r="A7" s="6"/>
      <c r="B7" s="6"/>
      <c r="C7" s="6"/>
      <c r="D7" s="6"/>
      <c r="E7" s="6"/>
      <c r="F7" s="6"/>
      <c r="G7" s="6"/>
    </row>
    <row r="8" spans="1:8" ht="15" hidden="1">
      <c r="A8" s="100" t="s">
        <v>7</v>
      </c>
      <c r="B8" s="100"/>
      <c r="C8" s="100"/>
      <c r="D8" s="100"/>
      <c r="E8" s="100"/>
      <c r="F8" s="100"/>
      <c r="G8" s="100"/>
      <c r="H8" s="100"/>
    </row>
    <row r="9" spans="1:8" hidden="1">
      <c r="A9" s="6"/>
      <c r="B9" s="6"/>
      <c r="C9" s="6"/>
      <c r="D9" s="6"/>
      <c r="E9" s="6"/>
      <c r="F9" s="6"/>
      <c r="G9" s="6"/>
    </row>
    <row r="10" spans="1:8" hidden="1">
      <c r="A10" s="6"/>
      <c r="B10" s="6"/>
      <c r="C10" s="6"/>
      <c r="D10" s="6"/>
      <c r="E10" s="6"/>
      <c r="F10" s="6"/>
      <c r="G10" s="6"/>
    </row>
    <row r="11" spans="1:8" hidden="1">
      <c r="A11" s="8" t="s">
        <v>43</v>
      </c>
      <c r="B11" s="6"/>
      <c r="C11" s="6"/>
      <c r="D11" s="6"/>
      <c r="E11" s="9"/>
      <c r="F11" s="9"/>
      <c r="G11" s="10"/>
    </row>
    <row r="12" spans="1:8" hidden="1">
      <c r="A12" s="6"/>
      <c r="B12" s="6"/>
      <c r="C12" s="6"/>
      <c r="D12" s="6"/>
      <c r="E12" s="9"/>
      <c r="F12" s="9"/>
      <c r="G12" s="10"/>
    </row>
    <row r="13" spans="1:8" ht="15" hidden="1">
      <c r="A13" s="11"/>
      <c r="C13" s="6"/>
      <c r="D13" s="6"/>
      <c r="E13" s="9"/>
      <c r="F13" s="9"/>
      <c r="G13" s="10"/>
    </row>
    <row r="14" spans="1:8" ht="15" hidden="1">
      <c r="A14" s="12" t="s">
        <v>8</v>
      </c>
      <c r="B14" s="12"/>
      <c r="C14" s="6"/>
      <c r="D14" s="6"/>
      <c r="E14" s="9"/>
      <c r="F14" s="9"/>
      <c r="G14" s="10"/>
    </row>
    <row r="15" spans="1:8" ht="15" hidden="1">
      <c r="A15" s="12" t="s">
        <v>9</v>
      </c>
      <c r="B15" s="12"/>
      <c r="C15" s="6"/>
      <c r="D15" s="6"/>
      <c r="E15" s="9"/>
      <c r="F15" s="9"/>
      <c r="G15" s="10"/>
    </row>
    <row r="16" spans="1:8" ht="15" hidden="1">
      <c r="A16" s="12" t="s">
        <v>10</v>
      </c>
      <c r="B16" s="12"/>
      <c r="C16" s="6"/>
      <c r="D16" s="6"/>
      <c r="E16" s="9"/>
      <c r="F16" s="9"/>
      <c r="G16" s="10"/>
    </row>
    <row r="17" spans="1:8" ht="15" hidden="1">
      <c r="A17" s="12" t="s">
        <v>42</v>
      </c>
      <c r="B17" s="12"/>
      <c r="C17" s="6"/>
      <c r="D17" s="6"/>
      <c r="E17" s="9"/>
      <c r="F17" s="9"/>
      <c r="G17" s="10"/>
    </row>
    <row r="18" spans="1:8" ht="15" hidden="1">
      <c r="A18" s="101"/>
      <c r="B18" s="101"/>
      <c r="C18" s="6"/>
      <c r="D18" s="6"/>
      <c r="E18" s="10"/>
      <c r="F18" s="10"/>
      <c r="G18" s="10"/>
    </row>
    <row r="19" spans="1:8" ht="15" hidden="1">
      <c r="A19" s="101"/>
      <c r="B19" s="101"/>
      <c r="C19" s="6"/>
      <c r="D19" s="6"/>
      <c r="E19" s="10"/>
      <c r="F19" s="10"/>
      <c r="G19" s="10"/>
    </row>
    <row r="20" spans="1:8" hidden="1">
      <c r="A20" s="6"/>
      <c r="B20" s="6"/>
      <c r="C20" s="6"/>
      <c r="D20" s="6"/>
      <c r="E20" s="10"/>
      <c r="F20" s="10"/>
      <c r="G20" s="10"/>
    </row>
    <row r="21" spans="1:8" hidden="1">
      <c r="A21" s="6"/>
      <c r="B21" s="6"/>
      <c r="C21" s="6"/>
      <c r="D21" s="6"/>
      <c r="E21" s="6"/>
      <c r="F21" s="6"/>
      <c r="G21" s="6"/>
    </row>
    <row r="22" spans="1:8" hidden="1">
      <c r="A22" s="13" t="s">
        <v>11</v>
      </c>
      <c r="B22" s="13" t="s">
        <v>5</v>
      </c>
      <c r="C22" s="13" t="s">
        <v>12</v>
      </c>
      <c r="D22" s="13" t="s">
        <v>13</v>
      </c>
      <c r="F22" s="13" t="s">
        <v>14</v>
      </c>
      <c r="H22" s="13" t="s">
        <v>6</v>
      </c>
    </row>
    <row r="23" spans="1:8" ht="12.75" hidden="1" customHeight="1">
      <c r="A23" s="6"/>
      <c r="B23" s="6"/>
      <c r="C23" s="6" t="s">
        <v>15</v>
      </c>
      <c r="D23" s="36" t="s">
        <v>16</v>
      </c>
      <c r="F23" s="7" t="s">
        <v>17</v>
      </c>
      <c r="H23" s="22">
        <f ca="1">TODAY()</f>
        <v>45512</v>
      </c>
    </row>
    <row r="24" spans="1:8" hidden="1">
      <c r="A24" s="13"/>
      <c r="B24" s="13"/>
      <c r="C24" s="13"/>
      <c r="D24" s="35"/>
      <c r="E24" s="6"/>
      <c r="F24" s="14"/>
      <c r="G24" s="6"/>
    </row>
    <row r="25" spans="1:8" hidden="1">
      <c r="A25" s="13"/>
      <c r="B25" s="13"/>
      <c r="C25" s="13"/>
      <c r="D25" s="13"/>
      <c r="E25" s="6"/>
      <c r="F25" s="6"/>
      <c r="G25" s="15"/>
    </row>
    <row r="26" spans="1:8" ht="22.5" hidden="1">
      <c r="A26" s="16" t="s">
        <v>0</v>
      </c>
      <c r="B26" s="6"/>
      <c r="C26" s="13"/>
      <c r="D26" s="13"/>
      <c r="E26" s="6"/>
      <c r="F26" s="6"/>
      <c r="G26" s="15"/>
    </row>
    <row r="27" spans="1:8" ht="17.649999999999999" hidden="1">
      <c r="A27" s="17"/>
      <c r="B27" s="6"/>
      <c r="C27" s="13"/>
      <c r="D27" s="13"/>
      <c r="E27" s="6"/>
      <c r="F27" s="6"/>
      <c r="G27" s="15"/>
    </row>
    <row r="28" spans="1:8" hidden="1">
      <c r="A28" s="6"/>
      <c r="B28" s="6"/>
      <c r="C28" s="6"/>
      <c r="D28" s="6"/>
      <c r="E28" s="6"/>
      <c r="F28" s="6"/>
      <c r="G28" s="6"/>
    </row>
    <row r="29" spans="1:8" hidden="1">
      <c r="A29" s="6"/>
      <c r="B29" s="6"/>
      <c r="C29" s="6"/>
      <c r="D29" s="6"/>
      <c r="E29" s="6"/>
      <c r="F29" s="6"/>
      <c r="G29" s="6"/>
    </row>
    <row r="30" spans="1:8" ht="15" hidden="1">
      <c r="A30" s="18" t="s">
        <v>18</v>
      </c>
      <c r="C30" s="19">
        <v>2401</v>
      </c>
      <c r="D30" s="6"/>
      <c r="E30" s="6"/>
      <c r="F30" s="6"/>
      <c r="G30" s="6"/>
    </row>
    <row r="31" spans="1:8" ht="15" hidden="1">
      <c r="A31" s="20" t="s">
        <v>19</v>
      </c>
      <c r="C31" s="19">
        <v>50215</v>
      </c>
      <c r="D31" s="6"/>
      <c r="E31" s="6"/>
      <c r="F31" s="6"/>
      <c r="G31" s="6"/>
    </row>
    <row r="32" spans="1:8" ht="15" hidden="1">
      <c r="A32" s="20" t="s">
        <v>20</v>
      </c>
      <c r="B32" s="19"/>
      <c r="D32" s="6"/>
      <c r="E32" s="6"/>
      <c r="F32" s="6"/>
      <c r="G32" s="6"/>
    </row>
    <row r="33" spans="1:9" ht="15" hidden="1">
      <c r="A33" s="20" t="s">
        <v>21</v>
      </c>
      <c r="B33" s="23"/>
      <c r="D33" s="6"/>
      <c r="E33" s="6"/>
      <c r="F33" s="6"/>
      <c r="G33" s="6"/>
    </row>
    <row r="34" spans="1:9" ht="15" hidden="1">
      <c r="B34" s="20"/>
      <c r="C34" s="21"/>
      <c r="D34" s="6"/>
      <c r="E34" s="6"/>
      <c r="F34" s="6"/>
      <c r="G34" s="6"/>
    </row>
    <row r="35" spans="1:9" ht="13.9">
      <c r="A35" s="71" t="s">
        <v>1</v>
      </c>
      <c r="B35" s="6"/>
      <c r="C35" s="6"/>
      <c r="D35" s="6"/>
      <c r="E35" s="6"/>
      <c r="F35" s="6"/>
      <c r="G35" s="6"/>
    </row>
    <row r="36" spans="1:9" ht="13.5">
      <c r="A36" s="39"/>
      <c r="B36" s="40"/>
      <c r="C36" s="40"/>
      <c r="D36" s="40"/>
      <c r="E36" s="40"/>
      <c r="F36" s="40"/>
      <c r="G36" s="40"/>
      <c r="H36" s="41"/>
      <c r="I36" s="42"/>
    </row>
    <row r="37" spans="1:9" ht="13.15" thickBot="1">
      <c r="A37" s="43"/>
      <c r="B37" s="6"/>
      <c r="C37" s="6"/>
      <c r="D37" s="6"/>
      <c r="E37" s="6"/>
      <c r="F37" s="6"/>
      <c r="G37" s="6"/>
      <c r="I37" s="44"/>
    </row>
    <row r="38" spans="1:9" ht="14.25" thickBot="1">
      <c r="A38" s="55" t="s">
        <v>22</v>
      </c>
      <c r="B38" s="55" t="s">
        <v>23</v>
      </c>
      <c r="C38" s="55" t="s">
        <v>24</v>
      </c>
      <c r="D38" s="55" t="s">
        <v>25</v>
      </c>
      <c r="E38" s="55" t="s">
        <v>26</v>
      </c>
      <c r="F38" s="55" t="s">
        <v>38</v>
      </c>
      <c r="G38" s="55" t="s">
        <v>27</v>
      </c>
      <c r="H38" s="56" t="s">
        <v>28</v>
      </c>
      <c r="I38" s="44"/>
    </row>
    <row r="39" spans="1:9" ht="13.5">
      <c r="A39" s="24">
        <v>1</v>
      </c>
      <c r="B39" s="24">
        <v>101111</v>
      </c>
      <c r="C39" s="25" t="s">
        <v>29</v>
      </c>
      <c r="D39" s="24">
        <v>10</v>
      </c>
      <c r="E39" s="53">
        <v>489</v>
      </c>
      <c r="F39" s="52">
        <f>HLOOKUP(D39,$B$69:$F$70,2)</f>
        <v>10</v>
      </c>
      <c r="G39" s="53"/>
      <c r="H39" s="53"/>
      <c r="I39" s="44"/>
    </row>
    <row r="40" spans="1:9" ht="13.5">
      <c r="A40" s="57">
        <v>2</v>
      </c>
      <c r="B40" s="57">
        <v>101114</v>
      </c>
      <c r="C40" s="58" t="s">
        <v>39</v>
      </c>
      <c r="D40" s="57">
        <v>25</v>
      </c>
      <c r="E40" s="63">
        <v>98</v>
      </c>
      <c r="F40" s="59"/>
      <c r="G40" s="63"/>
      <c r="H40" s="63"/>
      <c r="I40" s="44"/>
    </row>
    <row r="41" spans="1:9" ht="13.5">
      <c r="A41" s="24">
        <v>3</v>
      </c>
      <c r="B41" s="24">
        <v>202111</v>
      </c>
      <c r="C41" s="25" t="s">
        <v>40</v>
      </c>
      <c r="D41" s="24">
        <v>20</v>
      </c>
      <c r="E41" s="53">
        <v>228</v>
      </c>
      <c r="F41" s="26"/>
      <c r="G41" s="53"/>
      <c r="H41" s="53"/>
      <c r="I41" s="44"/>
    </row>
    <row r="42" spans="1:9" ht="13.5">
      <c r="A42" s="57">
        <v>4</v>
      </c>
      <c r="B42" s="57">
        <v>202114</v>
      </c>
      <c r="C42" s="58" t="s">
        <v>81</v>
      </c>
      <c r="D42" s="57">
        <v>15</v>
      </c>
      <c r="E42" s="63">
        <v>349</v>
      </c>
      <c r="F42" s="59"/>
      <c r="G42" s="63"/>
      <c r="H42" s="63"/>
      <c r="I42" s="44"/>
    </row>
    <row r="43" spans="1:9" ht="13.5">
      <c r="A43" s="24"/>
      <c r="B43" s="24"/>
      <c r="C43" s="25"/>
      <c r="D43" s="24"/>
      <c r="E43" s="53"/>
      <c r="F43" s="26"/>
      <c r="G43" s="53"/>
      <c r="H43" s="53"/>
      <c r="I43" s="44"/>
    </row>
    <row r="44" spans="1:9" ht="13.5" hidden="1">
      <c r="A44" s="24"/>
      <c r="B44" s="24"/>
      <c r="C44" s="25"/>
      <c r="D44" s="24"/>
      <c r="E44" s="26"/>
      <c r="F44" s="26"/>
      <c r="G44" s="26"/>
      <c r="H44" s="26"/>
      <c r="I44" s="44"/>
    </row>
    <row r="45" spans="1:9" ht="13.5" hidden="1">
      <c r="A45" s="24"/>
      <c r="B45" s="24"/>
      <c r="C45" s="25"/>
      <c r="D45" s="24"/>
      <c r="E45" s="26"/>
      <c r="F45" s="26"/>
      <c r="G45" s="26"/>
      <c r="H45" s="26"/>
      <c r="I45" s="44"/>
    </row>
    <row r="46" spans="1:9" ht="13.5" hidden="1">
      <c r="A46" s="24"/>
      <c r="B46" s="24"/>
      <c r="C46" s="25"/>
      <c r="D46" s="24"/>
      <c r="E46" s="26"/>
      <c r="F46" s="26"/>
      <c r="G46" s="26"/>
      <c r="H46" s="26"/>
      <c r="I46" s="44"/>
    </row>
    <row r="47" spans="1:9" ht="13.5" hidden="1">
      <c r="A47" s="24"/>
      <c r="B47" s="24"/>
      <c r="C47" s="25"/>
      <c r="D47" s="24"/>
      <c r="E47" s="26"/>
      <c r="F47" s="26"/>
      <c r="G47" s="26"/>
      <c r="H47" s="26"/>
      <c r="I47" s="44"/>
    </row>
    <row r="48" spans="1:9" ht="13.5" hidden="1">
      <c r="A48" s="24"/>
      <c r="B48" s="24"/>
      <c r="C48" s="25"/>
      <c r="D48" s="24"/>
      <c r="E48" s="26"/>
      <c r="F48" s="26"/>
      <c r="G48" s="26"/>
      <c r="H48" s="26"/>
      <c r="I48" s="44"/>
    </row>
    <row r="49" spans="1:9" ht="13.5" hidden="1">
      <c r="A49" s="24"/>
      <c r="B49" s="24"/>
      <c r="C49" s="25"/>
      <c r="D49" s="24"/>
      <c r="E49" s="26"/>
      <c r="F49" s="26"/>
      <c r="G49" s="26"/>
      <c r="H49" s="26"/>
      <c r="I49" s="44"/>
    </row>
    <row r="50" spans="1:9" ht="13.5" hidden="1">
      <c r="A50" s="24"/>
      <c r="B50" s="24"/>
      <c r="C50" s="25"/>
      <c r="D50" s="24"/>
      <c r="E50" s="26"/>
      <c r="F50" s="26"/>
      <c r="G50" s="26"/>
      <c r="H50" s="26"/>
      <c r="I50" s="44"/>
    </row>
    <row r="51" spans="1:9" ht="13.5" hidden="1">
      <c r="A51" s="24"/>
      <c r="B51" s="24"/>
      <c r="C51" s="25"/>
      <c r="D51" s="24"/>
      <c r="E51" s="26"/>
      <c r="F51" s="26"/>
      <c r="G51" s="26"/>
      <c r="H51" s="26"/>
      <c r="I51" s="44"/>
    </row>
    <row r="52" spans="1:9" ht="13.5" hidden="1">
      <c r="A52" s="24"/>
      <c r="B52" s="24"/>
      <c r="C52" s="25"/>
      <c r="D52" s="24"/>
      <c r="E52" s="26"/>
      <c r="F52" s="26"/>
      <c r="G52" s="26"/>
      <c r="H52" s="26"/>
      <c r="I52" s="44"/>
    </row>
    <row r="53" spans="1:9" ht="13.5" hidden="1">
      <c r="A53" s="24"/>
      <c r="B53" s="24"/>
      <c r="C53" s="25"/>
      <c r="D53" s="24"/>
      <c r="E53" s="26"/>
      <c r="F53" s="26"/>
      <c r="G53" s="26"/>
      <c r="H53" s="26"/>
      <c r="I53" s="44"/>
    </row>
    <row r="54" spans="1:9" ht="13.5" hidden="1">
      <c r="A54" s="27"/>
      <c r="B54" s="27"/>
      <c r="C54" s="28"/>
      <c r="D54" s="27"/>
      <c r="E54" s="37"/>
      <c r="F54" s="26"/>
      <c r="G54" s="26"/>
      <c r="H54" s="26"/>
      <c r="I54" s="44"/>
    </row>
    <row r="55" spans="1:9" ht="13.5" hidden="1">
      <c r="A55" s="45"/>
      <c r="B55" s="29"/>
      <c r="C55" s="29"/>
      <c r="D55" s="29"/>
      <c r="F55" s="30" t="s">
        <v>30</v>
      </c>
      <c r="G55" s="31"/>
      <c r="H55" s="32">
        <f>SUM(H39:H54)</f>
        <v>0</v>
      </c>
      <c r="I55" s="44"/>
    </row>
    <row r="56" spans="1:9" ht="13.5" hidden="1">
      <c r="A56" s="45"/>
      <c r="B56" s="29"/>
      <c r="C56" s="29"/>
      <c r="D56" s="29"/>
      <c r="F56" s="102">
        <v>19</v>
      </c>
      <c r="G56" s="103"/>
      <c r="H56" s="32">
        <f>H55*F56/100</f>
        <v>0</v>
      </c>
      <c r="I56" s="44"/>
    </row>
    <row r="57" spans="1:9" ht="13.9" hidden="1">
      <c r="A57" s="45"/>
      <c r="B57" s="29"/>
      <c r="C57" s="29"/>
      <c r="D57" s="29"/>
      <c r="F57" s="33" t="s">
        <v>31</v>
      </c>
      <c r="G57" s="31" t="s">
        <v>32</v>
      </c>
      <c r="H57" s="34">
        <f>H55+H56</f>
        <v>0</v>
      </c>
      <c r="I57" s="44"/>
    </row>
    <row r="58" spans="1:9" ht="13.5" hidden="1">
      <c r="A58" s="46"/>
      <c r="B58" s="18"/>
      <c r="C58" s="18"/>
      <c r="D58" s="18"/>
      <c r="E58" s="18"/>
      <c r="F58" s="18"/>
      <c r="G58" s="18"/>
      <c r="I58" s="44"/>
    </row>
    <row r="59" spans="1:9" ht="13.5" hidden="1">
      <c r="A59" s="46"/>
      <c r="B59" s="18"/>
      <c r="C59" s="18"/>
      <c r="D59" s="18"/>
      <c r="E59" s="18"/>
      <c r="I59" s="44"/>
    </row>
    <row r="60" spans="1:9" ht="13.5" hidden="1">
      <c r="A60" s="47" t="s">
        <v>33</v>
      </c>
      <c r="C60" s="18"/>
      <c r="D60" s="18"/>
      <c r="F60" s="18" t="s">
        <v>34</v>
      </c>
      <c r="I60" s="44"/>
    </row>
    <row r="61" spans="1:9" hidden="1">
      <c r="A61" s="43" t="s">
        <v>35</v>
      </c>
      <c r="B61" s="6"/>
      <c r="C61" s="6"/>
      <c r="D61" s="6"/>
      <c r="F61" s="6" t="s">
        <v>36</v>
      </c>
      <c r="I61" s="44"/>
    </row>
    <row r="62" spans="1:9" hidden="1">
      <c r="A62" s="43"/>
      <c r="B62" s="6"/>
      <c r="C62" s="6"/>
      <c r="D62" s="6"/>
      <c r="F62" s="6" t="s">
        <v>37</v>
      </c>
      <c r="G62" s="6"/>
      <c r="I62" s="44"/>
    </row>
    <row r="63" spans="1:9">
      <c r="A63" s="48"/>
      <c r="B63" s="49"/>
      <c r="C63" s="49"/>
      <c r="D63" s="49"/>
      <c r="E63" s="50"/>
      <c r="F63" s="49"/>
      <c r="G63" s="49"/>
      <c r="H63" s="50"/>
      <c r="I63" s="51"/>
    </row>
    <row r="64" spans="1:9">
      <c r="A64" s="6"/>
      <c r="B64" s="6"/>
      <c r="C64" s="6"/>
      <c r="D64" s="6"/>
      <c r="E64" s="6"/>
      <c r="F64" s="6"/>
      <c r="G64" s="6"/>
    </row>
    <row r="65" spans="1:7">
      <c r="A65" s="6"/>
      <c r="B65" s="6"/>
      <c r="C65" s="6"/>
      <c r="D65" s="6"/>
      <c r="E65" s="6"/>
      <c r="F65" s="6"/>
      <c r="G65" s="6"/>
    </row>
    <row r="66" spans="1:7">
      <c r="A66" s="6"/>
      <c r="B66" s="6"/>
      <c r="C66" s="6"/>
      <c r="D66" s="6"/>
      <c r="E66" s="6"/>
      <c r="F66" s="6"/>
      <c r="G66" s="6"/>
    </row>
    <row r="67" spans="1:7" customFormat="1" ht="13.9">
      <c r="A67" s="66" t="s">
        <v>2</v>
      </c>
      <c r="B67" s="68"/>
    </row>
    <row r="68" spans="1:7" customFormat="1" ht="13.9">
      <c r="A68" s="67"/>
      <c r="B68" s="69"/>
      <c r="C68" s="95"/>
      <c r="D68" s="95"/>
      <c r="E68" s="96"/>
      <c r="F68" s="96"/>
      <c r="G68" s="1"/>
    </row>
    <row r="69" spans="1:7" customFormat="1" ht="27.75">
      <c r="A69" s="64" t="s">
        <v>3</v>
      </c>
      <c r="B69" s="97">
        <v>0</v>
      </c>
      <c r="C69" s="97">
        <v>10</v>
      </c>
      <c r="D69" s="97">
        <v>20</v>
      </c>
      <c r="E69" s="97">
        <v>50</v>
      </c>
      <c r="F69" s="97">
        <v>100</v>
      </c>
      <c r="G69" s="2"/>
    </row>
    <row r="70" spans="1:7" customFormat="1" ht="27.75">
      <c r="A70" s="64" t="s">
        <v>4</v>
      </c>
      <c r="B70" s="98">
        <v>0</v>
      </c>
      <c r="C70" s="98">
        <v>10</v>
      </c>
      <c r="D70" s="98">
        <v>15</v>
      </c>
      <c r="E70" s="98">
        <v>20</v>
      </c>
      <c r="F70" s="98">
        <v>30</v>
      </c>
      <c r="G70" s="2"/>
    </row>
    <row r="71" spans="1:7">
      <c r="A71" s="78"/>
      <c r="B71" s="50"/>
      <c r="C71" s="50"/>
      <c r="D71" s="50"/>
      <c r="E71" s="50"/>
      <c r="F71" s="50"/>
      <c r="G71" s="51"/>
    </row>
  </sheetData>
  <mergeCells count="5">
    <mergeCell ref="A6:G6"/>
    <mergeCell ref="A8:H8"/>
    <mergeCell ref="A18:B18"/>
    <mergeCell ref="A19:B19"/>
    <mergeCell ref="F56:G56"/>
  </mergeCells>
  <pageMargins left="0.94488188976377963" right="0.39370078740157483" top="0.35433070866141736" bottom="0.27559055118110237" header="0.23622047244094491" footer="0.19685039370078741"/>
  <pageSetup paperSize="9" scale="72" orientation="portrait" r:id="rId1"/>
  <headerFooter alignWithMargins="0">
    <oddFooter>&amp;R&amp;8G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J72"/>
  <sheetViews>
    <sheetView showGridLines="0" topLeftCell="A9" zoomScaleNormal="100" workbookViewId="0">
      <selection activeCell="A14" sqref="A14"/>
    </sheetView>
  </sheetViews>
  <sheetFormatPr baseColWidth="10" defaultColWidth="11.46484375" defaultRowHeight="12.75"/>
  <cols>
    <col min="1" max="1" width="14" style="7" customWidth="1"/>
    <col min="2" max="9" width="17.53125" style="7" customWidth="1"/>
    <col min="10" max="10" width="4.265625" style="7" customWidth="1"/>
    <col min="11" max="16384" width="11.46484375" style="7"/>
  </cols>
  <sheetData>
    <row r="1" spans="1:9" hidden="1">
      <c r="A1" s="6"/>
      <c r="B1" s="6"/>
      <c r="C1" s="6"/>
      <c r="D1" s="6"/>
      <c r="E1" s="6"/>
      <c r="F1" s="6"/>
      <c r="G1" s="6"/>
    </row>
    <row r="2" spans="1:9" hidden="1">
      <c r="A2" s="6"/>
      <c r="B2" s="6"/>
      <c r="C2" s="6"/>
      <c r="D2" s="6"/>
      <c r="E2" s="6"/>
      <c r="F2" s="6"/>
      <c r="G2" s="6"/>
    </row>
    <row r="3" spans="1:9" hidden="1">
      <c r="A3" s="6"/>
      <c r="B3" s="6"/>
      <c r="C3" s="6"/>
      <c r="D3" s="6"/>
      <c r="E3" s="6"/>
      <c r="F3" s="6"/>
      <c r="G3" s="6"/>
    </row>
    <row r="4" spans="1:9" hidden="1">
      <c r="A4" s="6"/>
      <c r="B4" s="6"/>
      <c r="C4" s="6"/>
      <c r="D4" s="6"/>
      <c r="E4" s="6"/>
      <c r="F4" s="6"/>
      <c r="G4" s="6"/>
    </row>
    <row r="5" spans="1:9" hidden="1">
      <c r="A5" s="6"/>
      <c r="B5" s="6"/>
      <c r="C5" s="6"/>
      <c r="D5" s="6"/>
      <c r="E5" s="6"/>
      <c r="F5" s="6"/>
      <c r="G5" s="6"/>
    </row>
    <row r="6" spans="1:9" hidden="1">
      <c r="A6" s="99"/>
      <c r="B6" s="99"/>
      <c r="C6" s="99"/>
      <c r="D6" s="99"/>
      <c r="E6" s="99"/>
      <c r="F6" s="99"/>
      <c r="G6" s="99"/>
    </row>
    <row r="7" spans="1:9" hidden="1">
      <c r="A7" s="6"/>
      <c r="B7" s="6"/>
      <c r="C7" s="6"/>
      <c r="D7" s="6"/>
      <c r="E7" s="6"/>
      <c r="F7" s="6"/>
      <c r="G7" s="6"/>
    </row>
    <row r="8" spans="1:9" ht="15" hidden="1">
      <c r="A8" s="100" t="s">
        <v>7</v>
      </c>
      <c r="B8" s="100"/>
      <c r="C8" s="100"/>
      <c r="D8" s="100"/>
      <c r="E8" s="100"/>
      <c r="F8" s="100"/>
      <c r="G8" s="100"/>
      <c r="H8" s="100"/>
    </row>
    <row r="9" spans="1:9" ht="13.9">
      <c r="A9" s="71" t="s">
        <v>1</v>
      </c>
      <c r="B9" s="6"/>
      <c r="C9" s="6"/>
      <c r="D9" s="6"/>
      <c r="E9" s="6"/>
      <c r="F9" s="6"/>
      <c r="G9" s="6"/>
    </row>
    <row r="10" spans="1:9">
      <c r="A10" s="41"/>
      <c r="B10" s="40"/>
      <c r="C10" s="40"/>
      <c r="D10" s="40"/>
      <c r="E10" s="40"/>
      <c r="F10" s="40"/>
      <c r="G10" s="40"/>
      <c r="H10" s="41"/>
      <c r="I10" s="42"/>
    </row>
    <row r="11" spans="1:9">
      <c r="A11" s="90" t="s">
        <v>43</v>
      </c>
      <c r="B11" s="6"/>
      <c r="C11" s="6"/>
      <c r="D11" s="6"/>
      <c r="E11" s="9"/>
      <c r="F11" s="9"/>
      <c r="G11" s="10"/>
      <c r="I11" s="44"/>
    </row>
    <row r="12" spans="1:9">
      <c r="A12" s="43"/>
      <c r="B12" s="6"/>
      <c r="C12" s="6"/>
      <c r="D12" s="6"/>
      <c r="E12" s="9"/>
      <c r="F12" s="9"/>
      <c r="G12" s="10"/>
      <c r="I12" s="44"/>
    </row>
    <row r="13" spans="1:9" ht="15">
      <c r="A13" s="72"/>
      <c r="C13" s="6"/>
      <c r="D13" s="6"/>
      <c r="E13" s="9"/>
      <c r="F13" s="9"/>
      <c r="G13" s="10"/>
      <c r="I13" s="44"/>
    </row>
    <row r="14" spans="1:9" ht="15">
      <c r="A14" s="73" t="str">
        <f>HLOOKUP($C$30,$B$67:$I$71,2,FALSE)</f>
        <v>Neuhoff KG</v>
      </c>
      <c r="B14" s="12"/>
      <c r="C14" s="6"/>
      <c r="D14" s="6"/>
      <c r="E14" s="9"/>
      <c r="F14" s="9"/>
      <c r="G14" s="10"/>
      <c r="I14" s="44"/>
    </row>
    <row r="15" spans="1:9" ht="15">
      <c r="A15" s="73" t="str">
        <f>HLOOKUP($C$30,$B$67:$I$71,3,FALSE)</f>
        <v>RaumDesign</v>
      </c>
      <c r="B15" s="12"/>
      <c r="C15" s="6"/>
      <c r="D15" s="6"/>
      <c r="E15" s="9"/>
      <c r="F15" s="9"/>
      <c r="G15" s="10"/>
      <c r="I15" s="44"/>
    </row>
    <row r="16" spans="1:9" ht="15">
      <c r="A16" s="73" t="str">
        <f>HLOOKUP($C$30,$B$67:$I$71,4,FALSE)</f>
        <v>Brunnenstraße 3</v>
      </c>
      <c r="B16" s="12"/>
      <c r="C16" s="6"/>
      <c r="D16" s="6"/>
      <c r="E16" s="9"/>
      <c r="F16" s="9"/>
      <c r="G16" s="10"/>
      <c r="I16" s="44"/>
    </row>
    <row r="17" spans="1:9" ht="15">
      <c r="A17" s="73" t="str">
        <f>HLOOKUP($C$30,$B$67:$I$71,5,FALSE)</f>
        <v>38700 Hannover</v>
      </c>
      <c r="B17" s="12"/>
      <c r="C17" s="6"/>
      <c r="D17" s="6"/>
      <c r="E17" s="9"/>
      <c r="F17" s="9"/>
      <c r="G17" s="10"/>
      <c r="I17" s="44"/>
    </row>
    <row r="18" spans="1:9" ht="15">
      <c r="A18" s="73"/>
      <c r="B18" s="11"/>
      <c r="C18" s="6"/>
      <c r="D18" s="6"/>
      <c r="E18" s="10"/>
      <c r="F18" s="10"/>
      <c r="G18" s="10"/>
      <c r="I18" s="44"/>
    </row>
    <row r="19" spans="1:9" ht="15">
      <c r="A19" s="104"/>
      <c r="B19" s="101"/>
      <c r="C19" s="6"/>
      <c r="D19" s="6"/>
      <c r="E19" s="10"/>
      <c r="F19" s="10"/>
      <c r="G19" s="10"/>
      <c r="I19" s="44"/>
    </row>
    <row r="20" spans="1:9">
      <c r="A20" s="43"/>
      <c r="B20" s="6"/>
      <c r="C20" s="6"/>
      <c r="D20" s="6"/>
      <c r="E20" s="10"/>
      <c r="F20" s="10"/>
      <c r="G20" s="10"/>
      <c r="I20" s="44"/>
    </row>
    <row r="21" spans="1:9">
      <c r="A21" s="43"/>
      <c r="B21" s="6"/>
      <c r="C21" s="6"/>
      <c r="D21" s="6"/>
      <c r="E21" s="6"/>
      <c r="F21" s="6"/>
      <c r="G21" s="6"/>
      <c r="I21" s="44"/>
    </row>
    <row r="22" spans="1:9">
      <c r="A22" s="74" t="s">
        <v>11</v>
      </c>
      <c r="B22" s="13" t="s">
        <v>5</v>
      </c>
      <c r="C22" s="13" t="s">
        <v>12</v>
      </c>
      <c r="D22" s="13" t="s">
        <v>13</v>
      </c>
      <c r="F22" s="13" t="s">
        <v>14</v>
      </c>
      <c r="H22" s="13" t="s">
        <v>6</v>
      </c>
      <c r="I22" s="44"/>
    </row>
    <row r="23" spans="1:9" ht="12.75" customHeight="1">
      <c r="A23" s="43"/>
      <c r="B23" s="6"/>
      <c r="C23" s="6" t="s">
        <v>15</v>
      </c>
      <c r="D23" s="36" t="s">
        <v>16</v>
      </c>
      <c r="F23" s="7" t="s">
        <v>17</v>
      </c>
      <c r="H23" s="91" t="s">
        <v>79</v>
      </c>
      <c r="I23" s="44"/>
    </row>
    <row r="24" spans="1:9">
      <c r="A24" s="74"/>
      <c r="B24" s="13"/>
      <c r="C24" s="13"/>
      <c r="D24" s="35"/>
      <c r="E24" s="6"/>
      <c r="F24" s="14"/>
      <c r="G24" s="6"/>
      <c r="I24" s="44"/>
    </row>
    <row r="25" spans="1:9">
      <c r="A25" s="74"/>
      <c r="B25" s="13"/>
      <c r="C25" s="13"/>
      <c r="D25" s="13"/>
      <c r="E25" s="6"/>
      <c r="F25" s="6"/>
      <c r="G25" s="15"/>
      <c r="I25" s="44"/>
    </row>
    <row r="26" spans="1:9" ht="22.5">
      <c r="A26" s="75" t="s">
        <v>0</v>
      </c>
      <c r="B26" s="6"/>
      <c r="C26" s="13"/>
      <c r="D26" s="13"/>
      <c r="E26" s="6"/>
      <c r="F26" s="6"/>
      <c r="G26" s="15"/>
      <c r="I26" s="44"/>
    </row>
    <row r="27" spans="1:9" ht="17.649999999999999">
      <c r="A27" s="76"/>
      <c r="B27" s="6"/>
      <c r="C27" s="13"/>
      <c r="D27" s="13"/>
      <c r="E27" s="6"/>
      <c r="F27" s="6"/>
      <c r="G27" s="15"/>
      <c r="I27" s="44"/>
    </row>
    <row r="28" spans="1:9">
      <c r="A28" s="43"/>
      <c r="B28" s="6"/>
      <c r="C28" s="6"/>
      <c r="D28" s="6"/>
      <c r="E28" s="6"/>
      <c r="F28" s="6"/>
      <c r="G28" s="6"/>
      <c r="I28" s="44"/>
    </row>
    <row r="29" spans="1:9">
      <c r="A29" s="43"/>
      <c r="B29" s="6"/>
      <c r="C29" s="6"/>
      <c r="D29" s="6"/>
      <c r="E29" s="6"/>
      <c r="F29" s="6"/>
      <c r="G29" s="6"/>
      <c r="I29" s="44"/>
    </row>
    <row r="30" spans="1:9" ht="15">
      <c r="A30" s="46" t="s">
        <v>18</v>
      </c>
      <c r="C30" s="19">
        <v>2401</v>
      </c>
      <c r="D30" s="6"/>
      <c r="E30" s="6"/>
      <c r="F30" s="6"/>
      <c r="G30" s="6"/>
      <c r="I30" s="44"/>
    </row>
    <row r="31" spans="1:9" ht="15">
      <c r="A31" s="77" t="s">
        <v>19</v>
      </c>
      <c r="C31" s="19">
        <v>50215</v>
      </c>
      <c r="D31" s="6"/>
      <c r="E31" s="6"/>
      <c r="F31" s="6"/>
      <c r="G31" s="6"/>
      <c r="I31" s="44"/>
    </row>
    <row r="32" spans="1:9" ht="15">
      <c r="A32" s="77" t="s">
        <v>20</v>
      </c>
      <c r="B32" s="19"/>
      <c r="D32" s="6"/>
      <c r="E32" s="6"/>
      <c r="F32" s="6"/>
      <c r="G32" s="6"/>
      <c r="I32" s="44"/>
    </row>
    <row r="33" spans="1:9" ht="15">
      <c r="A33" s="77" t="s">
        <v>21</v>
      </c>
      <c r="B33" s="23"/>
      <c r="D33" s="6"/>
      <c r="E33" s="6"/>
      <c r="F33" s="6"/>
      <c r="G33" s="6"/>
      <c r="I33" s="44"/>
    </row>
    <row r="34" spans="1:9" ht="15">
      <c r="A34" s="78"/>
      <c r="B34" s="79"/>
      <c r="C34" s="80"/>
      <c r="D34" s="49"/>
      <c r="E34" s="49"/>
      <c r="F34" s="49"/>
      <c r="G34" s="49"/>
      <c r="H34" s="50"/>
      <c r="I34" s="51"/>
    </row>
    <row r="36" spans="1:9" ht="13.5" hidden="1">
      <c r="A36" s="39"/>
      <c r="B36" s="40"/>
      <c r="C36" s="40"/>
      <c r="D36" s="40"/>
      <c r="E36" s="40"/>
      <c r="F36" s="40"/>
      <c r="G36" s="40"/>
      <c r="H36" s="41"/>
      <c r="I36" s="42"/>
    </row>
    <row r="37" spans="1:9" hidden="1">
      <c r="A37" s="43"/>
      <c r="B37" s="6"/>
      <c r="C37" s="6"/>
      <c r="D37" s="6"/>
      <c r="E37" s="6"/>
      <c r="F37" s="6"/>
      <c r="G37" s="6"/>
      <c r="I37" s="44"/>
    </row>
    <row r="38" spans="1:9" ht="14.25" hidden="1" thickBot="1">
      <c r="A38" s="55" t="s">
        <v>22</v>
      </c>
      <c r="B38" s="55" t="s">
        <v>23</v>
      </c>
      <c r="C38" s="55" t="s">
        <v>24</v>
      </c>
      <c r="D38" s="55" t="s">
        <v>25</v>
      </c>
      <c r="E38" s="55" t="s">
        <v>26</v>
      </c>
      <c r="F38" s="55" t="s">
        <v>38</v>
      </c>
      <c r="G38" s="55" t="s">
        <v>27</v>
      </c>
      <c r="H38" s="56" t="s">
        <v>28</v>
      </c>
      <c r="I38" s="44"/>
    </row>
    <row r="39" spans="1:9" ht="13.5" hidden="1">
      <c r="A39" s="24">
        <v>1</v>
      </c>
      <c r="B39" s="24">
        <v>101111</v>
      </c>
      <c r="C39" s="25" t="s">
        <v>29</v>
      </c>
      <c r="D39" s="24">
        <v>10</v>
      </c>
      <c r="E39" s="53">
        <v>489</v>
      </c>
      <c r="F39" s="52"/>
      <c r="G39" s="53"/>
      <c r="H39" s="53"/>
      <c r="I39" s="44"/>
    </row>
    <row r="40" spans="1:9" ht="13.5" hidden="1">
      <c r="A40" s="57">
        <v>2</v>
      </c>
      <c r="B40" s="57">
        <v>101114</v>
      </c>
      <c r="C40" s="58" t="s">
        <v>39</v>
      </c>
      <c r="D40" s="57">
        <v>25</v>
      </c>
      <c r="E40" s="63">
        <v>98</v>
      </c>
      <c r="F40" s="59"/>
      <c r="G40" s="63"/>
      <c r="H40" s="63"/>
      <c r="I40" s="44"/>
    </row>
    <row r="41" spans="1:9" ht="13.5" hidden="1">
      <c r="A41" s="24">
        <v>3</v>
      </c>
      <c r="B41" s="24">
        <v>202111</v>
      </c>
      <c r="C41" s="25" t="s">
        <v>40</v>
      </c>
      <c r="D41" s="24">
        <v>20</v>
      </c>
      <c r="E41" s="53">
        <v>228</v>
      </c>
      <c r="F41" s="26"/>
      <c r="G41" s="53"/>
      <c r="H41" s="53"/>
      <c r="I41" s="44"/>
    </row>
    <row r="42" spans="1:9" ht="13.5" hidden="1">
      <c r="A42" s="57">
        <v>4</v>
      </c>
      <c r="B42" s="57">
        <v>202114</v>
      </c>
      <c r="C42" s="58" t="s">
        <v>41</v>
      </c>
      <c r="D42" s="57">
        <v>15</v>
      </c>
      <c r="E42" s="63">
        <v>349</v>
      </c>
      <c r="F42" s="59"/>
      <c r="G42" s="63"/>
      <c r="H42" s="63"/>
      <c r="I42" s="44"/>
    </row>
    <row r="43" spans="1:9" ht="13.5" hidden="1">
      <c r="A43" s="24"/>
      <c r="B43" s="24"/>
      <c r="C43" s="25"/>
      <c r="D43" s="24"/>
      <c r="E43" s="53"/>
      <c r="F43" s="26"/>
      <c r="G43" s="53"/>
      <c r="H43" s="53"/>
      <c r="I43" s="44"/>
    </row>
    <row r="44" spans="1:9" ht="13.5" hidden="1">
      <c r="A44" s="24"/>
      <c r="B44" s="24"/>
      <c r="C44" s="25"/>
      <c r="D44" s="24"/>
      <c r="E44" s="26"/>
      <c r="F44" s="26"/>
      <c r="G44" s="26"/>
      <c r="H44" s="26"/>
      <c r="I44" s="44"/>
    </row>
    <row r="45" spans="1:9" ht="13.5" hidden="1">
      <c r="A45" s="24"/>
      <c r="B45" s="24"/>
      <c r="C45" s="25"/>
      <c r="D45" s="24"/>
      <c r="E45" s="26"/>
      <c r="F45" s="26"/>
      <c r="G45" s="26"/>
      <c r="H45" s="26"/>
      <c r="I45" s="44"/>
    </row>
    <row r="46" spans="1:9" ht="13.5" hidden="1">
      <c r="A46" s="24"/>
      <c r="B46" s="24"/>
      <c r="C46" s="25"/>
      <c r="D46" s="24"/>
      <c r="E46" s="26"/>
      <c r="F46" s="26"/>
      <c r="G46" s="26"/>
      <c r="H46" s="26"/>
      <c r="I46" s="44"/>
    </row>
    <row r="47" spans="1:9" ht="13.5" hidden="1">
      <c r="A47" s="24"/>
      <c r="B47" s="24"/>
      <c r="C47" s="25"/>
      <c r="D47" s="24"/>
      <c r="E47" s="26"/>
      <c r="F47" s="26"/>
      <c r="G47" s="26"/>
      <c r="H47" s="26"/>
      <c r="I47" s="44"/>
    </row>
    <row r="48" spans="1:9" ht="13.5" hidden="1">
      <c r="A48" s="24"/>
      <c r="B48" s="24"/>
      <c r="C48" s="25"/>
      <c r="D48" s="24"/>
      <c r="E48" s="26"/>
      <c r="F48" s="26"/>
      <c r="G48" s="26"/>
      <c r="H48" s="26"/>
      <c r="I48" s="44"/>
    </row>
    <row r="49" spans="1:9" ht="13.5" hidden="1">
      <c r="A49" s="24"/>
      <c r="B49" s="24"/>
      <c r="C49" s="25"/>
      <c r="D49" s="24"/>
      <c r="E49" s="26"/>
      <c r="F49" s="26"/>
      <c r="G49" s="26"/>
      <c r="H49" s="26"/>
      <c r="I49" s="44"/>
    </row>
    <row r="50" spans="1:9" ht="13.5" hidden="1">
      <c r="A50" s="24"/>
      <c r="B50" s="24"/>
      <c r="C50" s="25"/>
      <c r="D50" s="24"/>
      <c r="E50" s="26"/>
      <c r="F50" s="26"/>
      <c r="G50" s="26"/>
      <c r="H50" s="26"/>
      <c r="I50" s="44"/>
    </row>
    <row r="51" spans="1:9" ht="13.5" hidden="1">
      <c r="A51" s="24"/>
      <c r="B51" s="24"/>
      <c r="C51" s="25"/>
      <c r="D51" s="24"/>
      <c r="E51" s="26"/>
      <c r="F51" s="26"/>
      <c r="G51" s="26"/>
      <c r="H51" s="26"/>
      <c r="I51" s="44"/>
    </row>
    <row r="52" spans="1:9" ht="13.5" hidden="1">
      <c r="A52" s="24"/>
      <c r="B52" s="24"/>
      <c r="C52" s="25"/>
      <c r="D52" s="24"/>
      <c r="E52" s="26"/>
      <c r="F52" s="26"/>
      <c r="G52" s="26"/>
      <c r="H52" s="26"/>
      <c r="I52" s="44"/>
    </row>
    <row r="53" spans="1:9" ht="13.5" hidden="1">
      <c r="A53" s="24"/>
      <c r="B53" s="24"/>
      <c r="C53" s="25"/>
      <c r="D53" s="24"/>
      <c r="E53" s="26"/>
      <c r="F53" s="26"/>
      <c r="G53" s="26"/>
      <c r="H53" s="26"/>
      <c r="I53" s="44"/>
    </row>
    <row r="54" spans="1:9" ht="13.5" hidden="1">
      <c r="A54" s="27"/>
      <c r="B54" s="27"/>
      <c r="C54" s="28"/>
      <c r="D54" s="27"/>
      <c r="E54" s="37"/>
      <c r="F54" s="26"/>
      <c r="G54" s="26"/>
      <c r="H54" s="26"/>
      <c r="I54" s="44"/>
    </row>
    <row r="55" spans="1:9" ht="13.5" hidden="1">
      <c r="A55" s="45"/>
      <c r="B55" s="29"/>
      <c r="C55" s="29"/>
      <c r="D55" s="29"/>
      <c r="F55" s="30" t="s">
        <v>30</v>
      </c>
      <c r="G55" s="31"/>
      <c r="H55" s="32">
        <f>SUM(H39:H54)</f>
        <v>0</v>
      </c>
      <c r="I55" s="44"/>
    </row>
    <row r="56" spans="1:9" ht="13.5" hidden="1">
      <c r="A56" s="45"/>
      <c r="B56" s="29"/>
      <c r="C56" s="29"/>
      <c r="D56" s="29"/>
      <c r="F56" s="102">
        <v>19</v>
      </c>
      <c r="G56" s="103"/>
      <c r="H56" s="32">
        <f>H55*F56/100</f>
        <v>0</v>
      </c>
      <c r="I56" s="44"/>
    </row>
    <row r="57" spans="1:9" ht="13.9" hidden="1">
      <c r="A57" s="45"/>
      <c r="B57" s="29"/>
      <c r="C57" s="29"/>
      <c r="D57" s="29"/>
      <c r="F57" s="33" t="s">
        <v>31</v>
      </c>
      <c r="G57" s="31" t="s">
        <v>32</v>
      </c>
      <c r="H57" s="34">
        <f>H55+H56</f>
        <v>0</v>
      </c>
      <c r="I57" s="44"/>
    </row>
    <row r="58" spans="1:9" ht="13.5" hidden="1">
      <c r="A58" s="46"/>
      <c r="B58" s="18"/>
      <c r="C58" s="18"/>
      <c r="D58" s="18"/>
      <c r="E58" s="18"/>
      <c r="F58" s="18"/>
      <c r="G58" s="18"/>
      <c r="I58" s="44"/>
    </row>
    <row r="59" spans="1:9" ht="13.5" hidden="1">
      <c r="A59" s="46"/>
      <c r="B59" s="18"/>
      <c r="C59" s="18"/>
      <c r="D59" s="18"/>
      <c r="E59" s="18"/>
      <c r="I59" s="44"/>
    </row>
    <row r="60" spans="1:9" ht="13.5" hidden="1">
      <c r="A60" s="47" t="s">
        <v>33</v>
      </c>
      <c r="C60" s="18"/>
      <c r="D60" s="18"/>
      <c r="F60" s="18" t="s">
        <v>34</v>
      </c>
      <c r="I60" s="44"/>
    </row>
    <row r="61" spans="1:9" hidden="1">
      <c r="A61" s="43" t="s">
        <v>35</v>
      </c>
      <c r="B61" s="6"/>
      <c r="C61" s="6"/>
      <c r="D61" s="6"/>
      <c r="F61" s="6" t="s">
        <v>36</v>
      </c>
      <c r="I61" s="44"/>
    </row>
    <row r="62" spans="1:9" hidden="1">
      <c r="A62" s="43"/>
      <c r="B62" s="6"/>
      <c r="C62" s="6"/>
      <c r="D62" s="6"/>
      <c r="F62" s="6" t="s">
        <v>37</v>
      </c>
      <c r="G62" s="6"/>
      <c r="I62" s="44"/>
    </row>
    <row r="63" spans="1:9" hidden="1">
      <c r="A63" s="48"/>
      <c r="B63" s="49"/>
      <c r="C63" s="49"/>
      <c r="D63" s="49"/>
      <c r="E63" s="50"/>
      <c r="F63" s="49"/>
      <c r="G63" s="49"/>
      <c r="H63" s="50"/>
      <c r="I63" s="51"/>
    </row>
    <row r="64" spans="1:9" hidden="1">
      <c r="A64" s="6"/>
      <c r="B64" s="6"/>
      <c r="C64" s="6"/>
      <c r="D64" s="6"/>
      <c r="E64" s="6"/>
      <c r="F64" s="6"/>
      <c r="G64" s="6"/>
    </row>
    <row r="65" spans="1:10" ht="13.9">
      <c r="A65" s="71" t="s">
        <v>44</v>
      </c>
      <c r="B65" s="6"/>
      <c r="C65" s="6"/>
      <c r="D65" s="6"/>
      <c r="E65" s="6"/>
      <c r="F65" s="6"/>
      <c r="G65" s="6"/>
    </row>
    <row r="66" spans="1:10">
      <c r="A66" s="87"/>
      <c r="B66" s="40"/>
      <c r="C66" s="40"/>
      <c r="D66" s="40"/>
      <c r="E66" s="40"/>
      <c r="F66" s="40"/>
      <c r="G66" s="40"/>
      <c r="H66" s="41"/>
      <c r="I66" s="41"/>
      <c r="J66" s="42"/>
    </row>
    <row r="67" spans="1:10" ht="25.5" customHeight="1">
      <c r="A67" s="93" t="s">
        <v>45</v>
      </c>
      <c r="B67" s="81">
        <v>2401</v>
      </c>
      <c r="C67" s="81">
        <v>2402</v>
      </c>
      <c r="D67" s="81">
        <v>2403</v>
      </c>
      <c r="E67" s="81">
        <v>2404</v>
      </c>
      <c r="F67" s="81">
        <v>2405</v>
      </c>
      <c r="G67" s="81">
        <v>2406</v>
      </c>
      <c r="H67" s="81">
        <v>2407</v>
      </c>
      <c r="I67" s="81">
        <v>2408</v>
      </c>
      <c r="J67" s="44"/>
    </row>
    <row r="68" spans="1:10" ht="25.5" customHeight="1">
      <c r="A68" s="92" t="s">
        <v>46</v>
      </c>
      <c r="B68" s="82" t="s">
        <v>8</v>
      </c>
      <c r="C68" s="82" t="s">
        <v>48</v>
      </c>
      <c r="D68" s="82" t="s">
        <v>51</v>
      </c>
      <c r="E68" s="82" t="s">
        <v>54</v>
      </c>
      <c r="F68" s="82" t="s">
        <v>57</v>
      </c>
      <c r="G68" s="82" t="s">
        <v>60</v>
      </c>
      <c r="H68" s="82" t="s">
        <v>63</v>
      </c>
      <c r="I68" s="82" t="s">
        <v>66</v>
      </c>
      <c r="J68" s="44"/>
    </row>
    <row r="69" spans="1:10" ht="25.5" customHeight="1">
      <c r="A69" s="92" t="s">
        <v>47</v>
      </c>
      <c r="B69" s="82" t="s">
        <v>9</v>
      </c>
      <c r="C69" s="82" t="s">
        <v>49</v>
      </c>
      <c r="D69" s="82" t="s">
        <v>52</v>
      </c>
      <c r="E69" s="82" t="s">
        <v>55</v>
      </c>
      <c r="F69" s="82" t="s">
        <v>58</v>
      </c>
      <c r="G69" s="82" t="s">
        <v>61</v>
      </c>
      <c r="H69" s="82" t="s">
        <v>64</v>
      </c>
      <c r="I69" s="82" t="s">
        <v>67</v>
      </c>
      <c r="J69" s="44"/>
    </row>
    <row r="70" spans="1:10" ht="25.5" customHeight="1">
      <c r="A70" s="89" t="s">
        <v>77</v>
      </c>
      <c r="B70" s="83" t="s">
        <v>10</v>
      </c>
      <c r="C70" s="83" t="s">
        <v>50</v>
      </c>
      <c r="D70" s="83" t="s">
        <v>53</v>
      </c>
      <c r="E70" s="83" t="s">
        <v>56</v>
      </c>
      <c r="F70" s="83" t="s">
        <v>59</v>
      </c>
      <c r="G70" s="83" t="s">
        <v>62</v>
      </c>
      <c r="H70" s="83" t="s">
        <v>65</v>
      </c>
      <c r="I70" s="83" t="s">
        <v>68</v>
      </c>
      <c r="J70" s="44"/>
    </row>
    <row r="71" spans="1:10" ht="25.5" customHeight="1">
      <c r="A71" s="94" t="s">
        <v>76</v>
      </c>
      <c r="B71" s="84" t="s">
        <v>42</v>
      </c>
      <c r="C71" s="84" t="s">
        <v>70</v>
      </c>
      <c r="D71" s="84" t="s">
        <v>71</v>
      </c>
      <c r="E71" s="84" t="s">
        <v>72</v>
      </c>
      <c r="F71" s="84" t="s">
        <v>73</v>
      </c>
      <c r="G71" s="84" t="s">
        <v>80</v>
      </c>
      <c r="H71" s="84" t="s">
        <v>74</v>
      </c>
      <c r="I71" s="84" t="s">
        <v>75</v>
      </c>
      <c r="J71" s="44"/>
    </row>
    <row r="72" spans="1:10">
      <c r="A72" s="78"/>
      <c r="B72" s="50"/>
      <c r="C72" s="50"/>
      <c r="D72" s="50"/>
      <c r="E72" s="50"/>
      <c r="F72" s="50"/>
      <c r="G72" s="50"/>
      <c r="H72" s="50"/>
      <c r="I72" s="50"/>
      <c r="J72" s="51"/>
    </row>
  </sheetData>
  <mergeCells count="4">
    <mergeCell ref="A6:G6"/>
    <mergeCell ref="A8:H8"/>
    <mergeCell ref="A19:B19"/>
    <mergeCell ref="F56:G56"/>
  </mergeCells>
  <pageMargins left="0.94488188976377963" right="0.39370078740157483" top="0.35433070866141736" bottom="0.27559055118110237" header="0.23622047244094491" footer="0.19685039370078741"/>
  <pageSetup paperSize="9" scale="72" orientation="portrait" r:id="rId1"/>
  <headerFooter alignWithMargins="0">
    <oddFooter>&amp;R&amp;8G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Vorlage</vt:lpstr>
      <vt:lpstr>01</vt:lpstr>
      <vt:lpstr>02</vt:lpstr>
      <vt:lpstr>03</vt:lpstr>
      <vt:lpstr>04</vt:lpstr>
      <vt:lpstr>15</vt:lpstr>
      <vt:lpstr>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Markus</dc:creator>
  <cp:lastModifiedBy>Markus Peters</cp:lastModifiedBy>
  <cp:lastPrinted>2009-06-26T07:47:35Z</cp:lastPrinted>
  <dcterms:created xsi:type="dcterms:W3CDTF">2009-01-31T17:13:04Z</dcterms:created>
  <dcterms:modified xsi:type="dcterms:W3CDTF">2024-08-08T14:10:39Z</dcterms:modified>
</cp:coreProperties>
</file>