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Duisdorfer BüroKonzept KG/Lernsituationen/Lernfeld 09/"/>
    </mc:Choice>
  </mc:AlternateContent>
  <xr:revisionPtr revIDLastSave="0" documentId="13_ncr:3_{DD013CCE-E43C-499F-8CD5-BAEC89686D61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Ergebniss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1" l="1"/>
  <c r="F21" i="1"/>
</calcChain>
</file>

<file path=xl/sharedStrings.xml><?xml version="1.0" encoding="utf-8"?>
<sst xmlns="http://schemas.openxmlformats.org/spreadsheetml/2006/main" count="75" uniqueCount="59">
  <si>
    <t>I.</t>
  </si>
  <si>
    <t>Anlagevermögen</t>
  </si>
  <si>
    <t>1.</t>
  </si>
  <si>
    <t>2.</t>
  </si>
  <si>
    <t>3.</t>
  </si>
  <si>
    <t>Grundstücke und Bauten</t>
  </si>
  <si>
    <t>Technische Anlagen und Maschinen</t>
  </si>
  <si>
    <t>Betriebs- und Geschäftsausstattung</t>
  </si>
  <si>
    <t>II.</t>
  </si>
  <si>
    <t>Umlaufvermögen</t>
  </si>
  <si>
    <t>4.</t>
  </si>
  <si>
    <t>5.</t>
  </si>
  <si>
    <t>6.</t>
  </si>
  <si>
    <t>7.</t>
  </si>
  <si>
    <t>8.</t>
  </si>
  <si>
    <t>9.</t>
  </si>
  <si>
    <t>Rohstoffe</t>
  </si>
  <si>
    <t>Hilfsstoffe</t>
  </si>
  <si>
    <t>Betriebsstoffe</t>
  </si>
  <si>
    <t>Unfertige Erzeugnisse</t>
  </si>
  <si>
    <t>Fertige Erzeugnisse</t>
  </si>
  <si>
    <t>Handelswaren</t>
  </si>
  <si>
    <t>Forderungen a. LL</t>
  </si>
  <si>
    <t>Kassenbestand</t>
  </si>
  <si>
    <t>Bank</t>
  </si>
  <si>
    <t>Eigenkapital</t>
  </si>
  <si>
    <t>Fremdkapital</t>
  </si>
  <si>
    <t>Hypothekenschulden</t>
  </si>
  <si>
    <t>Darlehensschulden</t>
  </si>
  <si>
    <t>Verbindlichkeiten a. LL</t>
  </si>
  <si>
    <t>kurzfristige Rückstellungen</t>
  </si>
  <si>
    <t>Aktiva</t>
  </si>
  <si>
    <t>Passiva</t>
  </si>
  <si>
    <t>Anlagenintensität:</t>
  </si>
  <si>
    <t>Gesamtvermögen</t>
  </si>
  <si>
    <t>Anlagendeckungsgrad I:</t>
  </si>
  <si>
    <t xml:space="preserve">3. </t>
  </si>
  <si>
    <t>Anlagendeckungsgrad II:</t>
  </si>
  <si>
    <t>A.</t>
  </si>
  <si>
    <t>Langfristiges Fremdkapital</t>
  </si>
  <si>
    <t>B.</t>
  </si>
  <si>
    <t>Kurzfristiges Fremdkapital</t>
  </si>
  <si>
    <t>Eigenkapitalquote:</t>
  </si>
  <si>
    <t xml:space="preserve">5. </t>
  </si>
  <si>
    <t>Liquidität 1. Grades:</t>
  </si>
  <si>
    <t>Liquidität 2. Grades:</t>
  </si>
  <si>
    <t>Liquidität 3. Grades:</t>
  </si>
  <si>
    <t>Eigenkapitalrentabilität:</t>
  </si>
  <si>
    <t>Gesamtkapitalrentabilität:</t>
  </si>
  <si>
    <t>10.</t>
  </si>
  <si>
    <t>Umsatzrentabilität:</t>
  </si>
  <si>
    <t>Bilanz der Duisdorfer BüroKonzept KG 20.. (-1)</t>
  </si>
  <si>
    <t>Werte aus der zugehörigen GuV-Rechnung:</t>
  </si>
  <si>
    <t>Ermittlung der Bilanzkennzahlen als Grundlage für den zu stellenden Darlehensantrag</t>
  </si>
  <si>
    <t>Gewinn</t>
  </si>
  <si>
    <t>Umsatzerlöse für eigene Erzeugnisse</t>
  </si>
  <si>
    <t>Umsatzerlöse für Waren</t>
  </si>
  <si>
    <t>Zinsaufwendungen</t>
  </si>
  <si>
    <t>Anlagevermögen  x 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</si>
</sst>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6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6" xfId="0" applyFont="1" applyBorder="1"/>
    <xf numFmtId="0" fontId="3" fillId="0" borderId="13" xfId="0" applyFont="1" applyBorder="1"/>
    <xf numFmtId="0" fontId="4" fillId="0" borderId="0" xfId="0" applyFont="1"/>
    <xf numFmtId="44" fontId="3" fillId="0" borderId="0" xfId="0" applyNumberFormat="1" applyFont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4" xfId="0" applyFont="1" applyBorder="1"/>
    <xf numFmtId="10" fontId="3" fillId="0" borderId="0" xfId="2" applyNumberFormat="1" applyFont="1"/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66" fontId="3" fillId="0" borderId="2" xfId="0" applyNumberFormat="1" applyFont="1" applyBorder="1"/>
    <xf numFmtId="166" fontId="3" fillId="0" borderId="2" xfId="1" applyNumberFormat="1" applyFont="1" applyBorder="1"/>
    <xf numFmtId="166" fontId="3" fillId="0" borderId="4" xfId="1" applyNumberFormat="1" applyFont="1" applyBorder="1"/>
    <xf numFmtId="166" fontId="3" fillId="0" borderId="5" xfId="0" applyNumberFormat="1" applyFont="1" applyBorder="1"/>
    <xf numFmtId="166" fontId="3" fillId="0" borderId="0" xfId="1" applyNumberFormat="1" applyFont="1"/>
    <xf numFmtId="166" fontId="3" fillId="0" borderId="0" xfId="0" applyNumberFormat="1" applyFont="1"/>
    <xf numFmtId="166" fontId="3" fillId="0" borderId="3" xfId="1" applyNumberFormat="1" applyFont="1" applyBorder="1"/>
    <xf numFmtId="166" fontId="3" fillId="0" borderId="6" xfId="1" applyNumberFormat="1" applyFont="1" applyBorder="1"/>
    <xf numFmtId="166" fontId="3" fillId="0" borderId="8" xfId="0" applyNumberFormat="1" applyFont="1" applyBorder="1"/>
    <xf numFmtId="166" fontId="3" fillId="0" borderId="9" xfId="0" applyNumberFormat="1" applyFont="1" applyBorder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14</xdr:row>
      <xdr:rowOff>0</xdr:rowOff>
    </xdr:from>
    <xdr:to>
      <xdr:col>10</xdr:col>
      <xdr:colOff>9525</xdr:colOff>
      <xdr:row>18</xdr:row>
      <xdr:rowOff>200025</xdr:rowOff>
    </xdr:to>
    <xdr:cxnSp macro="">
      <xdr:nvCxnSpPr>
        <xdr:cNvPr id="3" name="Gerad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4676775" y="2971800"/>
          <a:ext cx="2143125" cy="10382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K59"/>
  <sheetViews>
    <sheetView showGridLines="0" tabSelected="1" topLeftCell="A2" zoomScaleNormal="100" zoomScalePageLayoutView="60" workbookViewId="0">
      <selection activeCell="F26" sqref="F26"/>
    </sheetView>
  </sheetViews>
  <sheetFormatPr baseColWidth="10" defaultRowHeight="12.75" x14ac:dyDescent="0.2"/>
  <cols>
    <col min="1" max="2" width="4.7109375" style="1" customWidth="1"/>
    <col min="3" max="5" width="11.7109375" style="1" customWidth="1"/>
    <col min="6" max="6" width="20.7109375" style="1" customWidth="1"/>
    <col min="7" max="8" width="4.7109375" style="1" customWidth="1"/>
    <col min="9" max="10" width="13.7109375" style="1" customWidth="1"/>
    <col min="11" max="11" width="20.7109375" style="1" customWidth="1"/>
    <col min="12" max="16384" width="11.42578125" style="1"/>
  </cols>
  <sheetData>
    <row r="1" spans="1:11" ht="32.25" customHeight="1" x14ac:dyDescent="0.2">
      <c r="A1" s="16" t="s">
        <v>53</v>
      </c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17.100000000000001" customHeight="1" thickBo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20.100000000000001" customHeight="1" thickBot="1" x14ac:dyDescent="0.25">
      <c r="A3" s="19" t="s">
        <v>31</v>
      </c>
      <c r="B3" s="20"/>
      <c r="C3" s="20"/>
      <c r="D3" s="20"/>
      <c r="E3" s="20"/>
      <c r="F3" s="19" t="s">
        <v>51</v>
      </c>
      <c r="G3" s="20"/>
      <c r="H3" s="20"/>
      <c r="I3" s="20"/>
      <c r="J3" s="20"/>
      <c r="K3" s="21" t="s">
        <v>32</v>
      </c>
    </row>
    <row r="4" spans="1:11" ht="17.100000000000001" customHeight="1" x14ac:dyDescent="0.2">
      <c r="A4" s="1" t="s">
        <v>0</v>
      </c>
      <c r="B4" s="1" t="s">
        <v>1</v>
      </c>
      <c r="F4" s="3"/>
      <c r="G4" s="1" t="s">
        <v>0</v>
      </c>
      <c r="H4" s="1" t="s">
        <v>25</v>
      </c>
      <c r="K4" s="26">
        <v>923550</v>
      </c>
    </row>
    <row r="5" spans="1:11" ht="17.100000000000001" customHeight="1" x14ac:dyDescent="0.2">
      <c r="B5" s="1" t="s">
        <v>2</v>
      </c>
      <c r="C5" s="1" t="s">
        <v>5</v>
      </c>
      <c r="F5" s="22">
        <v>1370000</v>
      </c>
      <c r="K5" s="27"/>
    </row>
    <row r="6" spans="1:11" ht="17.100000000000001" customHeight="1" x14ac:dyDescent="0.2">
      <c r="B6" s="1" t="s">
        <v>3</v>
      </c>
      <c r="C6" s="1" t="s">
        <v>6</v>
      </c>
      <c r="F6" s="22">
        <v>665000</v>
      </c>
      <c r="G6" s="1" t="s">
        <v>8</v>
      </c>
      <c r="H6" s="1" t="s">
        <v>26</v>
      </c>
      <c r="K6" s="27"/>
    </row>
    <row r="7" spans="1:11" ht="17.100000000000001" customHeight="1" x14ac:dyDescent="0.2">
      <c r="B7" s="1" t="s">
        <v>4</v>
      </c>
      <c r="C7" s="1" t="s">
        <v>7</v>
      </c>
      <c r="F7" s="22">
        <v>293300</v>
      </c>
      <c r="K7" s="27"/>
    </row>
    <row r="8" spans="1:11" ht="17.100000000000001" customHeight="1" x14ac:dyDescent="0.2">
      <c r="F8" s="22"/>
      <c r="H8" s="1" t="s">
        <v>38</v>
      </c>
      <c r="I8" s="1" t="s">
        <v>39</v>
      </c>
      <c r="K8" s="27"/>
    </row>
    <row r="9" spans="1:11" ht="17.100000000000001" customHeight="1" x14ac:dyDescent="0.2">
      <c r="F9" s="22"/>
      <c r="H9" s="1" t="s">
        <v>2</v>
      </c>
      <c r="I9" s="1" t="s">
        <v>27</v>
      </c>
      <c r="K9" s="26">
        <v>762000</v>
      </c>
    </row>
    <row r="10" spans="1:11" ht="17.100000000000001" customHeight="1" x14ac:dyDescent="0.2">
      <c r="A10" s="1" t="s">
        <v>8</v>
      </c>
      <c r="B10" s="1" t="s">
        <v>9</v>
      </c>
      <c r="F10" s="22"/>
      <c r="H10" s="1" t="s">
        <v>3</v>
      </c>
      <c r="I10" s="1" t="s">
        <v>28</v>
      </c>
      <c r="K10" s="26">
        <v>906800</v>
      </c>
    </row>
    <row r="11" spans="1:11" ht="17.100000000000001" customHeight="1" x14ac:dyDescent="0.2">
      <c r="B11" s="1" t="s">
        <v>2</v>
      </c>
      <c r="C11" s="1" t="s">
        <v>16</v>
      </c>
      <c r="F11" s="23">
        <v>17400</v>
      </c>
      <c r="K11" s="27"/>
    </row>
    <row r="12" spans="1:11" ht="17.100000000000001" customHeight="1" x14ac:dyDescent="0.2">
      <c r="B12" s="1" t="s">
        <v>3</v>
      </c>
      <c r="C12" s="1" t="s">
        <v>17</v>
      </c>
      <c r="F12" s="23">
        <v>17100</v>
      </c>
      <c r="H12" s="1" t="s">
        <v>40</v>
      </c>
      <c r="I12" s="1" t="s">
        <v>41</v>
      </c>
      <c r="K12" s="27"/>
    </row>
    <row r="13" spans="1:11" ht="17.100000000000001" customHeight="1" x14ac:dyDescent="0.2">
      <c r="B13" s="1" t="s">
        <v>4</v>
      </c>
      <c r="C13" s="1" t="s">
        <v>18</v>
      </c>
      <c r="F13" s="23">
        <v>13900</v>
      </c>
      <c r="H13" s="1" t="s">
        <v>2</v>
      </c>
      <c r="I13" s="1" t="s">
        <v>30</v>
      </c>
      <c r="K13" s="26">
        <v>151000</v>
      </c>
    </row>
    <row r="14" spans="1:11" ht="17.100000000000001" customHeight="1" x14ac:dyDescent="0.2">
      <c r="B14" s="1" t="s">
        <v>10</v>
      </c>
      <c r="C14" s="1" t="s">
        <v>19</v>
      </c>
      <c r="F14" s="23">
        <v>50200</v>
      </c>
      <c r="H14" s="4" t="s">
        <v>3</v>
      </c>
      <c r="I14" s="4" t="s">
        <v>29</v>
      </c>
      <c r="K14" s="28">
        <v>140650</v>
      </c>
    </row>
    <row r="15" spans="1:11" ht="17.100000000000001" customHeight="1" x14ac:dyDescent="0.2">
      <c r="B15" s="1" t="s">
        <v>11</v>
      </c>
      <c r="C15" s="1" t="s">
        <v>20</v>
      </c>
      <c r="F15" s="23">
        <v>59100</v>
      </c>
      <c r="K15" s="27"/>
    </row>
    <row r="16" spans="1:11" ht="17.100000000000001" customHeight="1" x14ac:dyDescent="0.2">
      <c r="B16" s="1" t="s">
        <v>12</v>
      </c>
      <c r="C16" s="1" t="s">
        <v>21</v>
      </c>
      <c r="F16" s="23">
        <v>97700</v>
      </c>
      <c r="K16" s="27"/>
    </row>
    <row r="17" spans="1:11" ht="17.100000000000001" customHeight="1" x14ac:dyDescent="0.2">
      <c r="B17" s="1" t="s">
        <v>13</v>
      </c>
      <c r="C17" s="1" t="s">
        <v>22</v>
      </c>
      <c r="F17" s="23">
        <v>119000</v>
      </c>
      <c r="K17" s="27"/>
    </row>
    <row r="18" spans="1:11" ht="17.100000000000001" customHeight="1" x14ac:dyDescent="0.2">
      <c r="B18" s="1" t="s">
        <v>14</v>
      </c>
      <c r="C18" s="1" t="s">
        <v>23</v>
      </c>
      <c r="F18" s="23">
        <v>18900</v>
      </c>
      <c r="K18" s="27"/>
    </row>
    <row r="19" spans="1:11" ht="17.100000000000001" customHeight="1" x14ac:dyDescent="0.2">
      <c r="B19" s="5" t="s">
        <v>15</v>
      </c>
      <c r="C19" s="5" t="s">
        <v>24</v>
      </c>
      <c r="F19" s="24">
        <v>162400</v>
      </c>
      <c r="G19" s="6"/>
      <c r="K19" s="27"/>
    </row>
    <row r="20" spans="1:11" ht="17.100000000000001" customHeight="1" x14ac:dyDescent="0.2">
      <c r="F20" s="22"/>
      <c r="K20" s="27"/>
    </row>
    <row r="21" spans="1:11" ht="17.100000000000001" customHeight="1" thickBot="1" x14ac:dyDescent="0.25">
      <c r="B21" s="7"/>
      <c r="C21" s="7"/>
      <c r="F21" s="25">
        <f>SUM(F11:F19,F5:F7)</f>
        <v>2884000</v>
      </c>
      <c r="G21" s="8"/>
      <c r="K21" s="29">
        <f>SUM(K4,K9:K14)</f>
        <v>2884000</v>
      </c>
    </row>
    <row r="22" spans="1:11" ht="13.5" thickTop="1" x14ac:dyDescent="0.2"/>
    <row r="24" spans="1:11" x14ac:dyDescent="0.2">
      <c r="A24" s="9" t="s">
        <v>52</v>
      </c>
    </row>
    <row r="25" spans="1:11" x14ac:dyDescent="0.2">
      <c r="K25" s="10"/>
    </row>
    <row r="26" spans="1:11" x14ac:dyDescent="0.2">
      <c r="A26" s="11" t="s">
        <v>54</v>
      </c>
      <c r="B26" s="12"/>
      <c r="C26" s="12"/>
      <c r="D26" s="12"/>
      <c r="E26" s="13"/>
      <c r="F26" s="30">
        <v>98550</v>
      </c>
      <c r="K26" s="10"/>
    </row>
    <row r="27" spans="1:11" x14ac:dyDescent="0.2">
      <c r="A27" s="6" t="s">
        <v>55</v>
      </c>
      <c r="B27" s="5"/>
      <c r="C27" s="5"/>
      <c r="D27" s="5"/>
      <c r="E27" s="14"/>
      <c r="F27" s="31">
        <v>836800</v>
      </c>
      <c r="K27" s="10"/>
    </row>
    <row r="28" spans="1:11" x14ac:dyDescent="0.2">
      <c r="A28" s="6" t="s">
        <v>56</v>
      </c>
      <c r="B28" s="5"/>
      <c r="C28" s="5"/>
      <c r="D28" s="5"/>
      <c r="E28" s="14"/>
      <c r="F28" s="31">
        <v>77320</v>
      </c>
      <c r="K28" s="10"/>
    </row>
    <row r="29" spans="1:11" x14ac:dyDescent="0.2">
      <c r="A29" s="6" t="s">
        <v>57</v>
      </c>
      <c r="B29" s="5"/>
      <c r="C29" s="5"/>
      <c r="D29" s="5"/>
      <c r="E29" s="14"/>
      <c r="F29" s="31">
        <v>72300</v>
      </c>
      <c r="K29" s="10"/>
    </row>
    <row r="30" spans="1:11" x14ac:dyDescent="0.2">
      <c r="K30" s="10"/>
    </row>
    <row r="31" spans="1:11" x14ac:dyDescent="0.2">
      <c r="K31" s="10"/>
    </row>
    <row r="32" spans="1:11" x14ac:dyDescent="0.2">
      <c r="A32" s="1" t="s">
        <v>2</v>
      </c>
      <c r="B32" s="1" t="s">
        <v>33</v>
      </c>
      <c r="E32" s="5" t="s">
        <v>58</v>
      </c>
      <c r="F32" s="5"/>
      <c r="I32" s="15"/>
    </row>
    <row r="33" spans="1:9" x14ac:dyDescent="0.2">
      <c r="E33" s="1" t="s">
        <v>34</v>
      </c>
    </row>
    <row r="35" spans="1:9" x14ac:dyDescent="0.2">
      <c r="A35" s="1" t="s">
        <v>3</v>
      </c>
      <c r="B35" s="1" t="s">
        <v>35</v>
      </c>
      <c r="E35" s="5"/>
      <c r="F35" s="5"/>
      <c r="I35" s="15"/>
    </row>
    <row r="38" spans="1:9" x14ac:dyDescent="0.2">
      <c r="A38" s="1" t="s">
        <v>36</v>
      </c>
      <c r="B38" s="1" t="s">
        <v>37</v>
      </c>
      <c r="E38" s="5"/>
      <c r="F38" s="5"/>
      <c r="I38" s="15"/>
    </row>
    <row r="41" spans="1:9" x14ac:dyDescent="0.2">
      <c r="A41" s="1" t="s">
        <v>10</v>
      </c>
      <c r="B41" s="1" t="s">
        <v>42</v>
      </c>
      <c r="E41" s="5"/>
      <c r="F41" s="5"/>
      <c r="I41" s="15"/>
    </row>
    <row r="44" spans="1:9" x14ac:dyDescent="0.2">
      <c r="A44" s="1" t="s">
        <v>43</v>
      </c>
      <c r="B44" s="1" t="s">
        <v>44</v>
      </c>
      <c r="E44" s="5"/>
      <c r="F44" s="5"/>
      <c r="I44" s="15"/>
    </row>
    <row r="47" spans="1:9" x14ac:dyDescent="0.2">
      <c r="A47" s="1" t="s">
        <v>12</v>
      </c>
      <c r="B47" s="1" t="s">
        <v>45</v>
      </c>
      <c r="E47" s="5"/>
      <c r="F47" s="5"/>
      <c r="I47" s="15"/>
    </row>
    <row r="50" spans="1:10" x14ac:dyDescent="0.2">
      <c r="A50" s="1" t="s">
        <v>13</v>
      </c>
      <c r="B50" s="1" t="s">
        <v>46</v>
      </c>
      <c r="E50" s="5"/>
      <c r="F50" s="5"/>
      <c r="G50" s="4"/>
      <c r="H50" s="4"/>
      <c r="J50" s="15"/>
    </row>
    <row r="53" spans="1:10" x14ac:dyDescent="0.2">
      <c r="A53" s="1" t="s">
        <v>14</v>
      </c>
      <c r="B53" s="1" t="s">
        <v>47</v>
      </c>
      <c r="E53" s="5"/>
      <c r="F53" s="5"/>
      <c r="I53" s="15"/>
    </row>
    <row r="56" spans="1:10" x14ac:dyDescent="0.2">
      <c r="A56" s="1" t="s">
        <v>15</v>
      </c>
      <c r="B56" s="1" t="s">
        <v>48</v>
      </c>
      <c r="E56" s="5"/>
      <c r="F56" s="5"/>
      <c r="I56" s="15"/>
    </row>
    <row r="59" spans="1:10" x14ac:dyDescent="0.2">
      <c r="A59" s="1" t="s">
        <v>49</v>
      </c>
      <c r="B59" s="1" t="s">
        <v>50</v>
      </c>
      <c r="E59" s="5"/>
      <c r="F59" s="5"/>
      <c r="I59" s="15"/>
    </row>
  </sheetData>
  <mergeCells count="1">
    <mergeCell ref="A1:K1"/>
  </mergeCells>
  <pageMargins left="0.70866141732283472" right="0.70866141732283472" top="0.78740157480314965" bottom="0.78740157480314965" header="0.31496062992125984" footer="0.31496062992125984"/>
  <pageSetup paperSize="9" scale="70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Ergebnisse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Yi-Pei</dc:creator>
  <cp:lastModifiedBy>Tom Gorontzy</cp:lastModifiedBy>
  <dcterms:created xsi:type="dcterms:W3CDTF">2014-04-14T10:24:08Z</dcterms:created>
  <dcterms:modified xsi:type="dcterms:W3CDTF">2026-01-05T12:27:34Z</dcterms:modified>
</cp:coreProperties>
</file>