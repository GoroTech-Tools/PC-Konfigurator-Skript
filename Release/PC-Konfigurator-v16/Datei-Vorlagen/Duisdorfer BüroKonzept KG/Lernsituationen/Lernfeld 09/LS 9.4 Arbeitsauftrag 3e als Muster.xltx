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O:\_Team\_Kaufleute\Duisdorfer BüroKonzept KG\BüroMaterial - Ausgangsmaterial Teil 2\LF 9 und 10 - KLR-Controlling-Revision\Lernsituation 9.4\"/>
    </mc:Choice>
  </mc:AlternateContent>
  <bookViews>
    <workbookView xWindow="0" yWindow="0" windowWidth="25200" windowHeight="12435" activeTab="1"/>
  </bookViews>
  <sheets>
    <sheet name="Arbeitsauftrag 3e" sheetId="1" r:id="rId1"/>
    <sheet name="Arbeitsauftrag 3e (Auswertung)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2" l="1"/>
  <c r="B13" i="2"/>
  <c r="B12" i="2"/>
  <c r="B10" i="2"/>
  <c r="B9" i="2"/>
  <c r="B8" i="2"/>
  <c r="B6" i="2"/>
  <c r="B5" i="2"/>
  <c r="B4" i="2"/>
  <c r="B3" i="2"/>
  <c r="D14" i="2"/>
  <c r="O41" i="1"/>
  <c r="G41" i="1"/>
  <c r="D13" i="2"/>
  <c r="D12" i="2"/>
  <c r="D10" i="2"/>
  <c r="E10" i="2" s="1"/>
  <c r="D9" i="2"/>
  <c r="D8" i="2"/>
  <c r="D5" i="2"/>
  <c r="D4" i="2"/>
  <c r="E4" i="2" s="1"/>
  <c r="D3" i="2"/>
  <c r="C14" i="2"/>
  <c r="O20" i="1"/>
  <c r="D6" i="2" s="1"/>
  <c r="G20" i="1"/>
  <c r="C13" i="2"/>
  <c r="C12" i="2"/>
  <c r="C10" i="2"/>
  <c r="C9" i="2"/>
  <c r="C8" i="2"/>
  <c r="C5" i="2"/>
  <c r="C4" i="2"/>
  <c r="C3" i="2"/>
  <c r="E8" i="2" l="1"/>
  <c r="E5" i="2"/>
  <c r="E12" i="2"/>
  <c r="E14" i="2"/>
  <c r="E13" i="2"/>
  <c r="E3" i="2"/>
  <c r="E9" i="2"/>
  <c r="C6" i="2"/>
  <c r="E6" i="2" s="1"/>
</calcChain>
</file>

<file path=xl/sharedStrings.xml><?xml version="1.0" encoding="utf-8"?>
<sst xmlns="http://schemas.openxmlformats.org/spreadsheetml/2006/main" count="104" uniqueCount="58">
  <si>
    <t>Aktiva</t>
  </si>
  <si>
    <t>Passiva</t>
  </si>
  <si>
    <t>I.</t>
  </si>
  <si>
    <t>Anlagevermögen</t>
  </si>
  <si>
    <t>1. Grundstücke und Bauten</t>
  </si>
  <si>
    <t>2. Technische Anlagen und Maschinen</t>
  </si>
  <si>
    <t>3. Betriebs- und Geschäftsausstattung</t>
  </si>
  <si>
    <t>II</t>
  </si>
  <si>
    <t>Umlaufvermögen</t>
  </si>
  <si>
    <t>1. Rohstoffe</t>
  </si>
  <si>
    <t>3. Betriebsstoffe</t>
  </si>
  <si>
    <t>2. Hilfsstoffe</t>
  </si>
  <si>
    <t>4. Unfertige Erzeugnisse</t>
  </si>
  <si>
    <t>5. Fertige Erzeugnisse</t>
  </si>
  <si>
    <t>6. Handelswaren</t>
  </si>
  <si>
    <t>7. Forderungen aus LL</t>
  </si>
  <si>
    <t>8. Kassenbestand</t>
  </si>
  <si>
    <t>9. Bank</t>
  </si>
  <si>
    <t>Eigenkapital</t>
  </si>
  <si>
    <t>II.</t>
  </si>
  <si>
    <t>Fremdkapital</t>
  </si>
  <si>
    <t>A. Langfristiges Fremdkapital</t>
  </si>
  <si>
    <t>1. Hypothekenschulden</t>
  </si>
  <si>
    <t>2. Darlehensschulden</t>
  </si>
  <si>
    <t>B. Kurzfristiges Fremdkapital</t>
  </si>
  <si>
    <t>1. kurzfristige Rückstellungen</t>
  </si>
  <si>
    <t>2. Verbindlichkeiten aus LL</t>
  </si>
  <si>
    <t>Eigenkapital (Gewinn)</t>
  </si>
  <si>
    <t>Umsatzerlöse für eigene Erzeugnisse</t>
  </si>
  <si>
    <t>Umsatzerlöse für Waren</t>
  </si>
  <si>
    <t>Zinsaufwendungen</t>
  </si>
  <si>
    <t>Anlagendeckungsgrad I</t>
  </si>
  <si>
    <t>Eigenkapitalquote</t>
  </si>
  <si>
    <t>Liquidität 1. Grades</t>
  </si>
  <si>
    <t>Liquidität 2. Grades</t>
  </si>
  <si>
    <t>Liquidität 3. Grades</t>
  </si>
  <si>
    <t>Eigenkapitalrentabilität</t>
  </si>
  <si>
    <t>Gesamtkapitalrentabilität</t>
  </si>
  <si>
    <t>Umsatzrentabilität</t>
  </si>
  <si>
    <t>Anlagenintensität</t>
  </si>
  <si>
    <t>Positiv; aufsteigende Tendenz; besser als Branchendurchschnitt und oberhalb des</t>
  </si>
  <si>
    <t>Soll-Wertes der Bank.</t>
  </si>
  <si>
    <t>Positiv, da Soll-Wert der Bank erreicht. Aber entweder absteigende Tendenz und/</t>
  </si>
  <si>
    <t>oder schlechter als der Branchendurchschnitt.</t>
  </si>
  <si>
    <t>Ggf. kritisch, da Soll-Wert der Bank nicht erreicht worden ist und/oder absteigende</t>
  </si>
  <si>
    <t>Tendenz vorliegt und Wert schlechter ist als Branchendurchschnitt.</t>
  </si>
  <si>
    <t>vorletztes
Jahr</t>
  </si>
  <si>
    <t>letztes
Jahr</t>
  </si>
  <si>
    <t>Branchen-
durchschnitt</t>
  </si>
  <si>
    <t>Soll-Werte
der Bank</t>
  </si>
  <si>
    <t>Bilanz der Duisdorfer BüroKonzept KG (vorletztes Jahr)</t>
  </si>
  <si>
    <t>GuV-Werte (vorletztes Jahr)</t>
  </si>
  <si>
    <t>Bilanzkennzahlen (vorletztes Jahr)</t>
  </si>
  <si>
    <t>Bilanz der Duisdorfer BüroKonzept KG (letztes Jahr)</t>
  </si>
  <si>
    <t>GuV-Werte (letztes Jahr)</t>
  </si>
  <si>
    <t>Bilanzkennzahlen (letztes Jahr)</t>
  </si>
  <si>
    <t>Sofern nicht anders gekennzeichnet, sind alle Angaben in EUR.</t>
  </si>
  <si>
    <t>Anlagendeckungsgrad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</si>
</sst>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PT Sans"/>
      <family val="2"/>
      <scheme val="minor"/>
    </font>
    <font>
      <sz val="11"/>
      <color theme="1"/>
      <name val="PT Sans"/>
      <family val="2"/>
      <scheme val="minor"/>
    </font>
    <font>
      <b/>
      <sz val="11"/>
      <color theme="0"/>
      <name val="PT Sans"/>
      <family val="2"/>
      <scheme val="minor"/>
    </font>
    <font>
      <sz val="11"/>
      <color theme="0"/>
      <name val="PT Sans"/>
      <family val="2"/>
      <scheme val="minor"/>
    </font>
    <font>
      <b/>
      <sz val="12"/>
      <color theme="0"/>
      <name val="PT Sans"/>
      <family val="2"/>
      <scheme val="minor"/>
    </font>
    <font>
      <sz val="8"/>
      <color theme="1"/>
      <name val="PT Sans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 diagonalUp="1">
      <left style="thin">
        <color indexed="64"/>
      </left>
      <right/>
      <top/>
      <bottom/>
      <diagonal style="medium">
        <color theme="4"/>
      </diagonal>
    </border>
    <border diagonalUp="1">
      <left/>
      <right/>
      <top/>
      <bottom/>
      <diagonal style="medium">
        <color theme="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theme="4"/>
      </top>
      <bottom/>
      <diagonal/>
    </border>
    <border>
      <left style="medium">
        <color indexed="64"/>
      </left>
      <right/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10" fontId="0" fillId="0" borderId="0" xfId="1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Border="1"/>
    <xf numFmtId="10" fontId="0" fillId="0" borderId="8" xfId="1" applyNumberFormat="1" applyFont="1" applyBorder="1"/>
    <xf numFmtId="10" fontId="0" fillId="0" borderId="8" xfId="0" applyNumberFormat="1" applyBorder="1"/>
    <xf numFmtId="0" fontId="0" fillId="0" borderId="8" xfId="0" applyNumberFormat="1" applyBorder="1"/>
    <xf numFmtId="10" fontId="0" fillId="0" borderId="13" xfId="1" applyNumberFormat="1" applyFont="1" applyBorder="1"/>
    <xf numFmtId="10" fontId="0" fillId="0" borderId="13" xfId="0" applyNumberFormat="1" applyBorder="1"/>
    <xf numFmtId="0" fontId="0" fillId="0" borderId="13" xfId="0" applyNumberFormat="1" applyBorder="1"/>
    <xf numFmtId="10" fontId="0" fillId="0" borderId="14" xfId="0" quotePrefix="1" applyNumberFormat="1" applyBorder="1" applyAlignment="1">
      <alignment horizontal="right"/>
    </xf>
    <xf numFmtId="10" fontId="0" fillId="0" borderId="16" xfId="0" applyNumberFormat="1" applyBorder="1"/>
    <xf numFmtId="10" fontId="0" fillId="0" borderId="18" xfId="1" applyNumberFormat="1" applyFont="1" applyBorder="1"/>
    <xf numFmtId="10" fontId="0" fillId="0" borderId="18" xfId="0" applyNumberFormat="1" applyBorder="1"/>
    <xf numFmtId="0" fontId="0" fillId="0" borderId="18" xfId="0" applyNumberFormat="1" applyBorder="1"/>
    <xf numFmtId="10" fontId="0" fillId="0" borderId="19" xfId="0" applyNumberFormat="1" applyBorder="1"/>
    <xf numFmtId="10" fontId="0" fillId="0" borderId="14" xfId="0" applyNumberFormat="1" applyBorder="1"/>
    <xf numFmtId="10" fontId="0" fillId="0" borderId="0" xfId="1" applyNumberFormat="1" applyFont="1" applyBorder="1"/>
    <xf numFmtId="10" fontId="0" fillId="0" borderId="0" xfId="0" applyNumberFormat="1" applyBorder="1"/>
    <xf numFmtId="0" fontId="0" fillId="0" borderId="0" xfId="0" applyNumberFormat="1" applyBorder="1"/>
    <xf numFmtId="0" fontId="0" fillId="6" borderId="20" xfId="0" applyFill="1" applyBorder="1"/>
    <xf numFmtId="0" fontId="0" fillId="6" borderId="0" xfId="0" applyFill="1" applyBorder="1"/>
    <xf numFmtId="0" fontId="0" fillId="6" borderId="2" xfId="0" applyFill="1" applyBorder="1"/>
    <xf numFmtId="3" fontId="0" fillId="6" borderId="21" xfId="0" applyNumberFormat="1" applyFill="1" applyBorder="1"/>
    <xf numFmtId="3" fontId="0" fillId="6" borderId="0" xfId="0" applyNumberFormat="1" applyFill="1" applyBorder="1"/>
    <xf numFmtId="3" fontId="0" fillId="6" borderId="33" xfId="0" applyNumberFormat="1" applyFill="1" applyBorder="1"/>
    <xf numFmtId="3" fontId="0" fillId="6" borderId="5" xfId="0" applyNumberFormat="1" applyFill="1" applyBorder="1"/>
    <xf numFmtId="0" fontId="0" fillId="6" borderId="4" xfId="0" applyFill="1" applyBorder="1"/>
    <xf numFmtId="0" fontId="0" fillId="6" borderId="34" xfId="0" applyFill="1" applyBorder="1"/>
    <xf numFmtId="0" fontId="0" fillId="6" borderId="35" xfId="0" applyFill="1" applyBorder="1"/>
    <xf numFmtId="3" fontId="0" fillId="6" borderId="35" xfId="0" applyNumberFormat="1" applyFill="1" applyBorder="1"/>
    <xf numFmtId="3" fontId="0" fillId="6" borderId="36" xfId="0" applyNumberFormat="1" applyFill="1" applyBorder="1"/>
    <xf numFmtId="0" fontId="0" fillId="6" borderId="22" xfId="0" applyFill="1" applyBorder="1"/>
    <xf numFmtId="0" fontId="0" fillId="6" borderId="23" xfId="0" applyFill="1" applyBorder="1"/>
    <xf numFmtId="3" fontId="0" fillId="6" borderId="24" xfId="0" applyNumberFormat="1" applyFill="1" applyBorder="1"/>
    <xf numFmtId="0" fontId="0" fillId="6" borderId="28" xfId="0" applyFill="1" applyBorder="1"/>
    <xf numFmtId="0" fontId="0" fillId="6" borderId="29" xfId="0" applyFill="1" applyBorder="1"/>
    <xf numFmtId="10" fontId="0" fillId="6" borderId="30" xfId="1" applyNumberFormat="1" applyFont="1" applyFill="1" applyBorder="1"/>
    <xf numFmtId="10" fontId="0" fillId="6" borderId="21" xfId="1" applyNumberFormat="1" applyFont="1" applyFill="1" applyBorder="1"/>
    <xf numFmtId="10" fontId="0" fillId="6" borderId="24" xfId="1" applyNumberFormat="1" applyFont="1" applyFill="1" applyBorder="1"/>
    <xf numFmtId="0" fontId="3" fillId="7" borderId="1" xfId="0" applyFont="1" applyFill="1" applyBorder="1"/>
    <xf numFmtId="0" fontId="3" fillId="7" borderId="3" xfId="0" applyFont="1" applyFill="1" applyBorder="1"/>
    <xf numFmtId="0" fontId="2" fillId="7" borderId="31" xfId="0" applyFont="1" applyFill="1" applyBorder="1" applyAlignment="1">
      <alignment horizontal="left" vertical="center"/>
    </xf>
    <xf numFmtId="0" fontId="2" fillId="7" borderId="32" xfId="0" applyFont="1" applyFill="1" applyBorder="1" applyAlignment="1">
      <alignment horizontal="right" vertical="center"/>
    </xf>
    <xf numFmtId="0" fontId="2" fillId="7" borderId="31" xfId="0" applyFont="1" applyFill="1" applyBorder="1" applyAlignment="1">
      <alignment horizontal="left"/>
    </xf>
    <xf numFmtId="0" fontId="3" fillId="5" borderId="9" xfId="0" applyFont="1" applyFill="1" applyBorder="1"/>
    <xf numFmtId="0" fontId="2" fillId="5" borderId="10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/>
    <xf numFmtId="0" fontId="3" fillId="5" borderId="15" xfId="0" applyFont="1" applyFill="1" applyBorder="1"/>
    <xf numFmtId="0" fontId="3" fillId="5" borderId="17" xfId="0" applyFont="1" applyFill="1" applyBorder="1"/>
    <xf numFmtId="0" fontId="0" fillId="0" borderId="0" xfId="0" applyFill="1"/>
    <xf numFmtId="0" fontId="5" fillId="0" borderId="0" xfId="0" applyFont="1"/>
    <xf numFmtId="0" fontId="2" fillId="5" borderId="25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27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4" fillId="5" borderId="25" xfId="0" applyFont="1" applyFill="1" applyBorder="1" applyAlignment="1">
      <alignment horizontal="center" vertical="center"/>
    </xf>
    <xf numFmtId="0" fontId="4" fillId="5" borderId="26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3"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9526</xdr:colOff>
      <xdr:row>15</xdr:row>
      <xdr:rowOff>9526</xdr:rowOff>
    </xdr:from>
    <xdr:to>
      <xdr:col>14</xdr:col>
      <xdr:colOff>9526</xdr:colOff>
      <xdr:row>34</xdr:row>
      <xdr:rowOff>19050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27D79AFA-2ACA-4BBA-A766-595B3D659A2F}"/>
            </a:ext>
          </a:extLst>
        </xdr:cNvPr>
        <xdr:cNvSpPr txBox="1"/>
      </xdr:nvSpPr>
      <xdr:spPr>
        <a:xfrm>
          <a:off x="7305676" y="3124201"/>
          <a:ext cx="5029200" cy="362902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accent2"/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Tx/>
            <a:buNone/>
          </a:pPr>
          <a:r>
            <a:rPr lang="de-DE" sz="1100" b="1"/>
            <a:t>Fazit: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de-DE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Design_INN-tegrativ-PT Sans">
  <a:themeElements>
    <a:clrScheme name="INN-tegrativ">
      <a:dk1>
        <a:srgbClr val="2C2A29"/>
      </a:dk1>
      <a:lt1>
        <a:sysClr val="window" lastClr="FFFFFF"/>
      </a:lt1>
      <a:dk2>
        <a:srgbClr val="212121"/>
      </a:dk2>
      <a:lt2>
        <a:srgbClr val="F6F7F7"/>
      </a:lt2>
      <a:accent1>
        <a:srgbClr val="00A499"/>
      </a:accent1>
      <a:accent2>
        <a:srgbClr val="FF8200"/>
      </a:accent2>
      <a:accent3>
        <a:srgbClr val="003DA5"/>
      </a:accent3>
      <a:accent4>
        <a:srgbClr val="97D700"/>
      </a:accent4>
      <a:accent5>
        <a:srgbClr val="890C58"/>
      </a:accent5>
      <a:accent6>
        <a:srgbClr val="F1C400"/>
      </a:accent6>
      <a:hlink>
        <a:srgbClr val="2C2A29"/>
      </a:hlink>
      <a:folHlink>
        <a:srgbClr val="989390"/>
      </a:folHlink>
    </a:clrScheme>
    <a:fontScheme name="INN-tegrativ">
      <a:majorFont>
        <a:latin typeface="PT Sans"/>
        <a:ea typeface=""/>
        <a:cs typeface=""/>
      </a:majorFont>
      <a:minorFont>
        <a:latin typeface="PT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Y42"/>
  <sheetViews>
    <sheetView topLeftCell="A4" workbookViewId="0">
      <selection activeCell="V28" sqref="V28"/>
    </sheetView>
  </sheetViews>
  <sheetFormatPr baseColWidth="10" defaultRowHeight="15" x14ac:dyDescent="0.25"/>
  <cols>
    <col min="1" max="1" width="3.25" customWidth="1"/>
    <col min="2" max="2" width="3.625" customWidth="1"/>
    <col min="9" max="10" width="3.625" customWidth="1"/>
    <col min="16" max="16" width="3.625" customWidth="1"/>
    <col min="21" max="21" width="3.625" customWidth="1"/>
  </cols>
  <sheetData>
    <row r="1" spans="2:25" ht="15.75" thickBot="1" x14ac:dyDescent="0.3"/>
    <row r="2" spans="2:25" ht="20.100000000000001" customHeight="1" thickBot="1" x14ac:dyDescent="0.3">
      <c r="B2" s="60" t="s">
        <v>50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2"/>
    </row>
    <row r="3" spans="2:25" ht="20.100000000000001" customHeight="1" thickBot="1" x14ac:dyDescent="0.3">
      <c r="B3" s="46" t="s">
        <v>0</v>
      </c>
      <c r="C3" s="42"/>
      <c r="D3" s="42"/>
      <c r="E3" s="42"/>
      <c r="F3" s="42"/>
      <c r="G3" s="42"/>
      <c r="H3" s="42"/>
      <c r="I3" s="43"/>
      <c r="J3" s="42"/>
      <c r="K3" s="42"/>
      <c r="L3" s="42"/>
      <c r="M3" s="42"/>
      <c r="N3" s="42"/>
      <c r="O3" s="45" t="s">
        <v>1</v>
      </c>
      <c r="Q3" s="55" t="s">
        <v>51</v>
      </c>
      <c r="R3" s="56"/>
      <c r="S3" s="56"/>
      <c r="T3" s="57"/>
      <c r="V3" s="55" t="s">
        <v>52</v>
      </c>
      <c r="W3" s="56"/>
      <c r="X3" s="56"/>
      <c r="Y3" s="57"/>
    </row>
    <row r="4" spans="2:25" x14ac:dyDescent="0.25">
      <c r="B4" s="22" t="s">
        <v>2</v>
      </c>
      <c r="C4" s="23" t="s">
        <v>3</v>
      </c>
      <c r="D4" s="23"/>
      <c r="E4" s="23"/>
      <c r="F4" s="23"/>
      <c r="G4" s="23"/>
      <c r="H4" s="23"/>
      <c r="I4" s="24"/>
      <c r="J4" s="23" t="s">
        <v>2</v>
      </c>
      <c r="K4" s="23" t="s">
        <v>18</v>
      </c>
      <c r="L4" s="23"/>
      <c r="M4" s="23"/>
      <c r="N4" s="23"/>
      <c r="O4" s="25">
        <v>825000</v>
      </c>
      <c r="Q4" s="22" t="s">
        <v>27</v>
      </c>
      <c r="R4" s="23"/>
      <c r="S4" s="23"/>
      <c r="T4" s="25">
        <v>87200</v>
      </c>
      <c r="V4" s="37" t="s">
        <v>39</v>
      </c>
      <c r="W4" s="38"/>
      <c r="X4" s="38"/>
      <c r="Y4" s="39"/>
    </row>
    <row r="5" spans="2:25" x14ac:dyDescent="0.25">
      <c r="B5" s="22"/>
      <c r="C5" s="23" t="s">
        <v>4</v>
      </c>
      <c r="D5" s="23"/>
      <c r="E5" s="23"/>
      <c r="F5" s="23"/>
      <c r="G5" s="26">
        <v>1370000</v>
      </c>
      <c r="H5" s="23"/>
      <c r="I5" s="24"/>
      <c r="J5" s="23"/>
      <c r="K5" s="23"/>
      <c r="L5" s="23"/>
      <c r="M5" s="23"/>
      <c r="N5" s="23"/>
      <c r="O5" s="25"/>
      <c r="Q5" s="22" t="s">
        <v>28</v>
      </c>
      <c r="R5" s="23"/>
      <c r="S5" s="23"/>
      <c r="T5" s="25">
        <v>811700</v>
      </c>
      <c r="V5" s="22" t="s">
        <v>31</v>
      </c>
      <c r="W5" s="23"/>
      <c r="X5" s="23"/>
      <c r="Y5" s="40"/>
    </row>
    <row r="6" spans="2:25" x14ac:dyDescent="0.25">
      <c r="B6" s="22"/>
      <c r="C6" s="23" t="s">
        <v>5</v>
      </c>
      <c r="D6" s="23"/>
      <c r="E6" s="23"/>
      <c r="F6" s="23"/>
      <c r="G6" s="26">
        <v>595000</v>
      </c>
      <c r="H6" s="23"/>
      <c r="I6" s="24"/>
      <c r="J6" s="23" t="s">
        <v>19</v>
      </c>
      <c r="K6" s="23" t="s">
        <v>20</v>
      </c>
      <c r="L6" s="23"/>
      <c r="M6" s="23"/>
      <c r="N6" s="23"/>
      <c r="O6" s="25"/>
      <c r="Q6" s="22" t="s">
        <v>29</v>
      </c>
      <c r="R6" s="23"/>
      <c r="S6" s="23"/>
      <c r="T6" s="25">
        <v>66300</v>
      </c>
      <c r="V6" s="22" t="s">
        <v>57</v>
      </c>
      <c r="W6" s="23"/>
      <c r="X6" s="23"/>
      <c r="Y6" s="40"/>
    </row>
    <row r="7" spans="2:25" ht="15.75" thickBot="1" x14ac:dyDescent="0.3">
      <c r="B7" s="22"/>
      <c r="C7" s="23" t="s">
        <v>6</v>
      </c>
      <c r="D7" s="23"/>
      <c r="E7" s="23"/>
      <c r="F7" s="23"/>
      <c r="G7" s="26">
        <v>277500</v>
      </c>
      <c r="H7" s="23"/>
      <c r="I7" s="24"/>
      <c r="J7" s="23"/>
      <c r="K7" s="23"/>
      <c r="L7" s="23"/>
      <c r="M7" s="23"/>
      <c r="N7" s="23"/>
      <c r="O7" s="25"/>
      <c r="Q7" s="34" t="s">
        <v>30</v>
      </c>
      <c r="R7" s="35"/>
      <c r="S7" s="35"/>
      <c r="T7" s="36">
        <v>77700</v>
      </c>
      <c r="V7" s="22" t="s">
        <v>32</v>
      </c>
      <c r="W7" s="23"/>
      <c r="X7" s="23"/>
      <c r="Y7" s="40"/>
    </row>
    <row r="8" spans="2:25" x14ac:dyDescent="0.25">
      <c r="B8" s="22"/>
      <c r="C8" s="23"/>
      <c r="D8" s="23"/>
      <c r="E8" s="23"/>
      <c r="F8" s="23"/>
      <c r="G8" s="26"/>
      <c r="H8" s="23"/>
      <c r="I8" s="24"/>
      <c r="J8" s="23"/>
      <c r="K8" s="23" t="s">
        <v>21</v>
      </c>
      <c r="L8" s="23"/>
      <c r="M8" s="23"/>
      <c r="N8" s="23"/>
      <c r="O8" s="25"/>
      <c r="Q8" s="54" t="s">
        <v>56</v>
      </c>
      <c r="V8" s="22"/>
      <c r="W8" s="23"/>
      <c r="X8" s="23"/>
      <c r="Y8" s="40"/>
    </row>
    <row r="9" spans="2:25" x14ac:dyDescent="0.25">
      <c r="B9" s="22" t="s">
        <v>7</v>
      </c>
      <c r="C9" s="23" t="s">
        <v>8</v>
      </c>
      <c r="D9" s="23"/>
      <c r="E9" s="23"/>
      <c r="F9" s="23"/>
      <c r="G9" s="26"/>
      <c r="H9" s="23"/>
      <c r="I9" s="24"/>
      <c r="J9" s="23"/>
      <c r="K9" s="23" t="s">
        <v>22</v>
      </c>
      <c r="L9" s="23"/>
      <c r="M9" s="23"/>
      <c r="N9" s="23"/>
      <c r="O9" s="25">
        <v>817500</v>
      </c>
      <c r="V9" s="22" t="s">
        <v>33</v>
      </c>
      <c r="W9" s="23"/>
      <c r="X9" s="23"/>
      <c r="Y9" s="40"/>
    </row>
    <row r="10" spans="2:25" x14ac:dyDescent="0.25">
      <c r="B10" s="22"/>
      <c r="C10" s="23" t="s">
        <v>9</v>
      </c>
      <c r="D10" s="23"/>
      <c r="E10" s="23"/>
      <c r="F10" s="23"/>
      <c r="G10" s="26">
        <v>38700</v>
      </c>
      <c r="H10" s="23"/>
      <c r="I10" s="24"/>
      <c r="J10" s="23"/>
      <c r="K10" s="23" t="s">
        <v>23</v>
      </c>
      <c r="L10" s="23"/>
      <c r="M10" s="23"/>
      <c r="N10" s="23"/>
      <c r="O10" s="25">
        <v>920000</v>
      </c>
      <c r="V10" s="22" t="s">
        <v>34</v>
      </c>
      <c r="W10" s="23"/>
      <c r="X10" s="23"/>
      <c r="Y10" s="40"/>
    </row>
    <row r="11" spans="2:25" x14ac:dyDescent="0.25">
      <c r="B11" s="22"/>
      <c r="C11" s="23" t="s">
        <v>11</v>
      </c>
      <c r="D11" s="23"/>
      <c r="E11" s="23"/>
      <c r="F11" s="23"/>
      <c r="G11" s="26">
        <v>16400</v>
      </c>
      <c r="H11" s="23"/>
      <c r="I11" s="24"/>
      <c r="J11" s="23"/>
      <c r="K11" s="23"/>
      <c r="L11" s="23"/>
      <c r="M11" s="23"/>
      <c r="N11" s="23"/>
      <c r="O11" s="25"/>
      <c r="V11" s="22" t="s">
        <v>35</v>
      </c>
      <c r="W11" s="23"/>
      <c r="X11" s="23"/>
      <c r="Y11" s="40"/>
    </row>
    <row r="12" spans="2:25" x14ac:dyDescent="0.25">
      <c r="B12" s="22"/>
      <c r="C12" s="23" t="s">
        <v>10</v>
      </c>
      <c r="D12" s="23"/>
      <c r="E12" s="23"/>
      <c r="F12" s="23"/>
      <c r="G12" s="26">
        <v>10200</v>
      </c>
      <c r="H12" s="23"/>
      <c r="I12" s="24"/>
      <c r="J12" s="23"/>
      <c r="K12" s="23" t="s">
        <v>24</v>
      </c>
      <c r="L12" s="23"/>
      <c r="M12" s="23"/>
      <c r="N12" s="23"/>
      <c r="O12" s="25"/>
      <c r="V12" s="22"/>
      <c r="W12" s="23"/>
      <c r="X12" s="23"/>
      <c r="Y12" s="40"/>
    </row>
    <row r="13" spans="2:25" x14ac:dyDescent="0.25">
      <c r="B13" s="22"/>
      <c r="C13" s="23" t="s">
        <v>12</v>
      </c>
      <c r="D13" s="23"/>
      <c r="E13" s="23"/>
      <c r="F13" s="23"/>
      <c r="G13" s="26">
        <v>66300</v>
      </c>
      <c r="H13" s="23"/>
      <c r="I13" s="24"/>
      <c r="J13" s="23"/>
      <c r="K13" s="23" t="s">
        <v>25</v>
      </c>
      <c r="L13" s="23"/>
      <c r="M13" s="23"/>
      <c r="N13" s="23"/>
      <c r="O13" s="25">
        <v>147800</v>
      </c>
      <c r="V13" s="22" t="s">
        <v>36</v>
      </c>
      <c r="W13" s="23"/>
      <c r="X13" s="23"/>
      <c r="Y13" s="40"/>
    </row>
    <row r="14" spans="2:25" ht="15.75" thickBot="1" x14ac:dyDescent="0.3">
      <c r="B14" s="22"/>
      <c r="C14" s="23" t="s">
        <v>13</v>
      </c>
      <c r="D14" s="23"/>
      <c r="E14" s="23"/>
      <c r="F14" s="23"/>
      <c r="G14" s="26">
        <v>98700</v>
      </c>
      <c r="H14" s="23"/>
      <c r="I14" s="24"/>
      <c r="J14" s="23"/>
      <c r="K14" s="23" t="s">
        <v>26</v>
      </c>
      <c r="L14" s="23"/>
      <c r="M14" s="23"/>
      <c r="N14" s="23"/>
      <c r="O14" s="25">
        <v>146200</v>
      </c>
      <c r="V14" s="22" t="s">
        <v>37</v>
      </c>
      <c r="W14" s="23"/>
      <c r="X14" s="23"/>
      <c r="Y14" s="40"/>
    </row>
    <row r="15" spans="2:25" ht="15.75" thickBot="1" x14ac:dyDescent="0.3">
      <c r="B15" s="22"/>
      <c r="C15" s="23" t="s">
        <v>14</v>
      </c>
      <c r="D15" s="23"/>
      <c r="E15" s="23"/>
      <c r="F15" s="23"/>
      <c r="G15" s="26">
        <v>104200</v>
      </c>
      <c r="H15" s="23"/>
      <c r="I15" s="58"/>
      <c r="J15" s="59"/>
      <c r="K15" s="59"/>
      <c r="L15" s="59"/>
      <c r="M15" s="59"/>
      <c r="N15" s="59"/>
      <c r="O15" s="27"/>
      <c r="V15" s="34" t="s">
        <v>38</v>
      </c>
      <c r="W15" s="35"/>
      <c r="X15" s="35"/>
      <c r="Y15" s="41"/>
    </row>
    <row r="16" spans="2:25" x14ac:dyDescent="0.25">
      <c r="B16" s="22"/>
      <c r="C16" s="23" t="s">
        <v>15</v>
      </c>
      <c r="D16" s="23"/>
      <c r="E16" s="23"/>
      <c r="F16" s="23"/>
      <c r="G16" s="26">
        <v>103600</v>
      </c>
      <c r="H16" s="23"/>
      <c r="I16" s="58"/>
      <c r="J16" s="59"/>
      <c r="K16" s="59"/>
      <c r="L16" s="59"/>
      <c r="M16" s="59"/>
      <c r="N16" s="59"/>
      <c r="O16" s="25"/>
    </row>
    <row r="17" spans="2:25" x14ac:dyDescent="0.25">
      <c r="B17" s="22"/>
      <c r="C17" s="23" t="s">
        <v>16</v>
      </c>
      <c r="D17" s="23"/>
      <c r="E17" s="23"/>
      <c r="F17" s="23"/>
      <c r="G17" s="26">
        <v>20100</v>
      </c>
      <c r="H17" s="23"/>
      <c r="I17" s="58"/>
      <c r="J17" s="59"/>
      <c r="K17" s="59"/>
      <c r="L17" s="59"/>
      <c r="M17" s="59"/>
      <c r="N17" s="59"/>
      <c r="O17" s="25"/>
    </row>
    <row r="18" spans="2:25" ht="15.75" thickBot="1" x14ac:dyDescent="0.3">
      <c r="B18" s="22"/>
      <c r="C18" s="23" t="s">
        <v>17</v>
      </c>
      <c r="D18" s="23"/>
      <c r="E18" s="23"/>
      <c r="F18" s="23"/>
      <c r="G18" s="28">
        <v>155800</v>
      </c>
      <c r="H18" s="29"/>
      <c r="I18" s="58"/>
      <c r="J18" s="59"/>
      <c r="K18" s="59"/>
      <c r="L18" s="59"/>
      <c r="M18" s="59"/>
      <c r="N18" s="59"/>
      <c r="O18" s="25"/>
    </row>
    <row r="19" spans="2:25" ht="15.75" thickBot="1" x14ac:dyDescent="0.3">
      <c r="B19" s="22"/>
      <c r="C19" s="23"/>
      <c r="D19" s="23"/>
      <c r="E19" s="23"/>
      <c r="F19" s="23"/>
      <c r="G19" s="26"/>
      <c r="H19" s="23"/>
      <c r="I19" s="23"/>
      <c r="J19" s="23"/>
      <c r="K19" s="23"/>
      <c r="L19" s="23"/>
      <c r="M19" s="23"/>
      <c r="N19" s="23"/>
      <c r="O19" s="25"/>
    </row>
    <row r="20" spans="2:25" ht="16.5" thickTop="1" thickBot="1" x14ac:dyDescent="0.3">
      <c r="B20" s="30"/>
      <c r="C20" s="31"/>
      <c r="D20" s="31"/>
      <c r="E20" s="31"/>
      <c r="F20" s="31"/>
      <c r="G20" s="32">
        <f>SUM(G5:G18)</f>
        <v>2856500</v>
      </c>
      <c r="H20" s="31"/>
      <c r="I20" s="31"/>
      <c r="J20" s="31"/>
      <c r="K20" s="31"/>
      <c r="L20" s="31"/>
      <c r="M20" s="31"/>
      <c r="N20" s="31"/>
      <c r="O20" s="33">
        <f>SUM(O4:O18)</f>
        <v>2856500</v>
      </c>
    </row>
    <row r="21" spans="2:25" x14ac:dyDescent="0.25">
      <c r="B21" s="54" t="s">
        <v>56</v>
      </c>
    </row>
    <row r="22" spans="2:25" ht="15.75" thickBot="1" x14ac:dyDescent="0.3"/>
    <row r="23" spans="2:25" ht="20.100000000000001" customHeight="1" thickBot="1" x14ac:dyDescent="0.3">
      <c r="B23" s="60" t="s">
        <v>53</v>
      </c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2"/>
    </row>
    <row r="24" spans="2:25" ht="20.100000000000001" customHeight="1" thickBot="1" x14ac:dyDescent="0.3">
      <c r="B24" s="44" t="s">
        <v>0</v>
      </c>
      <c r="C24" s="42"/>
      <c r="D24" s="42"/>
      <c r="E24" s="42"/>
      <c r="F24" s="42"/>
      <c r="G24" s="42"/>
      <c r="H24" s="42"/>
      <c r="I24" s="43"/>
      <c r="J24" s="42"/>
      <c r="K24" s="42"/>
      <c r="L24" s="42"/>
      <c r="M24" s="42"/>
      <c r="N24" s="42"/>
      <c r="O24" s="45" t="s">
        <v>1</v>
      </c>
      <c r="Q24" s="55" t="s">
        <v>54</v>
      </c>
      <c r="R24" s="56"/>
      <c r="S24" s="56"/>
      <c r="T24" s="57"/>
      <c r="V24" s="55" t="s">
        <v>55</v>
      </c>
      <c r="W24" s="56"/>
      <c r="X24" s="56"/>
      <c r="Y24" s="57"/>
    </row>
    <row r="25" spans="2:25" x14ac:dyDescent="0.25">
      <c r="B25" s="22" t="s">
        <v>2</v>
      </c>
      <c r="C25" s="23" t="s">
        <v>3</v>
      </c>
      <c r="D25" s="23"/>
      <c r="E25" s="23"/>
      <c r="F25" s="23"/>
      <c r="G25" s="23"/>
      <c r="H25" s="23"/>
      <c r="I25" s="24"/>
      <c r="J25" s="23" t="s">
        <v>2</v>
      </c>
      <c r="K25" s="23" t="s">
        <v>18</v>
      </c>
      <c r="L25" s="23"/>
      <c r="M25" s="23"/>
      <c r="N25" s="23"/>
      <c r="O25" s="25">
        <v>923550</v>
      </c>
      <c r="Q25" s="22" t="s">
        <v>27</v>
      </c>
      <c r="R25" s="23"/>
      <c r="S25" s="23"/>
      <c r="T25" s="25">
        <v>98550</v>
      </c>
      <c r="V25" s="37" t="s">
        <v>39</v>
      </c>
      <c r="W25" s="38"/>
      <c r="X25" s="38"/>
      <c r="Y25" s="39"/>
    </row>
    <row r="26" spans="2:25" x14ac:dyDescent="0.25">
      <c r="B26" s="22"/>
      <c r="C26" s="23" t="s">
        <v>4</v>
      </c>
      <c r="D26" s="23"/>
      <c r="E26" s="23"/>
      <c r="F26" s="23"/>
      <c r="G26" s="26">
        <v>1370000</v>
      </c>
      <c r="H26" s="23"/>
      <c r="I26" s="24"/>
      <c r="J26" s="23"/>
      <c r="K26" s="23"/>
      <c r="L26" s="23"/>
      <c r="M26" s="23"/>
      <c r="N26" s="23"/>
      <c r="O26" s="25"/>
      <c r="Q26" s="22" t="s">
        <v>28</v>
      </c>
      <c r="R26" s="23"/>
      <c r="S26" s="23"/>
      <c r="T26" s="25">
        <v>836800</v>
      </c>
      <c r="V26" s="22" t="s">
        <v>31</v>
      </c>
      <c r="W26" s="23"/>
      <c r="X26" s="23"/>
      <c r="Y26" s="40"/>
    </row>
    <row r="27" spans="2:25" x14ac:dyDescent="0.25">
      <c r="B27" s="22"/>
      <c r="C27" s="23" t="s">
        <v>5</v>
      </c>
      <c r="D27" s="23"/>
      <c r="E27" s="23"/>
      <c r="F27" s="23"/>
      <c r="G27" s="26">
        <v>665000</v>
      </c>
      <c r="H27" s="23"/>
      <c r="I27" s="24"/>
      <c r="J27" s="23" t="s">
        <v>19</v>
      </c>
      <c r="K27" s="23" t="s">
        <v>20</v>
      </c>
      <c r="L27" s="23"/>
      <c r="M27" s="23"/>
      <c r="N27" s="23"/>
      <c r="O27" s="25"/>
      <c r="Q27" s="22" t="s">
        <v>29</v>
      </c>
      <c r="R27" s="23"/>
      <c r="S27" s="23"/>
      <c r="T27" s="25">
        <v>77320</v>
      </c>
      <c r="V27" s="22" t="s">
        <v>57</v>
      </c>
      <c r="W27" s="23"/>
      <c r="X27" s="23"/>
      <c r="Y27" s="40"/>
    </row>
    <row r="28" spans="2:25" ht="15.75" thickBot="1" x14ac:dyDescent="0.3">
      <c r="B28" s="22"/>
      <c r="C28" s="23" t="s">
        <v>6</v>
      </c>
      <c r="D28" s="23"/>
      <c r="E28" s="23"/>
      <c r="F28" s="23"/>
      <c r="G28" s="26">
        <v>293300</v>
      </c>
      <c r="H28" s="23"/>
      <c r="I28" s="24"/>
      <c r="J28" s="23"/>
      <c r="K28" s="23"/>
      <c r="L28" s="23"/>
      <c r="M28" s="23"/>
      <c r="N28" s="23"/>
      <c r="O28" s="25"/>
      <c r="Q28" s="34" t="s">
        <v>30</v>
      </c>
      <c r="R28" s="35"/>
      <c r="S28" s="35"/>
      <c r="T28" s="36">
        <v>72300</v>
      </c>
      <c r="V28" s="22" t="s">
        <v>32</v>
      </c>
      <c r="W28" s="23"/>
      <c r="X28" s="23"/>
      <c r="Y28" s="40"/>
    </row>
    <row r="29" spans="2:25" x14ac:dyDescent="0.25">
      <c r="B29" s="22"/>
      <c r="C29" s="23"/>
      <c r="D29" s="23"/>
      <c r="E29" s="23"/>
      <c r="F29" s="23"/>
      <c r="G29" s="26"/>
      <c r="H29" s="23"/>
      <c r="I29" s="24"/>
      <c r="J29" s="23"/>
      <c r="K29" s="23" t="s">
        <v>21</v>
      </c>
      <c r="L29" s="23"/>
      <c r="M29" s="23"/>
      <c r="N29" s="23"/>
      <c r="O29" s="25"/>
      <c r="Q29" s="54" t="s">
        <v>56</v>
      </c>
      <c r="V29" s="22"/>
      <c r="W29" s="23"/>
      <c r="X29" s="23"/>
      <c r="Y29" s="40"/>
    </row>
    <row r="30" spans="2:25" x14ac:dyDescent="0.25">
      <c r="B30" s="22" t="s">
        <v>7</v>
      </c>
      <c r="C30" s="23" t="s">
        <v>8</v>
      </c>
      <c r="D30" s="23"/>
      <c r="E30" s="23"/>
      <c r="F30" s="23"/>
      <c r="G30" s="26"/>
      <c r="H30" s="23"/>
      <c r="I30" s="24"/>
      <c r="J30" s="23"/>
      <c r="K30" s="23" t="s">
        <v>22</v>
      </c>
      <c r="L30" s="23"/>
      <c r="M30" s="23"/>
      <c r="N30" s="23"/>
      <c r="O30" s="25">
        <v>762000</v>
      </c>
      <c r="V30" s="22" t="s">
        <v>33</v>
      </c>
      <c r="W30" s="23"/>
      <c r="X30" s="23"/>
      <c r="Y30" s="40"/>
    </row>
    <row r="31" spans="2:25" x14ac:dyDescent="0.25">
      <c r="B31" s="22"/>
      <c r="C31" s="23" t="s">
        <v>9</v>
      </c>
      <c r="D31" s="23"/>
      <c r="E31" s="23"/>
      <c r="F31" s="23"/>
      <c r="G31" s="26">
        <v>17400</v>
      </c>
      <c r="H31" s="23"/>
      <c r="I31" s="24"/>
      <c r="J31" s="23"/>
      <c r="K31" s="23" t="s">
        <v>23</v>
      </c>
      <c r="L31" s="23"/>
      <c r="M31" s="23"/>
      <c r="N31" s="23"/>
      <c r="O31" s="25">
        <v>906800</v>
      </c>
      <c r="V31" s="22" t="s">
        <v>34</v>
      </c>
      <c r="W31" s="23"/>
      <c r="X31" s="23"/>
      <c r="Y31" s="40"/>
    </row>
    <row r="32" spans="2:25" x14ac:dyDescent="0.25">
      <c r="B32" s="22"/>
      <c r="C32" s="23" t="s">
        <v>11</v>
      </c>
      <c r="D32" s="23"/>
      <c r="E32" s="23"/>
      <c r="F32" s="23"/>
      <c r="G32" s="26">
        <v>17100</v>
      </c>
      <c r="H32" s="23"/>
      <c r="I32" s="24"/>
      <c r="J32" s="23"/>
      <c r="K32" s="23"/>
      <c r="L32" s="23"/>
      <c r="M32" s="23"/>
      <c r="N32" s="23"/>
      <c r="O32" s="25"/>
      <c r="V32" s="22" t="s">
        <v>35</v>
      </c>
      <c r="W32" s="23"/>
      <c r="X32" s="23"/>
      <c r="Y32" s="40"/>
    </row>
    <row r="33" spans="2:25" x14ac:dyDescent="0.25">
      <c r="B33" s="22"/>
      <c r="C33" s="23" t="s">
        <v>10</v>
      </c>
      <c r="D33" s="23"/>
      <c r="E33" s="23"/>
      <c r="F33" s="23"/>
      <c r="G33" s="26">
        <v>13900</v>
      </c>
      <c r="H33" s="23"/>
      <c r="I33" s="24"/>
      <c r="J33" s="23"/>
      <c r="K33" s="23" t="s">
        <v>24</v>
      </c>
      <c r="L33" s="23"/>
      <c r="M33" s="23"/>
      <c r="N33" s="23"/>
      <c r="O33" s="25"/>
      <c r="V33" s="22"/>
      <c r="W33" s="23"/>
      <c r="X33" s="23"/>
      <c r="Y33" s="40"/>
    </row>
    <row r="34" spans="2:25" x14ac:dyDescent="0.25">
      <c r="B34" s="22"/>
      <c r="C34" s="23" t="s">
        <v>12</v>
      </c>
      <c r="D34" s="23"/>
      <c r="E34" s="23"/>
      <c r="F34" s="23"/>
      <c r="G34" s="26">
        <v>50200</v>
      </c>
      <c r="H34" s="23"/>
      <c r="I34" s="24"/>
      <c r="J34" s="23"/>
      <c r="K34" s="23" t="s">
        <v>25</v>
      </c>
      <c r="L34" s="23"/>
      <c r="M34" s="23"/>
      <c r="N34" s="23"/>
      <c r="O34" s="25">
        <v>151000</v>
      </c>
      <c r="V34" s="22" t="s">
        <v>36</v>
      </c>
      <c r="W34" s="23"/>
      <c r="X34" s="23"/>
      <c r="Y34" s="40"/>
    </row>
    <row r="35" spans="2:25" ht="15.75" thickBot="1" x14ac:dyDescent="0.3">
      <c r="B35" s="22"/>
      <c r="C35" s="23" t="s">
        <v>13</v>
      </c>
      <c r="D35" s="23"/>
      <c r="E35" s="23"/>
      <c r="F35" s="23"/>
      <c r="G35" s="26">
        <v>59100</v>
      </c>
      <c r="H35" s="23"/>
      <c r="I35" s="24"/>
      <c r="J35" s="23"/>
      <c r="K35" s="23" t="s">
        <v>26</v>
      </c>
      <c r="L35" s="23"/>
      <c r="M35" s="23"/>
      <c r="N35" s="23"/>
      <c r="O35" s="25">
        <v>140650</v>
      </c>
      <c r="V35" s="22" t="s">
        <v>37</v>
      </c>
      <c r="W35" s="23"/>
      <c r="X35" s="23"/>
      <c r="Y35" s="40"/>
    </row>
    <row r="36" spans="2:25" ht="15.75" thickBot="1" x14ac:dyDescent="0.3">
      <c r="B36" s="22"/>
      <c r="C36" s="23" t="s">
        <v>14</v>
      </c>
      <c r="D36" s="23"/>
      <c r="E36" s="23"/>
      <c r="F36" s="23"/>
      <c r="G36" s="26">
        <v>97700</v>
      </c>
      <c r="H36" s="23"/>
      <c r="I36" s="58"/>
      <c r="J36" s="59"/>
      <c r="K36" s="59"/>
      <c r="L36" s="59"/>
      <c r="M36" s="59"/>
      <c r="N36" s="59"/>
      <c r="O36" s="27"/>
      <c r="V36" s="34" t="s">
        <v>38</v>
      </c>
      <c r="W36" s="35"/>
      <c r="X36" s="35"/>
      <c r="Y36" s="41"/>
    </row>
    <row r="37" spans="2:25" x14ac:dyDescent="0.25">
      <c r="B37" s="22"/>
      <c r="C37" s="23" t="s">
        <v>15</v>
      </c>
      <c r="D37" s="23"/>
      <c r="E37" s="23"/>
      <c r="F37" s="23"/>
      <c r="G37" s="26">
        <v>119000</v>
      </c>
      <c r="H37" s="23"/>
      <c r="I37" s="58"/>
      <c r="J37" s="59"/>
      <c r="K37" s="59"/>
      <c r="L37" s="59"/>
      <c r="M37" s="59"/>
      <c r="N37" s="59"/>
      <c r="O37" s="25"/>
    </row>
    <row r="38" spans="2:25" x14ac:dyDescent="0.25">
      <c r="B38" s="22"/>
      <c r="C38" s="23" t="s">
        <v>16</v>
      </c>
      <c r="D38" s="23"/>
      <c r="E38" s="23"/>
      <c r="F38" s="23"/>
      <c r="G38" s="26">
        <v>18900</v>
      </c>
      <c r="H38" s="23"/>
      <c r="I38" s="58"/>
      <c r="J38" s="59"/>
      <c r="K38" s="59"/>
      <c r="L38" s="59"/>
      <c r="M38" s="59"/>
      <c r="N38" s="59"/>
      <c r="O38" s="25"/>
    </row>
    <row r="39" spans="2:25" ht="15.75" thickBot="1" x14ac:dyDescent="0.3">
      <c r="B39" s="22"/>
      <c r="C39" s="23" t="s">
        <v>17</v>
      </c>
      <c r="D39" s="23"/>
      <c r="E39" s="23"/>
      <c r="F39" s="23"/>
      <c r="G39" s="28">
        <v>162400</v>
      </c>
      <c r="H39" s="29"/>
      <c r="I39" s="58"/>
      <c r="J39" s="59"/>
      <c r="K39" s="59"/>
      <c r="L39" s="59"/>
      <c r="M39" s="59"/>
      <c r="N39" s="59"/>
      <c r="O39" s="25"/>
    </row>
    <row r="40" spans="2:25" ht="15.75" thickBot="1" x14ac:dyDescent="0.3">
      <c r="B40" s="22"/>
      <c r="C40" s="23"/>
      <c r="D40" s="23"/>
      <c r="E40" s="23"/>
      <c r="F40" s="23"/>
      <c r="G40" s="26"/>
      <c r="H40" s="23"/>
      <c r="I40" s="23"/>
      <c r="J40" s="23"/>
      <c r="K40" s="23"/>
      <c r="L40" s="23"/>
      <c r="M40" s="23"/>
      <c r="N40" s="23"/>
      <c r="O40" s="25"/>
    </row>
    <row r="41" spans="2:25" ht="16.5" thickTop="1" thickBot="1" x14ac:dyDescent="0.3">
      <c r="B41" s="30"/>
      <c r="C41" s="31"/>
      <c r="D41" s="31"/>
      <c r="E41" s="31"/>
      <c r="F41" s="31"/>
      <c r="G41" s="32">
        <f>SUM(G26:G39)</f>
        <v>2884000</v>
      </c>
      <c r="H41" s="31"/>
      <c r="I41" s="31"/>
      <c r="J41" s="31"/>
      <c r="K41" s="31"/>
      <c r="L41" s="31"/>
      <c r="M41" s="31"/>
      <c r="N41" s="31"/>
      <c r="O41" s="33">
        <f>SUM(O25:O39)</f>
        <v>2884000</v>
      </c>
    </row>
    <row r="42" spans="2:25" x14ac:dyDescent="0.25">
      <c r="B42" s="54" t="s">
        <v>56</v>
      </c>
    </row>
  </sheetData>
  <mergeCells count="8">
    <mergeCell ref="V24:Y24"/>
    <mergeCell ref="V3:Y3"/>
    <mergeCell ref="I36:N39"/>
    <mergeCell ref="B2:O2"/>
    <mergeCell ref="B23:O23"/>
    <mergeCell ref="Q24:T24"/>
    <mergeCell ref="Q3:T3"/>
    <mergeCell ref="I15:N18"/>
  </mergeCells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24"/>
  <sheetViews>
    <sheetView tabSelected="1" workbookViewId="0">
      <selection activeCell="P22" sqref="P22"/>
    </sheetView>
  </sheetViews>
  <sheetFormatPr baseColWidth="10" defaultRowHeight="15" x14ac:dyDescent="0.25"/>
  <cols>
    <col min="1" max="1" width="3.25" customWidth="1"/>
    <col min="2" max="2" width="33.875" customWidth="1"/>
    <col min="3" max="4" width="13.75" customWidth="1"/>
    <col min="5" max="5" width="13.75" hidden="1" customWidth="1"/>
    <col min="6" max="7" width="13.75" customWidth="1"/>
    <col min="8" max="8" width="3.625" customWidth="1"/>
  </cols>
  <sheetData>
    <row r="1" spans="2:14" ht="15.75" thickBot="1" x14ac:dyDescent="0.3"/>
    <row r="2" spans="2:14" ht="30.75" thickBot="1" x14ac:dyDescent="0.3">
      <c r="B2" s="47"/>
      <c r="C2" s="48" t="s">
        <v>46</v>
      </c>
      <c r="D2" s="48" t="s">
        <v>47</v>
      </c>
      <c r="E2" s="48"/>
      <c r="F2" s="48" t="s">
        <v>48</v>
      </c>
      <c r="G2" s="49" t="s">
        <v>49</v>
      </c>
    </row>
    <row r="3" spans="2:14" x14ac:dyDescent="0.25">
      <c r="B3" s="50" t="str">
        <f>'Arbeitsauftrag 3e'!V4</f>
        <v>Anlagenintensität</v>
      </c>
      <c r="C3" s="9">
        <f>'Arbeitsauftrag 3e'!Y4</f>
        <v>0</v>
      </c>
      <c r="D3" s="10">
        <f>'Arbeitsauftrag 3e'!Y25</f>
        <v>0</v>
      </c>
      <c r="E3" s="11">
        <f>IF(OR(AND(D3&gt;F3,D3&gt;G3),AND(D3&gt;F3,D3&gt;G3,D3&gt;C3)),$E$17,IF(OR(AND(D3&gt;G3,D3&lt;C3),AND(D3&lt;F3,D3&gt;G3)),$E$20,$E$23))</f>
        <v>3</v>
      </c>
      <c r="F3" s="10">
        <v>0.65369999999999995</v>
      </c>
      <c r="G3" s="12">
        <v>0</v>
      </c>
      <c r="I3" s="2" t="s">
        <v>40</v>
      </c>
      <c r="J3" s="2"/>
      <c r="K3" s="2"/>
      <c r="L3" s="2"/>
      <c r="M3" s="2"/>
      <c r="N3" s="2"/>
    </row>
    <row r="4" spans="2:14" x14ac:dyDescent="0.25">
      <c r="B4" s="51" t="str">
        <f>'Arbeitsauftrag 3e'!V5</f>
        <v>Anlagendeckungsgrad I</v>
      </c>
      <c r="C4" s="6">
        <f>'Arbeitsauftrag 3e'!Y5</f>
        <v>0</v>
      </c>
      <c r="D4" s="7">
        <f>'Arbeitsauftrag 3e'!Y26</f>
        <v>0</v>
      </c>
      <c r="E4" s="8">
        <f t="shared" ref="E4:E14" si="0">IF(OR(AND(D4&gt;F4,D4&gt;G4),AND(D4&gt;F4,D4&gt;G4,D4&gt;C4)),$E$17,IF(OR(AND(D4&gt;G4,D4&lt;C4),AND(D4&lt;F4,D4&gt;G4)),$E$20,$E$23))</f>
        <v>3</v>
      </c>
      <c r="F4" s="7">
        <v>0.35820000000000002</v>
      </c>
      <c r="G4" s="13">
        <v>0.25</v>
      </c>
      <c r="I4" s="2" t="s">
        <v>41</v>
      </c>
      <c r="J4" s="2"/>
      <c r="K4" s="2"/>
      <c r="L4" s="2"/>
      <c r="M4" s="2"/>
      <c r="N4" s="2"/>
    </row>
    <row r="5" spans="2:14" x14ac:dyDescent="0.25">
      <c r="B5" s="51" t="str">
        <f>'Arbeitsauftrag 3e'!V6</f>
        <v>Anlagendeckungsgrad II</v>
      </c>
      <c r="C5" s="6">
        <f>'Arbeitsauftrag 3e'!Y6</f>
        <v>0</v>
      </c>
      <c r="D5" s="7">
        <f>'Arbeitsauftrag 3e'!Y27</f>
        <v>0</v>
      </c>
      <c r="E5" s="8">
        <f t="shared" si="0"/>
        <v>3</v>
      </c>
      <c r="F5" s="7">
        <v>1.1322000000000001</v>
      </c>
      <c r="G5" s="13">
        <v>1</v>
      </c>
    </row>
    <row r="6" spans="2:14" ht="15.75" thickBot="1" x14ac:dyDescent="0.3">
      <c r="B6" s="52" t="str">
        <f>'Arbeitsauftrag 3e'!V7&amp;" (*)"</f>
        <v>Eigenkapitalquote (*)</v>
      </c>
      <c r="C6" s="14">
        <f>'Arbeitsauftrag 3e'!Y7</f>
        <v>0</v>
      </c>
      <c r="D6" s="15">
        <f>'Arbeitsauftrag 3e'!Y28</f>
        <v>0</v>
      </c>
      <c r="E6" s="16">
        <f t="shared" si="0"/>
        <v>3</v>
      </c>
      <c r="F6" s="15">
        <v>0.27750000000000002</v>
      </c>
      <c r="G6" s="17">
        <v>0.2</v>
      </c>
      <c r="I6" s="4" t="s">
        <v>42</v>
      </c>
      <c r="J6" s="4"/>
      <c r="K6" s="4"/>
      <c r="L6" s="4"/>
      <c r="M6" s="4"/>
      <c r="N6" s="4"/>
    </row>
    <row r="7" spans="2:14" ht="15.75" thickBot="1" x14ac:dyDescent="0.3">
      <c r="B7" s="5"/>
      <c r="C7" s="19"/>
      <c r="D7" s="20"/>
      <c r="E7" s="21"/>
      <c r="F7" s="5"/>
      <c r="G7" s="5"/>
      <c r="I7" s="4" t="s">
        <v>43</v>
      </c>
      <c r="J7" s="4"/>
      <c r="K7" s="4"/>
      <c r="L7" s="4"/>
      <c r="M7" s="4"/>
      <c r="N7" s="4"/>
    </row>
    <row r="8" spans="2:14" x14ac:dyDescent="0.25">
      <c r="B8" s="50" t="str">
        <f>'Arbeitsauftrag 3e'!V9&amp;" (*)"</f>
        <v>Liquidität 1. Grades (*)</v>
      </c>
      <c r="C8" s="9">
        <f>'Arbeitsauftrag 3e'!Y9</f>
        <v>0</v>
      </c>
      <c r="D8" s="10">
        <f>'Arbeitsauftrag 3e'!Y30</f>
        <v>0</v>
      </c>
      <c r="E8" s="11">
        <f t="shared" si="0"/>
        <v>3</v>
      </c>
      <c r="F8" s="10">
        <v>0.56220000000000003</v>
      </c>
      <c r="G8" s="18">
        <v>0.3</v>
      </c>
    </row>
    <row r="9" spans="2:14" x14ac:dyDescent="0.25">
      <c r="B9" s="51" t="str">
        <f>'Arbeitsauftrag 3e'!V10&amp;" (*)"</f>
        <v>Liquidität 2. Grades (*)</v>
      </c>
      <c r="C9" s="6">
        <f>'Arbeitsauftrag 3e'!Y10</f>
        <v>0</v>
      </c>
      <c r="D9" s="7">
        <f>'Arbeitsauftrag 3e'!Y31</f>
        <v>0</v>
      </c>
      <c r="E9" s="8">
        <f t="shared" si="0"/>
        <v>3</v>
      </c>
      <c r="F9" s="7">
        <v>1.1286</v>
      </c>
      <c r="G9" s="13">
        <v>1</v>
      </c>
      <c r="I9" s="3" t="s">
        <v>44</v>
      </c>
      <c r="J9" s="3"/>
      <c r="K9" s="3"/>
      <c r="L9" s="3"/>
      <c r="M9" s="3"/>
      <c r="N9" s="3"/>
    </row>
    <row r="10" spans="2:14" ht="15.75" thickBot="1" x14ac:dyDescent="0.3">
      <c r="B10" s="52" t="str">
        <f>'Arbeitsauftrag 3e'!V11</f>
        <v>Liquidität 3. Grades</v>
      </c>
      <c r="C10" s="14">
        <f>'Arbeitsauftrag 3e'!Y11</f>
        <v>0</v>
      </c>
      <c r="D10" s="15">
        <f>'Arbeitsauftrag 3e'!Y32</f>
        <v>0</v>
      </c>
      <c r="E10" s="16">
        <f t="shared" si="0"/>
        <v>3</v>
      </c>
      <c r="F10" s="15">
        <v>2.0659000000000001</v>
      </c>
      <c r="G10" s="17">
        <v>2</v>
      </c>
      <c r="I10" s="3" t="s">
        <v>45</v>
      </c>
      <c r="J10" s="3"/>
      <c r="K10" s="3"/>
      <c r="L10" s="3"/>
      <c r="M10" s="3"/>
      <c r="N10" s="3"/>
    </row>
    <row r="11" spans="2:14" ht="15.75" thickBot="1" x14ac:dyDescent="0.3">
      <c r="B11" s="5"/>
      <c r="C11" s="19"/>
      <c r="D11" s="20"/>
      <c r="E11" s="21"/>
      <c r="F11" s="5"/>
      <c r="G11" s="5"/>
      <c r="J11" s="5"/>
    </row>
    <row r="12" spans="2:14" x14ac:dyDescent="0.25">
      <c r="B12" s="50" t="str">
        <f>'Arbeitsauftrag 3e'!V13&amp;" (*)"</f>
        <v>Eigenkapitalrentabilität (*)</v>
      </c>
      <c r="C12" s="9">
        <f>'Arbeitsauftrag 3e'!Y13</f>
        <v>0</v>
      </c>
      <c r="D12" s="10">
        <f>'Arbeitsauftrag 3e'!Y34</f>
        <v>0</v>
      </c>
      <c r="E12" s="11">
        <f t="shared" si="0"/>
        <v>3</v>
      </c>
      <c r="F12" s="10">
        <v>0.10349999999999999</v>
      </c>
      <c r="G12" s="18">
        <v>6.5000000000000002E-2</v>
      </c>
    </row>
    <row r="13" spans="2:14" x14ac:dyDescent="0.25">
      <c r="B13" s="51" t="str">
        <f>'Arbeitsauftrag 3e'!V14</f>
        <v>Gesamtkapitalrentabilität</v>
      </c>
      <c r="C13" s="6">
        <f>'Arbeitsauftrag 3e'!Y14</f>
        <v>0</v>
      </c>
      <c r="D13" s="7">
        <f>'Arbeitsauftrag 3e'!Y35</f>
        <v>0</v>
      </c>
      <c r="E13" s="8">
        <f t="shared" si="0"/>
        <v>3</v>
      </c>
      <c r="F13" s="7">
        <v>6.4600000000000005E-2</v>
      </c>
      <c r="G13" s="13">
        <v>5.5E-2</v>
      </c>
    </row>
    <row r="14" spans="2:14" ht="15.75" thickBot="1" x14ac:dyDescent="0.3">
      <c r="B14" s="52" t="str">
        <f>'Arbeitsauftrag 3e'!V15</f>
        <v>Umsatzrentabilität</v>
      </c>
      <c r="C14" s="14">
        <f>'Arbeitsauftrag 3e'!Y15</f>
        <v>0</v>
      </c>
      <c r="D14" s="15">
        <f>'Arbeitsauftrag 3e'!Y36</f>
        <v>0</v>
      </c>
      <c r="E14" s="16">
        <f t="shared" si="0"/>
        <v>3</v>
      </c>
      <c r="F14" s="15">
        <v>8.77E-2</v>
      </c>
      <c r="G14" s="17">
        <v>0.05</v>
      </c>
    </row>
    <row r="15" spans="2:14" x14ac:dyDescent="0.25">
      <c r="C15" s="1"/>
    </row>
    <row r="16" spans="2:14" x14ac:dyDescent="0.25">
      <c r="C16" s="1"/>
    </row>
    <row r="17" spans="3:11" x14ac:dyDescent="0.25">
      <c r="C17" s="1"/>
      <c r="E17">
        <v>1</v>
      </c>
      <c r="F17" s="53"/>
      <c r="G17" s="53"/>
      <c r="H17" s="53"/>
      <c r="I17" s="53"/>
      <c r="J17" s="53"/>
      <c r="K17" s="53"/>
    </row>
    <row r="18" spans="3:11" x14ac:dyDescent="0.25">
      <c r="C18" s="1"/>
      <c r="F18" s="53"/>
      <c r="G18" s="53"/>
      <c r="H18" s="53"/>
      <c r="I18" s="53"/>
      <c r="J18" s="53"/>
      <c r="K18" s="53"/>
    </row>
    <row r="19" spans="3:11" x14ac:dyDescent="0.25">
      <c r="C19" s="1"/>
      <c r="F19" s="53"/>
      <c r="G19" s="53"/>
      <c r="H19" s="53"/>
      <c r="I19" s="53"/>
      <c r="J19" s="53"/>
      <c r="K19" s="53"/>
    </row>
    <row r="20" spans="3:11" x14ac:dyDescent="0.25">
      <c r="E20" s="4">
        <v>2</v>
      </c>
      <c r="F20" s="53"/>
      <c r="G20" s="53"/>
      <c r="H20" s="53"/>
      <c r="I20" s="53"/>
      <c r="J20" s="53"/>
      <c r="K20" s="53"/>
    </row>
    <row r="21" spans="3:11" x14ac:dyDescent="0.25">
      <c r="E21" s="4"/>
      <c r="F21" s="53"/>
      <c r="G21" s="53"/>
      <c r="H21" s="53"/>
      <c r="I21" s="53"/>
      <c r="J21" s="53"/>
      <c r="K21" s="53"/>
    </row>
    <row r="22" spans="3:11" x14ac:dyDescent="0.25">
      <c r="F22" s="53"/>
      <c r="G22" s="53"/>
      <c r="H22" s="53"/>
      <c r="I22" s="53"/>
      <c r="J22" s="53"/>
      <c r="K22" s="53"/>
    </row>
    <row r="23" spans="3:11" x14ac:dyDescent="0.25">
      <c r="E23" s="3">
        <v>3</v>
      </c>
      <c r="F23" s="53"/>
      <c r="G23" s="53"/>
      <c r="H23" s="53"/>
      <c r="I23" s="53"/>
      <c r="J23" s="53"/>
      <c r="K23" s="53"/>
    </row>
    <row r="24" spans="3:11" x14ac:dyDescent="0.25">
      <c r="E24" s="3"/>
      <c r="F24" s="53"/>
      <c r="G24" s="53"/>
      <c r="H24" s="53"/>
      <c r="I24" s="53"/>
      <c r="J24" s="53"/>
      <c r="K24" s="53"/>
    </row>
  </sheetData>
  <conditionalFormatting sqref="D3:D14">
    <cfRule type="expression" dxfId="2" priority="1">
      <formula>E3=$E$17</formula>
    </cfRule>
    <cfRule type="expression" dxfId="1" priority="2">
      <formula>E3=$E$20</formula>
    </cfRule>
    <cfRule type="expression" dxfId="0" priority="3">
      <formula>E3=$E$23</formula>
    </cfRule>
  </conditionalFormatting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Arbeitsauftrag 3e</vt:lpstr>
      <vt:lpstr>Arbeitsauftrag 3e (Auswertung)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Mustermann</dc:creator>
  <cp:lastModifiedBy>Peter Mustermann</cp:lastModifiedBy>
  <dcterms:created xsi:type="dcterms:W3CDTF">2019-09-22T12:38:14Z</dcterms:created>
  <dcterms:modified xsi:type="dcterms:W3CDTF">2021-11-10T06:27:36Z</dcterms:modified>
</cp:coreProperties>
</file>