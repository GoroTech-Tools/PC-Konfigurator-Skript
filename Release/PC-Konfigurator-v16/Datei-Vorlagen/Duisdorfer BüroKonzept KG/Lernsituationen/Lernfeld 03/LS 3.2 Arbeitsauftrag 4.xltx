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workbookPr codeName="DieseArbeitsmappe" defaultThemeVersion="124226"/>
  <mc:AlternateContent xmlns:mc="http://schemas.openxmlformats.org/markup-compatibility/2006">
    <mc:Choice Requires="x15">
      <x15ac:absPath xmlns:x15ac="http://schemas.microsoft.com/office/spreadsheetml/2010/11/ac" url="Z:\Datei-Vorlagen\Duisdorfer BüroKonzept KG\Lernsituationen\Lernfeld 03\"/>
    </mc:Choice>
  </mc:AlternateContent>
  <xr:revisionPtr revIDLastSave="0" documentId="13_ncr:11_{B94587EB-4B5B-419A-A971-24BE3D8D4213}" xr6:coauthVersionLast="47" xr6:coauthVersionMax="47" xr10:uidLastSave="{00000000-0000-0000-0000-000000000000}"/>
  <bookViews>
    <workbookView xWindow="-108" yWindow="-108" windowWidth="20376" windowHeight="12096" tabRatio="854" firstSheet="5" activeTab="5" xr2:uid="{00000000-000D-0000-FFFF-FFFF00000000}"/>
  </bookViews>
  <sheets>
    <sheet name="Handels-, Vorwärtskalkulation" sheetId="1" state="hidden" r:id="rId1"/>
    <sheet name="Handels-, Rückwärtskalkulation" sheetId="4" state="hidden" r:id="rId2"/>
    <sheet name="Handels-, Differenzkalkulation" sheetId="5" state="hidden" r:id="rId3"/>
    <sheet name="Handelskalkulation im Vergleich" sheetId="6" state="hidden" r:id="rId4"/>
    <sheet name="Inhaltsverzeichnis" sheetId="20" state="hidden" r:id="rId5"/>
    <sheet name="Arbeitsauftrag 4 Kirsche" sheetId="2" r:id="rId6"/>
    <sheet name="Arbeitsauftrag 4 Eiche" sheetId="11" r:id="rId7"/>
    <sheet name="Arbeitsauftrag 4 Buche" sheetId="12" r:id="rId8"/>
    <sheet name="Vert. Aufgabe 1" sheetId="13" r:id="rId9"/>
    <sheet name="Vor- und Nachkalkulation" sheetId="8" state="hidden" r:id="rId10"/>
    <sheet name="Angebotsvergleich" sheetId="7" state="hidden" r:id="rId11"/>
    <sheet name="Kritischer Umsatz" sheetId="10" state="hidden"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4" i="5" l="1"/>
  <c r="I10" i="6"/>
  <c r="E5" i="6"/>
  <c r="F5" i="10" l="1"/>
  <c r="D23" i="10"/>
  <c r="D22" i="10"/>
  <c r="D21" i="10"/>
  <c r="D20" i="10"/>
  <c r="D19" i="10"/>
  <c r="F13" i="10"/>
  <c r="F14" i="10" s="1"/>
  <c r="F9" i="10"/>
  <c r="F6" i="10"/>
  <c r="F4" i="10"/>
  <c r="F7" i="10" l="1"/>
  <c r="F10" i="10" l="1"/>
  <c r="C18" i="10"/>
  <c r="C19" i="10" s="1"/>
  <c r="C23" i="10" l="1"/>
  <c r="C21" i="10"/>
  <c r="C20" i="10"/>
  <c r="C22" i="10"/>
  <c r="E18" i="10"/>
  <c r="F18" i="10" s="1"/>
  <c r="E19" i="10" l="1"/>
  <c r="F20" i="10" s="1"/>
  <c r="D5" i="1" l="1"/>
  <c r="C6" i="1" l="1"/>
  <c r="C8" i="1"/>
  <c r="C12" i="1"/>
  <c r="C14" i="1"/>
  <c r="C16" i="1"/>
  <c r="C17" i="1"/>
  <c r="C20" i="1"/>
  <c r="D10" i="4" l="1"/>
  <c r="D10" i="5"/>
  <c r="G10" i="6"/>
  <c r="E10" i="6"/>
  <c r="G14" i="8" l="1"/>
  <c r="G13" i="8"/>
  <c r="G9" i="8"/>
  <c r="H8" i="8"/>
  <c r="G6" i="8"/>
  <c r="H5" i="8"/>
  <c r="H15" i="8"/>
  <c r="D15" i="8"/>
  <c r="H11" i="8"/>
  <c r="D11" i="8"/>
  <c r="C14" i="8"/>
  <c r="C13" i="8"/>
  <c r="C9" i="8"/>
  <c r="D8" i="8"/>
  <c r="C6" i="8"/>
  <c r="D5" i="8"/>
  <c r="I11" i="8" l="1"/>
  <c r="I5" i="8"/>
  <c r="I8" i="8"/>
  <c r="I15" i="8"/>
  <c r="H9" i="8"/>
  <c r="H10" i="8" s="1"/>
  <c r="H6" i="8"/>
  <c r="H7" i="8" s="1"/>
  <c r="D9" i="8"/>
  <c r="D6" i="8"/>
  <c r="G12" i="7"/>
  <c r="G8" i="7"/>
  <c r="G6" i="7"/>
  <c r="E12" i="7"/>
  <c r="E8" i="7"/>
  <c r="E6" i="7"/>
  <c r="C12" i="7"/>
  <c r="C8" i="7"/>
  <c r="C6" i="7"/>
  <c r="C14" i="6"/>
  <c r="C17" i="6"/>
  <c r="C16" i="6"/>
  <c r="C22" i="6"/>
  <c r="C20" i="6"/>
  <c r="B20" i="6"/>
  <c r="B17" i="6"/>
  <c r="B16" i="6"/>
  <c r="B14" i="6"/>
  <c r="C12" i="6"/>
  <c r="B12" i="6"/>
  <c r="B22" i="6"/>
  <c r="G3" i="7"/>
  <c r="E3" i="7"/>
  <c r="C3" i="7"/>
  <c r="D10" i="8" l="1"/>
  <c r="I10" i="8" s="1"/>
  <c r="I9" i="8"/>
  <c r="D7" i="8"/>
  <c r="I7" i="8" s="1"/>
  <c r="I6" i="8"/>
  <c r="H12" i="8"/>
  <c r="H13" i="8" s="1"/>
  <c r="H10" i="7"/>
  <c r="F10" i="7"/>
  <c r="D10" i="7"/>
  <c r="H5" i="7"/>
  <c r="H6" i="7" s="1"/>
  <c r="F5" i="7"/>
  <c r="F6" i="7" s="1"/>
  <c r="D5" i="7"/>
  <c r="D6" i="7" s="1"/>
  <c r="H14" i="8" l="1"/>
  <c r="H16" i="8" s="1"/>
  <c r="D12" i="8"/>
  <c r="D14" i="8" s="1"/>
  <c r="D7" i="7"/>
  <c r="D8" i="7" s="1"/>
  <c r="H7" i="7"/>
  <c r="H8" i="7" s="1"/>
  <c r="H9" i="7" s="1"/>
  <c r="H11" i="7" s="1"/>
  <c r="H12" i="7" s="1"/>
  <c r="F7" i="7"/>
  <c r="F8" i="7" s="1"/>
  <c r="I21" i="6"/>
  <c r="G21" i="6"/>
  <c r="I14" i="8" l="1"/>
  <c r="I12" i="8"/>
  <c r="D13" i="8"/>
  <c r="I20" i="6"/>
  <c r="I22" i="6"/>
  <c r="G22" i="6"/>
  <c r="G20" i="6"/>
  <c r="H13" i="7"/>
  <c r="F9" i="7"/>
  <c r="F11" i="7" s="1"/>
  <c r="F12" i="7" s="1"/>
  <c r="D9" i="7"/>
  <c r="D11" i="7" s="1"/>
  <c r="D12" i="7" s="1"/>
  <c r="D21" i="4"/>
  <c r="G5" i="6"/>
  <c r="B10" i="6"/>
  <c r="B8" i="6"/>
  <c r="B6" i="6"/>
  <c r="C18" i="6"/>
  <c r="C8" i="6"/>
  <c r="C6" i="6"/>
  <c r="I13" i="8" l="1"/>
  <c r="D16" i="8"/>
  <c r="I16" i="8" s="1"/>
  <c r="E6" i="6"/>
  <c r="E7" i="6" s="1"/>
  <c r="G6" i="6"/>
  <c r="G7" i="6" s="1"/>
  <c r="G8" i="6" s="1"/>
  <c r="I19" i="6"/>
  <c r="F13" i="7"/>
  <c r="D13" i="7"/>
  <c r="G23" i="6"/>
  <c r="G19" i="6"/>
  <c r="D21" i="5"/>
  <c r="D5" i="5"/>
  <c r="C12" i="5"/>
  <c r="C8" i="5"/>
  <c r="C6" i="5"/>
  <c r="C22" i="5"/>
  <c r="C20" i="5"/>
  <c r="C17" i="5"/>
  <c r="C16" i="5"/>
  <c r="E8" i="6" l="1"/>
  <c r="E9" i="6" s="1"/>
  <c r="E11" i="6" s="1"/>
  <c r="I17" i="6"/>
  <c r="I18" i="6"/>
  <c r="I16" i="6"/>
  <c r="D20" i="5"/>
  <c r="D19" i="5" s="1"/>
  <c r="D22" i="5"/>
  <c r="D23" i="5" s="1"/>
  <c r="D6" i="5"/>
  <c r="D7" i="5" s="1"/>
  <c r="C18" i="5"/>
  <c r="G18" i="6"/>
  <c r="G15" i="6" s="1"/>
  <c r="G16" i="6"/>
  <c r="G17" i="6"/>
  <c r="D15" i="7"/>
  <c r="D16" i="7" s="1"/>
  <c r="G9" i="6"/>
  <c r="G11" i="6" s="1"/>
  <c r="G12" i="6" s="1"/>
  <c r="I15" i="6" l="1"/>
  <c r="I14" i="6" s="1"/>
  <c r="E12" i="6"/>
  <c r="E13" i="6" s="1"/>
  <c r="D16" i="5"/>
  <c r="D17" i="5"/>
  <c r="D8" i="5"/>
  <c r="D9" i="5" s="1"/>
  <c r="D11" i="5" s="1"/>
  <c r="D12" i="5" s="1"/>
  <c r="D13" i="5" s="1"/>
  <c r="D18" i="5"/>
  <c r="D15" i="5" s="1"/>
  <c r="G13" i="6"/>
  <c r="G14" i="6" s="1"/>
  <c r="F14" i="6" s="1"/>
  <c r="I13" i="6" l="1"/>
  <c r="I12" i="6" s="1"/>
  <c r="E14" i="6"/>
  <c r="E15" i="6" s="1"/>
  <c r="D14" i="5"/>
  <c r="I11" i="6" l="1"/>
  <c r="I9" i="6" s="1"/>
  <c r="I8" i="6" s="1"/>
  <c r="I7" i="6" s="1"/>
  <c r="I6" i="6" s="1"/>
  <c r="F14" i="5"/>
  <c r="E17" i="6"/>
  <c r="E16" i="6"/>
  <c r="E18" i="6"/>
  <c r="E19" i="6" s="1"/>
  <c r="E20" i="6" s="1"/>
  <c r="C22" i="4"/>
  <c r="C20" i="4"/>
  <c r="D20" i="4" s="1"/>
  <c r="C17" i="4"/>
  <c r="C16" i="4"/>
  <c r="C14" i="4"/>
  <c r="C12" i="4"/>
  <c r="C8" i="4"/>
  <c r="C6" i="4"/>
  <c r="E21" i="6" l="1"/>
  <c r="E22" i="6" s="1"/>
  <c r="D22" i="4"/>
  <c r="D23" i="4" s="1"/>
  <c r="I5" i="6"/>
  <c r="C18" i="4"/>
  <c r="D19" i="4"/>
  <c r="E23" i="6" l="1"/>
  <c r="D17" i="4"/>
  <c r="D16" i="4"/>
  <c r="D18" i="4"/>
  <c r="D15" i="4" s="1"/>
  <c r="D14" i="4" s="1"/>
  <c r="D13" i="4" l="1"/>
  <c r="D12" i="4" s="1"/>
  <c r="D11" i="4" l="1"/>
  <c r="D9" i="4" s="1"/>
  <c r="D8" i="4" s="1"/>
  <c r="D7" i="4" l="1"/>
  <c r="D6" i="4" s="1"/>
  <c r="D5" i="4" l="1"/>
  <c r="C22" i="1" l="1"/>
  <c r="D6" i="1" l="1"/>
  <c r="D7" i="1" s="1"/>
  <c r="C18" i="1"/>
  <c r="D8" i="1" l="1"/>
  <c r="D9" i="1" s="1"/>
  <c r="D10" i="1"/>
  <c r="D11" i="1" l="1"/>
  <c r="D12" i="1" s="1"/>
  <c r="D13" i="1" s="1"/>
  <c r="D14" i="1" l="1"/>
  <c r="D15" i="1" s="1"/>
  <c r="D18" i="1" l="1"/>
  <c r="D19" i="1" s="1"/>
  <c r="D20" i="1" s="1"/>
  <c r="D21" i="1" s="1"/>
  <c r="D22" i="1" s="1"/>
  <c r="D17" i="1"/>
  <c r="D16" i="1"/>
  <c r="D23" i="1" l="1"/>
  <c r="I23" i="6" l="1"/>
  <c r="E20" i="10" l="1"/>
</calcChain>
</file>

<file path=xl/sharedStrings.xml><?xml version="1.0" encoding="utf-8"?>
<sst xmlns="http://schemas.openxmlformats.org/spreadsheetml/2006/main" count="646" uniqueCount="112">
  <si>
    <t>Handelskalkulation/Vorwärtskalkulation</t>
  </si>
  <si>
    <t>Eingaben</t>
  </si>
  <si>
    <t>EUR</t>
  </si>
  <si>
    <t>Listeneinkaufspreis</t>
  </si>
  <si>
    <t>%</t>
  </si>
  <si>
    <t>¡</t>
  </si>
  <si>
    <t>Bezugskosten (je Stück)</t>
  </si>
  <si>
    <t>-</t>
  </si>
  <si>
    <t>Liefererrabatt</t>
  </si>
  <si>
    <t>=</t>
  </si>
  <si>
    <t>Zieleinkaufspreis</t>
  </si>
  <si>
    <t>Liefererskonto</t>
  </si>
  <si>
    <t>Bareinkaufspreis</t>
  </si>
  <si>
    <t>+</t>
  </si>
  <si>
    <t>Bezugskosten</t>
  </si>
  <si>
    <t>Handlungskostenzuschlag</t>
  </si>
  <si>
    <t>Bezugspreis</t>
  </si>
  <si>
    <t>Gewinnzuschlag</t>
  </si>
  <si>
    <t>Kundenskonto</t>
  </si>
  <si>
    <t>Selbstkosten</t>
  </si>
  <si>
    <t>Vertreterprovision</t>
  </si>
  <si>
    <t>Kundenrabatt</t>
  </si>
  <si>
    <t>Barverkaufspreis</t>
  </si>
  <si>
    <t>Umsatzsteuer</t>
  </si>
  <si>
    <t>Skonto + Provision</t>
  </si>
  <si>
    <t>Zielverkaufspreis</t>
  </si>
  <si>
    <t>Nettoverkaufspreis</t>
  </si>
  <si>
    <t>¢</t>
  </si>
  <si>
    <t>Bruttoverkaufspreis</t>
  </si>
  <si>
    <t>Handelskalkulation/Rückwärtskalkulation</t>
  </si>
  <si>
    <t>Handelskalkulation/Differenzkalkulation</t>
  </si>
  <si>
    <t>Handlungskostenzuschlagssatz</t>
  </si>
  <si>
    <t>Gewinn</t>
  </si>
  <si>
    <t>Vorwärtskalkulation</t>
  </si>
  <si>
    <t>Differenzkalkulation</t>
  </si>
  <si>
    <t>Rückwärtskalkulation</t>
  </si>
  <si>
    <t>v.H.</t>
  </si>
  <si>
    <t>i.H.</t>
  </si>
  <si>
    <t>a.H.</t>
  </si>
  <si>
    <t>Zuschlagskalkulation/Angebotskalkulation</t>
  </si>
  <si>
    <t>Fertigungsmaterial</t>
  </si>
  <si>
    <t>Fertigungslöhne</t>
  </si>
  <si>
    <t>Materialgemeinkosten</t>
  </si>
  <si>
    <t>Zuschlagssätze</t>
  </si>
  <si>
    <t>Materialkosten (MK)</t>
  </si>
  <si>
    <t>Fertigungsgemeinkosten</t>
  </si>
  <si>
    <t>Verwaltungsgemeinkosten</t>
  </si>
  <si>
    <t>Fertigungskosten (FK)</t>
  </si>
  <si>
    <t>Vertriebsgemeinkosten</t>
  </si>
  <si>
    <t>Herstellkosten (= MK + FK)</t>
  </si>
  <si>
    <t>Angebotspreis</t>
  </si>
  <si>
    <t>Angebotsvergleich</t>
  </si>
  <si>
    <t>Eingaben Angebot 1</t>
  </si>
  <si>
    <t>Anbieter 1</t>
  </si>
  <si>
    <t>A</t>
  </si>
  <si>
    <t>Eingaben Angebot 2</t>
  </si>
  <si>
    <t>Nettobezugspreis</t>
  </si>
  <si>
    <t>Anbieter 2</t>
  </si>
  <si>
    <t>B</t>
  </si>
  <si>
    <t>Bruttobezugspreis</t>
  </si>
  <si>
    <t>Günstigstes Angebot:</t>
  </si>
  <si>
    <t>Günstigster Anbieter:</t>
  </si>
  <si>
    <t>Eingaben Angebot 3</t>
  </si>
  <si>
    <t>Anbieter 3</t>
  </si>
  <si>
    <t>C</t>
  </si>
  <si>
    <t>Sondereinzelkosten Fertigung</t>
  </si>
  <si>
    <t>Sondereinzelkosten Vertrieb</t>
  </si>
  <si>
    <t>Vorkalkulation</t>
  </si>
  <si>
    <t>Nachkalkulation</t>
  </si>
  <si>
    <t>Eingaben Vorkalkulation</t>
  </si>
  <si>
    <t>Eingaben Nachkalkulation</t>
  </si>
  <si>
    <t>Kostenüberdeckung/
-unterdeckung</t>
  </si>
  <si>
    <r>
      <rPr>
        <b/>
        <sz val="11"/>
        <color theme="1"/>
        <rFont val="PT Sans"/>
        <family val="2"/>
      </rPr>
      <t>i.H.</t>
    </r>
    <r>
      <rPr>
        <sz val="11"/>
        <color theme="1"/>
        <rFont val="PT Sans"/>
        <family val="2"/>
      </rPr>
      <t xml:space="preserve"> = in Hundert; verringerter Grundwert </t>
    </r>
    <r>
      <rPr>
        <b/>
        <sz val="11"/>
        <color theme="1"/>
        <rFont val="PT Sans"/>
        <family val="2"/>
      </rPr>
      <t>= 100 % - x %</t>
    </r>
  </si>
  <si>
    <r>
      <rPr>
        <b/>
        <sz val="11"/>
        <color theme="1"/>
        <rFont val="PT Sans"/>
        <family val="2"/>
      </rPr>
      <t>v.H.</t>
    </r>
    <r>
      <rPr>
        <sz val="11"/>
        <color theme="1"/>
        <rFont val="PT Sans"/>
        <family val="2"/>
      </rPr>
      <t xml:space="preserve"> = von Hundert; Grundwert </t>
    </r>
    <r>
      <rPr>
        <b/>
        <sz val="11"/>
        <color theme="1"/>
        <rFont val="PT Sans"/>
        <family val="2"/>
      </rPr>
      <t>= 100 %</t>
    </r>
  </si>
  <si>
    <r>
      <rPr>
        <b/>
        <sz val="11"/>
        <color theme="1"/>
        <rFont val="PT Sans"/>
        <family val="2"/>
      </rPr>
      <t>a.H.</t>
    </r>
    <r>
      <rPr>
        <sz val="11"/>
        <color theme="1"/>
        <rFont val="PT Sans"/>
        <family val="2"/>
      </rPr>
      <t xml:space="preserve"> = auf Hundert; erhöhter Grundwert </t>
    </r>
    <r>
      <rPr>
        <b/>
        <sz val="11"/>
        <color theme="1"/>
        <rFont val="PT Sans"/>
        <family val="2"/>
      </rPr>
      <t>= 100 % + x %</t>
    </r>
  </si>
  <si>
    <t>Inhaltsverzeichnis</t>
  </si>
  <si>
    <t>Inhalt</t>
  </si>
  <si>
    <t>Handelsvertreter vs. Reisender (kritischer Umsatz)</t>
  </si>
  <si>
    <t>Reisender</t>
  </si>
  <si>
    <t>Position</t>
  </si>
  <si>
    <t>Faktor I</t>
  </si>
  <si>
    <t>Faktor II</t>
  </si>
  <si>
    <t>Kosten</t>
  </si>
  <si>
    <t>Umsatz</t>
  </si>
  <si>
    <t>Fixgehalt</t>
  </si>
  <si>
    <t>Spesen</t>
  </si>
  <si>
    <t>Arbeitskosten</t>
  </si>
  <si>
    <t>Provision</t>
  </si>
  <si>
    <t>Handelsvertreter</t>
  </si>
  <si>
    <t>Kosten
Reisender</t>
  </si>
  <si>
    <t>Kosten
Handelsvertreter</t>
  </si>
  <si>
    <t>Kritischer Umsatz</t>
  </si>
  <si>
    <t>Herleitung
Kritischer Umsatz</t>
  </si>
  <si>
    <t>0,09 x = 0,02 x + 13000 + 6500 + 6000</t>
  </si>
  <si>
    <t>0,09 x = 0,02 x + 25500</t>
  </si>
  <si>
    <t>0,07 x = 25500</t>
  </si>
  <si>
    <t>x = 364285,71</t>
  </si>
  <si>
    <t>Lohnnebenkosten</t>
  </si>
  <si>
    <t>Die langfristige Preisuntergrenze liegt bei:</t>
  </si>
  <si>
    <t>Die kurzfristige Preisuntergrenze liegt bei:</t>
  </si>
  <si>
    <t>Ein möglicher Einstandspreis kann bei … liegen:</t>
  </si>
  <si>
    <t>Arbeitsauftrag 4 Kirsche</t>
  </si>
  <si>
    <t>Arbeitsauftrag 4 Eiche</t>
  </si>
  <si>
    <t>Arbeitsauftrag 4 Buche</t>
  </si>
  <si>
    <t>Vert. Aufgabe 1</t>
  </si>
  <si>
    <t>Materialkosten</t>
  </si>
  <si>
    <t>Fertigungskosten</t>
  </si>
  <si>
    <t>Herstellkosten</t>
  </si>
  <si>
    <t>Vertriebskosten</t>
  </si>
  <si>
    <t>EUR netto</t>
  </si>
  <si>
    <t>Der Listenverkaufspreis liegt unter 625,00 EUR netto?</t>
  </si>
  <si>
    <t>Die vorliegende Microsoft Excel-Arbeitsmappe bietet Ihnen die Möglichkeit Ihre Kalkulation gegenzuprüfen. Dazu geben Sie bitte jeweils in die Hilfstabellen (blaugrün eingefärbt) die Ihnen vorliegenden Daten ein.
Bitte beachten Sie, dass in Ihren Ausarbeitungen die verwendeten Formeln und Funktionen erkennbar sein müssen. Kopierte und eingefügte bzw. mit Taschenrechner oder Smartphone ermittelte Zahlen sind nicht erlaubt.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</si>
</sst>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0.00\ &quot;€&quot;_-;\-* #,##0.00\ &quot;€&quot;_-;_-* &quot;-&quot;??\ &quot;€&quot;_-;_-@_-"/>
    <numFmt numFmtId="164" formatCode="#,##0.00\ &quot;€&quot;"/>
    <numFmt numFmtId="165" formatCode="0.00_ ;[Red]\-0.00\ "/>
  </numFmts>
  <fonts count="29" x14ac:knownFonts="1">
    <font>
      <sz val="11"/>
      <color theme="1"/>
      <name val="Calibri"/>
      <family val="2"/>
      <scheme val="minor"/>
    </font>
    <font>
      <sz val="11"/>
      <color theme="1"/>
      <name val="Calibri"/>
      <family val="2"/>
      <scheme val="minor"/>
    </font>
    <font>
      <sz val="11"/>
      <color theme="1"/>
      <name val="PT Sans"/>
      <family val="2"/>
    </font>
    <font>
      <b/>
      <sz val="11"/>
      <color theme="0"/>
      <name val="PT Sans"/>
      <family val="2"/>
    </font>
    <font>
      <b/>
      <sz val="11"/>
      <color theme="1"/>
      <name val="PT Sans"/>
      <family val="2"/>
    </font>
    <font>
      <b/>
      <sz val="11"/>
      <color rgb="FF2B2B2B"/>
      <name val="PT Sans"/>
      <family val="2"/>
    </font>
    <font>
      <sz val="11"/>
      <color rgb="FF2B2B2B"/>
      <name val="PT Sans"/>
      <family val="2"/>
    </font>
    <font>
      <b/>
      <sz val="11"/>
      <name val="PT Sans"/>
      <family val="2"/>
    </font>
    <font>
      <sz val="14"/>
      <color rgb="FF00A499"/>
      <name val="Wingdings 3"/>
      <family val="1"/>
      <charset val="2"/>
    </font>
    <font>
      <sz val="16"/>
      <color rgb="FF00A499"/>
      <name val="Wingdings 3"/>
      <family val="1"/>
      <charset val="2"/>
    </font>
    <font>
      <sz val="11"/>
      <name val="PT Sans"/>
      <family val="2"/>
    </font>
    <font>
      <sz val="11"/>
      <color indexed="10"/>
      <name val="PT Sans"/>
      <family val="2"/>
    </font>
    <font>
      <b/>
      <sz val="11"/>
      <color indexed="8"/>
      <name val="PT Sans"/>
      <family val="2"/>
    </font>
    <font>
      <sz val="8"/>
      <name val="PT Sans"/>
      <family val="2"/>
    </font>
    <font>
      <sz val="8"/>
      <color theme="1"/>
      <name val="PT Sans"/>
      <family val="2"/>
    </font>
    <font>
      <u/>
      <sz val="11"/>
      <color theme="10"/>
      <name val="Calibri"/>
      <family val="2"/>
      <scheme val="minor"/>
    </font>
    <font>
      <b/>
      <sz val="12"/>
      <color rgb="FF00A499"/>
      <name val="PT Sans"/>
      <family val="2"/>
    </font>
    <font>
      <sz val="12"/>
      <color theme="1"/>
      <name val="Calibri"/>
      <family val="2"/>
    </font>
    <font>
      <u/>
      <sz val="11"/>
      <color theme="10"/>
      <name val="Aptos"/>
      <family val="2"/>
    </font>
    <font>
      <sz val="11"/>
      <color theme="1"/>
      <name val="Aptos"/>
      <family val="2"/>
    </font>
    <font>
      <b/>
      <sz val="14"/>
      <color theme="1"/>
      <name val="Aptos"/>
      <family val="2"/>
    </font>
    <font>
      <b/>
      <sz val="11"/>
      <color theme="1"/>
      <name val="Aptos"/>
      <family val="2"/>
    </font>
    <font>
      <b/>
      <sz val="11"/>
      <color theme="0"/>
      <name val="Aptos"/>
      <family val="2"/>
    </font>
    <font>
      <sz val="11"/>
      <name val="Aptos"/>
      <family val="2"/>
    </font>
    <font>
      <b/>
      <sz val="11"/>
      <color rgb="FF2B2B2B"/>
      <name val="Aptos"/>
      <family val="2"/>
    </font>
    <font>
      <sz val="11"/>
      <color rgb="FF2B2B2B"/>
      <name val="Aptos"/>
      <family val="2"/>
    </font>
    <font>
      <sz val="8"/>
      <color theme="1"/>
      <name val="Aptos"/>
      <family val="2"/>
    </font>
    <font>
      <sz val="14"/>
      <color rgb="FF00A499"/>
      <name val="Aptos"/>
      <family val="2"/>
    </font>
    <font>
      <sz val="16"/>
      <color rgb="FF00A499"/>
      <name val="Aptos"/>
      <family val="2"/>
    </font>
  </fonts>
  <fills count="12">
    <fill>
      <patternFill patternType="none"/>
    </fill>
    <fill>
      <patternFill patternType="gray125"/>
    </fill>
    <fill>
      <patternFill patternType="solid">
        <fgColor theme="9" tint="0.79998168889431442"/>
        <bgColor theme="9" tint="0.79998168889431442"/>
      </patternFill>
    </fill>
    <fill>
      <patternFill patternType="solid">
        <fgColor rgb="FFFF8200"/>
        <bgColor theme="9"/>
      </patternFill>
    </fill>
    <fill>
      <patternFill patternType="solid">
        <fgColor rgb="FF00A499"/>
        <bgColor indexed="64"/>
      </patternFill>
    </fill>
    <fill>
      <patternFill patternType="solid">
        <fgColor rgb="FF00F2E1"/>
        <bgColor indexed="64"/>
      </patternFill>
    </fill>
    <fill>
      <patternFill patternType="solid">
        <fgColor rgb="FFFF8200"/>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9"/>
        <bgColor indexed="64"/>
      </patternFill>
    </fill>
    <fill>
      <patternFill patternType="solid">
        <fgColor theme="9" tint="0.59999389629810485"/>
        <bgColor indexed="64"/>
      </patternFill>
    </fill>
  </fills>
  <borders count="67">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top style="thin">
        <color rgb="FF00A499"/>
      </top>
      <bottom style="thin">
        <color rgb="FF00A499"/>
      </bottom>
      <diagonal/>
    </border>
    <border>
      <left/>
      <right/>
      <top style="thin">
        <color theme="9" tint="0.39997558519241921"/>
      </top>
      <bottom style="thin">
        <color theme="9" tint="0.39994506668294322"/>
      </bottom>
      <diagonal/>
    </border>
    <border>
      <left/>
      <right/>
      <top style="thin">
        <color theme="9" tint="0.39994506668294322"/>
      </top>
      <bottom style="thin">
        <color theme="9" tint="0.39994506668294322"/>
      </bottom>
      <diagonal/>
    </border>
    <border>
      <left/>
      <right/>
      <top style="thin">
        <color rgb="FFFF8200"/>
      </top>
      <bottom style="thin">
        <color rgb="FFFF8200"/>
      </bottom>
      <diagonal/>
    </border>
    <border>
      <left style="thin">
        <color theme="9" tint="0.39997558519241921"/>
      </left>
      <right/>
      <top/>
      <bottom/>
      <diagonal/>
    </border>
    <border>
      <left style="thin">
        <color theme="9" tint="0.39997558519241921"/>
      </left>
      <right/>
      <top style="thin">
        <color rgb="FFFF8200"/>
      </top>
      <bottom style="thin">
        <color rgb="FFFF8200"/>
      </bottom>
      <diagonal/>
    </border>
    <border>
      <left style="medium">
        <color rgb="FFFF8200"/>
      </left>
      <right style="medium">
        <color rgb="FFFF8200"/>
      </right>
      <top style="medium">
        <color rgb="FFFF8200"/>
      </top>
      <bottom style="medium">
        <color rgb="FFFF8200"/>
      </bottom>
      <diagonal/>
    </border>
    <border>
      <left/>
      <right/>
      <top style="thin">
        <color rgb="FFFF8200"/>
      </top>
      <bottom/>
      <diagonal/>
    </border>
    <border>
      <left/>
      <right/>
      <top/>
      <bottom style="thin">
        <color rgb="FFFF8200"/>
      </bottom>
      <diagonal/>
    </border>
    <border>
      <left style="thin">
        <color rgb="FFFF8200"/>
      </left>
      <right/>
      <top style="thin">
        <color rgb="FFFF8200"/>
      </top>
      <bottom/>
      <diagonal/>
    </border>
    <border>
      <left/>
      <right style="thin">
        <color rgb="FFFF8200"/>
      </right>
      <top style="thin">
        <color rgb="FFFF8200"/>
      </top>
      <bottom/>
      <diagonal/>
    </border>
    <border>
      <left style="thin">
        <color rgb="FFFF8200"/>
      </left>
      <right/>
      <top/>
      <bottom style="thin">
        <color rgb="FFFF8200"/>
      </bottom>
      <diagonal/>
    </border>
    <border>
      <left/>
      <right style="thin">
        <color rgb="FFFF8200"/>
      </right>
      <top/>
      <bottom style="thin">
        <color rgb="FFFF8200"/>
      </bottom>
      <diagonal/>
    </border>
    <border>
      <left style="thin">
        <color rgb="FFFF8200"/>
      </left>
      <right/>
      <top/>
      <bottom/>
      <diagonal/>
    </border>
    <border>
      <left/>
      <right style="thin">
        <color rgb="FFFF8200"/>
      </right>
      <top/>
      <bottom/>
      <diagonal/>
    </border>
    <border>
      <left style="thin">
        <color rgb="FFFF8200"/>
      </left>
      <right/>
      <top style="thin">
        <color rgb="FFFF8200"/>
      </top>
      <bottom style="thin">
        <color rgb="FFFF8200"/>
      </bottom>
      <diagonal/>
    </border>
    <border>
      <left/>
      <right style="thin">
        <color rgb="FFFF8200"/>
      </right>
      <top style="thin">
        <color rgb="FFFF8200"/>
      </top>
      <bottom style="thin">
        <color rgb="FFFF8200"/>
      </bottom>
      <diagonal/>
    </border>
    <border>
      <left/>
      <right/>
      <top/>
      <bottom style="thin">
        <color theme="9" tint="0.39994506668294322"/>
      </bottom>
      <diagonal/>
    </border>
    <border>
      <left style="thin">
        <color theme="9" tint="0.39997558519241921"/>
      </left>
      <right/>
      <top style="thick">
        <color rgb="FFFF8200"/>
      </top>
      <bottom style="thick">
        <color rgb="FFFF8200"/>
      </bottom>
      <diagonal/>
    </border>
    <border>
      <left/>
      <right/>
      <top style="thin">
        <color theme="9" tint="0.39994506668294322"/>
      </top>
      <bottom/>
      <diagonal/>
    </border>
    <border>
      <left/>
      <right/>
      <top style="thick">
        <color rgb="FFFF8200"/>
      </top>
      <bottom style="thick">
        <color rgb="FFFF8200"/>
      </bottom>
      <diagonal/>
    </border>
    <border>
      <left/>
      <right/>
      <top style="thin">
        <color rgb="FF00A499"/>
      </top>
      <bottom style="thin">
        <color theme="8"/>
      </bottom>
      <diagonal/>
    </border>
    <border>
      <left/>
      <right/>
      <top style="thin">
        <color theme="8"/>
      </top>
      <bottom/>
      <diagonal/>
    </border>
    <border>
      <left style="medium">
        <color rgb="FF00A499"/>
      </left>
      <right/>
      <top style="medium">
        <color rgb="FF00A499"/>
      </top>
      <bottom/>
      <diagonal/>
    </border>
    <border>
      <left/>
      <right/>
      <top style="medium">
        <color rgb="FF00A499"/>
      </top>
      <bottom/>
      <diagonal/>
    </border>
    <border>
      <left/>
      <right style="medium">
        <color rgb="FF00A499"/>
      </right>
      <top style="medium">
        <color rgb="FF00A499"/>
      </top>
      <bottom/>
      <diagonal/>
    </border>
    <border>
      <left style="medium">
        <color rgb="FF00A499"/>
      </left>
      <right/>
      <top/>
      <bottom/>
      <diagonal/>
    </border>
    <border>
      <left/>
      <right style="medium">
        <color rgb="FF00A499"/>
      </right>
      <top/>
      <bottom/>
      <diagonal/>
    </border>
    <border>
      <left style="medium">
        <color rgb="FF00A499"/>
      </left>
      <right/>
      <top/>
      <bottom style="medium">
        <color rgb="FF00A499"/>
      </bottom>
      <diagonal/>
    </border>
    <border>
      <left/>
      <right/>
      <top/>
      <bottom style="medium">
        <color rgb="FF00A499"/>
      </bottom>
      <diagonal/>
    </border>
    <border>
      <left/>
      <right style="medium">
        <color rgb="FF00A499"/>
      </right>
      <top/>
      <bottom style="medium">
        <color rgb="FF00A499"/>
      </bottom>
      <diagonal/>
    </border>
    <border>
      <left/>
      <right/>
      <top style="thin">
        <color rgb="FF00A499"/>
      </top>
      <bottom/>
      <diagonal/>
    </border>
    <border>
      <left/>
      <right style="medium">
        <color rgb="FF00A499"/>
      </right>
      <top/>
      <bottom style="thin">
        <color rgb="FF00A499"/>
      </bottom>
      <diagonal/>
    </border>
    <border>
      <left/>
      <right/>
      <top/>
      <bottom style="thin">
        <color rgb="FF00A499"/>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style="medium">
        <color rgb="FFFF0000"/>
      </right>
      <top style="medium">
        <color rgb="FFFF0000"/>
      </top>
      <bottom/>
      <diagonal/>
    </border>
    <border>
      <left/>
      <right style="medium">
        <color rgb="FFFF0000"/>
      </right>
      <top/>
      <bottom/>
      <diagonal/>
    </border>
    <border>
      <left/>
      <right style="medium">
        <color rgb="FFFF0000"/>
      </right>
      <top/>
      <bottom style="medium">
        <color rgb="FFFF0000"/>
      </bottom>
      <diagonal/>
    </border>
    <border>
      <left style="medium">
        <color rgb="FFFF0000"/>
      </left>
      <right/>
      <top style="medium">
        <color rgb="FFFF0000"/>
      </top>
      <bottom/>
      <diagonal/>
    </border>
    <border>
      <left style="medium">
        <color rgb="FFFF0000"/>
      </left>
      <right/>
      <top/>
      <bottom/>
      <diagonal/>
    </border>
    <border>
      <left style="medium">
        <color rgb="FFFF0000"/>
      </left>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medium">
        <color rgb="FF00A499"/>
      </left>
      <right/>
      <top style="medium">
        <color rgb="FF00A499"/>
      </top>
      <bottom style="medium">
        <color rgb="FF00A499"/>
      </bottom>
      <diagonal/>
    </border>
    <border>
      <left/>
      <right/>
      <top style="medium">
        <color rgb="FF00A499"/>
      </top>
      <bottom style="medium">
        <color rgb="FF00A499"/>
      </bottom>
      <diagonal/>
    </border>
    <border>
      <left/>
      <right style="medium">
        <color rgb="FF00A499"/>
      </right>
      <top style="medium">
        <color rgb="FF00A499"/>
      </top>
      <bottom style="medium">
        <color rgb="FF00A499"/>
      </bottom>
      <diagonal/>
    </border>
    <border>
      <left style="thin">
        <color rgb="FF00A499"/>
      </left>
      <right/>
      <top style="thin">
        <color rgb="FF00A499"/>
      </top>
      <bottom style="thin">
        <color rgb="FF00A499"/>
      </bottom>
      <diagonal/>
    </border>
    <border>
      <left/>
      <right style="thin">
        <color rgb="FF00A499"/>
      </right>
      <top style="thin">
        <color rgb="FF00A499"/>
      </top>
      <bottom style="thin">
        <color rgb="FF00A499"/>
      </bottom>
      <diagonal/>
    </border>
    <border>
      <left style="thin">
        <color rgb="FF00A499"/>
      </left>
      <right/>
      <top style="thin">
        <color rgb="FF00A499"/>
      </top>
      <bottom/>
      <diagonal/>
    </border>
    <border>
      <left/>
      <right style="thin">
        <color rgb="FF00A499"/>
      </right>
      <top style="thin">
        <color rgb="FF00A499"/>
      </top>
      <bottom/>
      <diagonal/>
    </border>
    <border>
      <left style="thin">
        <color rgb="FF00A499"/>
      </left>
      <right/>
      <top/>
      <bottom/>
      <diagonal/>
    </border>
    <border>
      <left/>
      <right style="thin">
        <color rgb="FF00A499"/>
      </right>
      <top/>
      <bottom/>
      <diagonal/>
    </border>
    <border>
      <left style="thin">
        <color rgb="FF00A499"/>
      </left>
      <right/>
      <top/>
      <bottom style="thin">
        <color rgb="FF00A499"/>
      </bottom>
      <diagonal/>
    </border>
    <border>
      <left/>
      <right style="thin">
        <color rgb="FF00A499"/>
      </right>
      <top/>
      <bottom style="thin">
        <color rgb="FF00A499"/>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15" fillId="0" borderId="0" applyNumberFormat="0" applyFill="0" applyBorder="0" applyAlignment="0" applyProtection="0"/>
    <xf numFmtId="0" fontId="17" fillId="0" borderId="0"/>
  </cellStyleXfs>
  <cellXfs count="352">
    <xf numFmtId="0" fontId="0" fillId="0" borderId="0" xfId="0"/>
    <xf numFmtId="0" fontId="2" fillId="0" borderId="0" xfId="0" applyFont="1"/>
    <xf numFmtId="0" fontId="2" fillId="0" borderId="3" xfId="0" applyFont="1" applyBorder="1"/>
    <xf numFmtId="0" fontId="2" fillId="0" borderId="4" xfId="0" applyFont="1" applyBorder="1"/>
    <xf numFmtId="0" fontId="2" fillId="2" borderId="3" xfId="0" applyFont="1" applyFill="1" applyBorder="1"/>
    <xf numFmtId="0" fontId="2" fillId="2" borderId="4" xfId="0" applyFont="1" applyFill="1" applyBorder="1"/>
    <xf numFmtId="0" fontId="3" fillId="4" borderId="0" xfId="0" applyFont="1" applyFill="1" applyAlignment="1">
      <alignment horizontal="center"/>
    </xf>
    <xf numFmtId="0" fontId="2" fillId="5" borderId="5" xfId="0" applyFont="1" applyFill="1" applyBorder="1"/>
    <xf numFmtId="164" fontId="2" fillId="0" borderId="0" xfId="1" applyNumberFormat="1" applyFont="1"/>
    <xf numFmtId="0" fontId="4" fillId="2" borderId="4" xfId="0" applyFont="1" applyFill="1" applyBorder="1" applyAlignment="1">
      <alignment horizontal="center"/>
    </xf>
    <xf numFmtId="164" fontId="2" fillId="5" borderId="5" xfId="2" applyNumberFormat="1" applyFont="1" applyFill="1" applyBorder="1"/>
    <xf numFmtId="0" fontId="6" fillId="0" borderId="2" xfId="0" applyFont="1" applyBorder="1"/>
    <xf numFmtId="0" fontId="6" fillId="0" borderId="4" xfId="0" applyFont="1" applyBorder="1"/>
    <xf numFmtId="0" fontId="4" fillId="2" borderId="7" xfId="0" applyFont="1" applyFill="1" applyBorder="1" applyAlignment="1">
      <alignment horizontal="right"/>
    </xf>
    <xf numFmtId="0" fontId="5" fillId="2" borderId="7" xfId="0" applyFont="1" applyFill="1" applyBorder="1"/>
    <xf numFmtId="0" fontId="2" fillId="0" borderId="7" xfId="0" applyFont="1" applyBorder="1"/>
    <xf numFmtId="0" fontId="2" fillId="0" borderId="5" xfId="0" applyFont="1" applyBorder="1"/>
    <xf numFmtId="0" fontId="2" fillId="2" borderId="7" xfId="0" applyFont="1" applyFill="1" applyBorder="1"/>
    <xf numFmtId="0" fontId="4" fillId="2" borderId="7" xfId="0" applyFont="1" applyFill="1" applyBorder="1" applyAlignment="1">
      <alignment horizontal="center"/>
    </xf>
    <xf numFmtId="0" fontId="2" fillId="0" borderId="7" xfId="0" applyFont="1" applyBorder="1" applyAlignment="1">
      <alignment horizontal="right"/>
    </xf>
    <xf numFmtId="0" fontId="6" fillId="0" borderId="7" xfId="0" applyFont="1" applyBorder="1"/>
    <xf numFmtId="9" fontId="2" fillId="0" borderId="5" xfId="0" applyNumberFormat="1" applyFont="1" applyBorder="1"/>
    <xf numFmtId="0" fontId="3" fillId="4" borderId="5" xfId="0" applyFont="1" applyFill="1" applyBorder="1" applyAlignment="1">
      <alignment horizontal="center"/>
    </xf>
    <xf numFmtId="44" fontId="3" fillId="4" borderId="5" xfId="1" applyFont="1" applyFill="1" applyBorder="1" applyAlignment="1">
      <alignment horizontal="center"/>
    </xf>
    <xf numFmtId="10" fontId="2" fillId="5" borderId="5" xfId="2" applyNumberFormat="1" applyFont="1" applyFill="1" applyBorder="1"/>
    <xf numFmtId="10" fontId="2" fillId="0" borderId="0" xfId="0" applyNumberFormat="1" applyFont="1"/>
    <xf numFmtId="0" fontId="4" fillId="0" borderId="0" xfId="0" applyFont="1"/>
    <xf numFmtId="0" fontId="8" fillId="0" borderId="0" xfId="0" applyFont="1" applyAlignment="1">
      <alignment horizontal="right" vertical="center"/>
    </xf>
    <xf numFmtId="0" fontId="9" fillId="0" borderId="0" xfId="0" applyFont="1" applyAlignment="1">
      <alignment horizontal="left" vertical="center"/>
    </xf>
    <xf numFmtId="0" fontId="2" fillId="0" borderId="0" xfId="0" quotePrefix="1" applyFont="1"/>
    <xf numFmtId="0" fontId="10" fillId="0" borderId="0" xfId="0" applyFont="1"/>
    <xf numFmtId="0" fontId="7" fillId="0" borderId="0" xfId="0" applyFont="1"/>
    <xf numFmtId="0" fontId="10" fillId="0" borderId="0" xfId="0" quotePrefix="1" applyFont="1"/>
    <xf numFmtId="0" fontId="2" fillId="6" borderId="0" xfId="0" applyFont="1" applyFill="1"/>
    <xf numFmtId="0" fontId="2" fillId="0" borderId="9" xfId="0" applyFont="1" applyBorder="1"/>
    <xf numFmtId="0" fontId="2" fillId="2" borderId="10" xfId="0" applyFont="1" applyFill="1" applyBorder="1" applyAlignment="1">
      <alignment horizontal="center"/>
    </xf>
    <xf numFmtId="0" fontId="2" fillId="2" borderId="8" xfId="0" applyFont="1" applyFill="1" applyBorder="1" applyAlignment="1">
      <alignment horizontal="center"/>
    </xf>
    <xf numFmtId="0" fontId="2" fillId="7" borderId="8" xfId="0" applyFont="1" applyFill="1" applyBorder="1"/>
    <xf numFmtId="0" fontId="10" fillId="7" borderId="8" xfId="0" applyFont="1" applyFill="1" applyBorder="1"/>
    <xf numFmtId="0" fontId="7" fillId="7" borderId="8" xfId="0" applyFont="1" applyFill="1" applyBorder="1"/>
    <xf numFmtId="0" fontId="7" fillId="7" borderId="8" xfId="0" applyFont="1" applyFill="1" applyBorder="1" applyAlignment="1">
      <alignment horizontal="right"/>
    </xf>
    <xf numFmtId="0" fontId="2" fillId="7" borderId="8" xfId="0" quotePrefix="1" applyFont="1" applyFill="1" applyBorder="1"/>
    <xf numFmtId="0" fontId="10" fillId="7" borderId="8" xfId="0" quotePrefix="1" applyFont="1" applyFill="1" applyBorder="1"/>
    <xf numFmtId="0" fontId="4" fillId="7" borderId="8" xfId="0" applyFont="1" applyFill="1" applyBorder="1"/>
    <xf numFmtId="0" fontId="7" fillId="7" borderId="8" xfId="0" applyFont="1" applyFill="1" applyBorder="1" applyAlignment="1">
      <alignment horizontal="center"/>
    </xf>
    <xf numFmtId="164" fontId="2" fillId="0" borderId="0" xfId="0" applyNumberFormat="1" applyFont="1"/>
    <xf numFmtId="0" fontId="4" fillId="0" borderId="0" xfId="0" quotePrefix="1" applyFont="1"/>
    <xf numFmtId="0" fontId="4" fillId="7" borderId="8" xfId="0" quotePrefix="1" applyFont="1" applyFill="1" applyBorder="1"/>
    <xf numFmtId="0" fontId="2" fillId="0" borderId="0" xfId="0" applyFont="1" applyProtection="1">
      <protection hidden="1"/>
    </xf>
    <xf numFmtId="0" fontId="2" fillId="7" borderId="12" xfId="0" applyFont="1" applyFill="1" applyBorder="1"/>
    <xf numFmtId="0" fontId="2" fillId="7" borderId="12" xfId="0" applyFont="1" applyFill="1" applyBorder="1" applyProtection="1">
      <protection hidden="1"/>
    </xf>
    <xf numFmtId="0" fontId="2" fillId="7" borderId="13" xfId="0" applyFont="1" applyFill="1" applyBorder="1"/>
    <xf numFmtId="0" fontId="2" fillId="7" borderId="13" xfId="0" applyFont="1" applyFill="1" applyBorder="1" applyProtection="1">
      <protection hidden="1"/>
    </xf>
    <xf numFmtId="0" fontId="2" fillId="7" borderId="8" xfId="0" applyFont="1" applyFill="1" applyBorder="1" applyProtection="1">
      <protection hidden="1"/>
    </xf>
    <xf numFmtId="0" fontId="7" fillId="7" borderId="16" xfId="0" applyFont="1" applyFill="1" applyBorder="1" applyAlignment="1" applyProtection="1">
      <alignment horizontal="center"/>
      <protection hidden="1"/>
    </xf>
    <xf numFmtId="2" fontId="2" fillId="0" borderId="18" xfId="0" applyNumberFormat="1" applyFont="1" applyBorder="1" applyProtection="1">
      <protection hidden="1"/>
    </xf>
    <xf numFmtId="2" fontId="2" fillId="7" borderId="20" xfId="0" applyNumberFormat="1" applyFont="1" applyFill="1" applyBorder="1" applyProtection="1">
      <protection hidden="1"/>
    </xf>
    <xf numFmtId="4" fontId="2" fillId="7" borderId="21" xfId="0" applyNumberFormat="1" applyFont="1" applyFill="1" applyBorder="1" applyProtection="1">
      <protection hidden="1"/>
    </xf>
    <xf numFmtId="0" fontId="4" fillId="0" borderId="0" xfId="0" applyFont="1" applyProtection="1">
      <protection hidden="1"/>
    </xf>
    <xf numFmtId="2" fontId="4" fillId="0" borderId="18" xfId="0" applyNumberFormat="1" applyFont="1" applyBorder="1" applyProtection="1">
      <protection hidden="1"/>
    </xf>
    <xf numFmtId="4" fontId="4" fillId="0" borderId="19" xfId="0" applyNumberFormat="1" applyFont="1" applyBorder="1" applyProtection="1">
      <protection hidden="1"/>
    </xf>
    <xf numFmtId="0" fontId="4" fillId="0" borderId="8" xfId="0" quotePrefix="1" applyFont="1" applyBorder="1"/>
    <xf numFmtId="0" fontId="4" fillId="0" borderId="8" xfId="0" applyFont="1" applyBorder="1" applyProtection="1">
      <protection hidden="1"/>
    </xf>
    <xf numFmtId="0" fontId="4" fillId="7" borderId="8" xfId="0" applyFont="1" applyFill="1" applyBorder="1" applyProtection="1">
      <protection hidden="1"/>
    </xf>
    <xf numFmtId="4" fontId="4" fillId="7" borderId="21" xfId="0" applyNumberFormat="1" applyFont="1" applyFill="1" applyBorder="1" applyProtection="1">
      <protection hidden="1"/>
    </xf>
    <xf numFmtId="10" fontId="2" fillId="0" borderId="5" xfId="0" applyNumberFormat="1" applyFont="1" applyBorder="1"/>
    <xf numFmtId="0" fontId="2" fillId="8" borderId="5" xfId="0" applyFont="1" applyFill="1" applyBorder="1"/>
    <xf numFmtId="2" fontId="2" fillId="5" borderId="5" xfId="2" applyNumberFormat="1" applyFont="1" applyFill="1" applyBorder="1"/>
    <xf numFmtId="2" fontId="2" fillId="0" borderId="0" xfId="0" applyNumberFormat="1" applyFont="1"/>
    <xf numFmtId="2" fontId="2" fillId="8" borderId="5" xfId="2" applyNumberFormat="1" applyFont="1" applyFill="1" applyBorder="1"/>
    <xf numFmtId="4" fontId="2" fillId="0" borderId="0" xfId="0" applyNumberFormat="1" applyFont="1"/>
    <xf numFmtId="4" fontId="2" fillId="0" borderId="0" xfId="1" applyNumberFormat="1" applyFont="1"/>
    <xf numFmtId="4" fontId="2" fillId="5" borderId="5" xfId="2" applyNumberFormat="1" applyFont="1" applyFill="1" applyBorder="1"/>
    <xf numFmtId="0" fontId="2" fillId="0" borderId="12" xfId="0" applyFont="1" applyBorder="1"/>
    <xf numFmtId="0" fontId="2" fillId="0" borderId="13" xfId="0" applyFont="1" applyBorder="1"/>
    <xf numFmtId="4" fontId="2" fillId="0" borderId="5" xfId="0" applyNumberFormat="1" applyFont="1" applyBorder="1"/>
    <xf numFmtId="2" fontId="2" fillId="0" borderId="5" xfId="0" applyNumberFormat="1" applyFont="1" applyBorder="1"/>
    <xf numFmtId="4" fontId="2" fillId="0" borderId="5" xfId="1" applyNumberFormat="1" applyFont="1" applyBorder="1"/>
    <xf numFmtId="4" fontId="2" fillId="5" borderId="5" xfId="1" applyNumberFormat="1" applyFont="1" applyFill="1" applyBorder="1"/>
    <xf numFmtId="2" fontId="2" fillId="0" borderId="5" xfId="2" applyNumberFormat="1" applyFont="1" applyBorder="1"/>
    <xf numFmtId="0" fontId="2" fillId="0" borderId="7" xfId="0" applyFont="1" applyBorder="1" applyAlignment="1">
      <alignment horizontal="center"/>
    </xf>
    <xf numFmtId="0" fontId="2" fillId="0" borderId="1" xfId="0" applyFont="1" applyBorder="1" applyAlignment="1">
      <alignment horizontal="center"/>
    </xf>
    <xf numFmtId="0" fontId="2" fillId="0" borderId="3" xfId="0" applyFont="1" applyBorder="1" applyAlignment="1">
      <alignment horizontal="center"/>
    </xf>
    <xf numFmtId="0" fontId="5" fillId="2" borderId="24" xfId="0" applyFont="1" applyFill="1" applyBorder="1"/>
    <xf numFmtId="0" fontId="5" fillId="2" borderId="22" xfId="0" applyFont="1" applyFill="1" applyBorder="1"/>
    <xf numFmtId="0" fontId="6" fillId="0" borderId="25" xfId="0" applyFont="1" applyBorder="1"/>
    <xf numFmtId="0" fontId="4" fillId="2" borderId="24" xfId="0" applyFont="1" applyFill="1" applyBorder="1" applyAlignment="1">
      <alignment horizontal="center"/>
    </xf>
    <xf numFmtId="0" fontId="2" fillId="0" borderId="23" xfId="0" applyFont="1" applyBorder="1" applyAlignment="1">
      <alignment horizontal="center"/>
    </xf>
    <xf numFmtId="0" fontId="4" fillId="2" borderId="22" xfId="0" applyFont="1" applyFill="1" applyBorder="1" applyAlignment="1">
      <alignment horizontal="center"/>
    </xf>
    <xf numFmtId="4" fontId="2" fillId="7" borderId="8" xfId="0" applyNumberFormat="1" applyFont="1" applyFill="1" applyBorder="1" applyProtection="1">
      <protection hidden="1"/>
    </xf>
    <xf numFmtId="2" fontId="2" fillId="0" borderId="0" xfId="0" applyNumberFormat="1" applyFont="1" applyBorder="1" applyProtection="1">
      <protection hidden="1"/>
    </xf>
    <xf numFmtId="2" fontId="2" fillId="7" borderId="8" xfId="0" applyNumberFormat="1" applyFont="1" applyFill="1" applyBorder="1" applyProtection="1">
      <protection hidden="1"/>
    </xf>
    <xf numFmtId="0" fontId="7" fillId="7" borderId="19" xfId="0" applyFont="1" applyFill="1" applyBorder="1" applyAlignment="1" applyProtection="1">
      <alignment horizontal="center"/>
      <protection hidden="1"/>
    </xf>
    <xf numFmtId="2" fontId="4" fillId="0" borderId="14" xfId="0" applyNumberFormat="1" applyFont="1" applyBorder="1" applyProtection="1">
      <protection hidden="1"/>
    </xf>
    <xf numFmtId="4" fontId="2" fillId="7" borderId="13" xfId="0" applyNumberFormat="1" applyFont="1" applyFill="1" applyBorder="1" applyProtection="1">
      <protection hidden="1"/>
    </xf>
    <xf numFmtId="4" fontId="2" fillId="7" borderId="17" xfId="0" applyNumberFormat="1" applyFont="1" applyFill="1" applyBorder="1" applyProtection="1">
      <protection hidden="1"/>
    </xf>
    <xf numFmtId="2" fontId="4" fillId="7" borderId="16" xfId="0" applyNumberFormat="1" applyFont="1" applyFill="1" applyBorder="1" applyProtection="1">
      <protection hidden="1"/>
    </xf>
    <xf numFmtId="4" fontId="4" fillId="0" borderId="17" xfId="0" applyNumberFormat="1" applyFont="1" applyBorder="1" applyProtection="1">
      <protection hidden="1"/>
    </xf>
    <xf numFmtId="4" fontId="2" fillId="0" borderId="11" xfId="0" applyNumberFormat="1" applyFont="1" applyBorder="1" applyProtection="1">
      <protection hidden="1"/>
    </xf>
    <xf numFmtId="2" fontId="2" fillId="7" borderId="11" xfId="0" applyNumberFormat="1" applyFont="1" applyFill="1" applyBorder="1" applyProtection="1">
      <protection hidden="1"/>
    </xf>
    <xf numFmtId="4" fontId="2" fillId="7" borderId="11" xfId="0" applyNumberFormat="1" applyFont="1" applyFill="1" applyBorder="1" applyProtection="1">
      <protection hidden="1"/>
    </xf>
    <xf numFmtId="0" fontId="3" fillId="6" borderId="0" xfId="0" applyFont="1" applyFill="1" applyAlignment="1">
      <alignment horizontal="center" vertical="center" wrapText="1"/>
    </xf>
    <xf numFmtId="0" fontId="3" fillId="4" borderId="0" xfId="0" applyFont="1" applyFill="1" applyAlignment="1">
      <alignment horizontal="center" vertical="center"/>
    </xf>
    <xf numFmtId="0" fontId="2" fillId="2" borderId="6" xfId="0" applyFont="1" applyFill="1" applyBorder="1" applyAlignment="1"/>
    <xf numFmtId="10" fontId="2" fillId="0" borderId="5" xfId="1" applyNumberFormat="1" applyFont="1" applyBorder="1"/>
    <xf numFmtId="0" fontId="2" fillId="0" borderId="26" xfId="0" applyFont="1" applyBorder="1"/>
    <xf numFmtId="0" fontId="2" fillId="0" borderId="27" xfId="0" applyFont="1" applyBorder="1"/>
    <xf numFmtId="4" fontId="2" fillId="0" borderId="5" xfId="1" applyNumberFormat="1" applyFont="1" applyFill="1" applyBorder="1"/>
    <xf numFmtId="4" fontId="2" fillId="0" borderId="0" xfId="0" applyNumberFormat="1" applyFont="1" applyFill="1"/>
    <xf numFmtId="4" fontId="2" fillId="0" borderId="0" xfId="1" applyNumberFormat="1" applyFont="1" applyFill="1"/>
    <xf numFmtId="4" fontId="2" fillId="0" borderId="5" xfId="2" applyNumberFormat="1" applyFont="1" applyFill="1" applyBorder="1"/>
    <xf numFmtId="0" fontId="3" fillId="4" borderId="0" xfId="0" applyFont="1" applyFill="1" applyAlignment="1">
      <alignment horizontal="left"/>
    </xf>
    <xf numFmtId="0" fontId="16" fillId="0" borderId="0" xfId="3" applyFont="1" applyAlignment="1">
      <alignment horizontal="center"/>
    </xf>
    <xf numFmtId="0" fontId="2" fillId="0" borderId="0" xfId="4" applyFont="1"/>
    <xf numFmtId="0" fontId="4" fillId="0" borderId="0" xfId="4" applyFont="1" applyAlignment="1">
      <alignment horizontal="center" vertical="center"/>
    </xf>
    <xf numFmtId="0" fontId="4" fillId="5" borderId="29" xfId="4" applyFont="1" applyFill="1" applyBorder="1" applyAlignment="1">
      <alignment horizontal="left"/>
    </xf>
    <xf numFmtId="0" fontId="4" fillId="5" borderId="29" xfId="4" applyFont="1" applyFill="1" applyBorder="1" applyAlignment="1">
      <alignment horizontal="center"/>
    </xf>
    <xf numFmtId="0" fontId="4" fillId="5" borderId="30" xfId="4" applyFont="1" applyFill="1" applyBorder="1" applyAlignment="1">
      <alignment horizontal="center"/>
    </xf>
    <xf numFmtId="0" fontId="2" fillId="5" borderId="0" xfId="4" applyFont="1" applyFill="1" applyBorder="1"/>
    <xf numFmtId="0" fontId="4" fillId="5" borderId="0" xfId="4" applyFont="1" applyFill="1" applyBorder="1"/>
    <xf numFmtId="0" fontId="4" fillId="5" borderId="34" xfId="4" applyFont="1" applyFill="1" applyBorder="1"/>
    <xf numFmtId="0" fontId="4" fillId="5" borderId="29" xfId="4" applyFont="1" applyFill="1" applyBorder="1" applyAlignment="1">
      <alignment horizontal="left" vertical="center"/>
    </xf>
    <xf numFmtId="0" fontId="4" fillId="5" borderId="29" xfId="4" applyFont="1" applyFill="1" applyBorder="1" applyAlignment="1">
      <alignment horizontal="center" vertical="center"/>
    </xf>
    <xf numFmtId="0" fontId="2" fillId="0" borderId="36" xfId="4" applyFont="1" applyFill="1" applyBorder="1"/>
    <xf numFmtId="0" fontId="2" fillId="0" borderId="0" xfId="4" applyFont="1" applyFill="1" applyBorder="1"/>
    <xf numFmtId="0" fontId="2" fillId="0" borderId="38" xfId="4" applyFont="1" applyFill="1" applyBorder="1"/>
    <xf numFmtId="9" fontId="2" fillId="0" borderId="38" xfId="4" applyNumberFormat="1" applyFont="1" applyFill="1" applyBorder="1"/>
    <xf numFmtId="164" fontId="2" fillId="0" borderId="38" xfId="4" applyNumberFormat="1" applyFont="1" applyFill="1" applyBorder="1"/>
    <xf numFmtId="0" fontId="2" fillId="0" borderId="5" xfId="4" applyFont="1" applyFill="1" applyBorder="1"/>
    <xf numFmtId="0" fontId="2" fillId="0" borderId="59" xfId="4" applyFont="1" applyFill="1" applyBorder="1"/>
    <xf numFmtId="0" fontId="2" fillId="0" borderId="61" xfId="4" applyFont="1" applyFill="1" applyBorder="1"/>
    <xf numFmtId="164" fontId="2" fillId="0" borderId="36" xfId="4" applyNumberFormat="1" applyFont="1" applyFill="1" applyBorder="1"/>
    <xf numFmtId="0" fontId="2" fillId="0" borderId="63" xfId="4" applyFont="1" applyFill="1" applyBorder="1"/>
    <xf numFmtId="0" fontId="2" fillId="0" borderId="65" xfId="4" applyFont="1" applyFill="1" applyBorder="1"/>
    <xf numFmtId="9" fontId="2" fillId="0" borderId="5" xfId="4" applyNumberFormat="1" applyFont="1" applyFill="1" applyBorder="1"/>
    <xf numFmtId="9" fontId="2" fillId="0" borderId="0" xfId="4" applyNumberFormat="1" applyFont="1" applyFill="1" applyBorder="1"/>
    <xf numFmtId="0" fontId="16" fillId="0" borderId="0" xfId="3" applyFont="1" applyAlignment="1">
      <alignment horizontal="center" vertical="center"/>
    </xf>
    <xf numFmtId="2" fontId="10" fillId="0" borderId="0" xfId="0" applyNumberFormat="1" applyFont="1" applyAlignment="1" applyProtection="1">
      <alignment horizontal="center"/>
      <protection hidden="1"/>
    </xf>
    <xf numFmtId="4" fontId="12" fillId="0" borderId="11" xfId="0" applyNumberFormat="1" applyFont="1" applyBorder="1" applyAlignment="1" applyProtection="1">
      <alignment horizontal="right"/>
      <protection locked="0" hidden="1"/>
    </xf>
    <xf numFmtId="0" fontId="10" fillId="0" borderId="0" xfId="0" applyFont="1" applyAlignment="1" applyProtection="1">
      <alignment horizontal="right"/>
      <protection hidden="1"/>
    </xf>
    <xf numFmtId="4" fontId="10" fillId="0" borderId="0" xfId="0" applyNumberFormat="1" applyFont="1" applyAlignment="1" applyProtection="1">
      <alignment horizontal="right"/>
      <protection hidden="1"/>
    </xf>
    <xf numFmtId="2" fontId="10" fillId="7" borderId="11" xfId="0" applyNumberFormat="1" applyFont="1" applyFill="1" applyBorder="1" applyAlignment="1" applyProtection="1">
      <alignment horizontal="right"/>
      <protection locked="0" hidden="1"/>
    </xf>
    <xf numFmtId="2" fontId="10" fillId="7" borderId="8" xfId="0" applyNumberFormat="1" applyFont="1" applyFill="1" applyBorder="1" applyAlignment="1" applyProtection="1">
      <alignment horizontal="right"/>
      <protection hidden="1"/>
    </xf>
    <xf numFmtId="4" fontId="10" fillId="7" borderId="8" xfId="0" applyNumberFormat="1" applyFont="1" applyFill="1" applyBorder="1" applyProtection="1">
      <protection hidden="1"/>
    </xf>
    <xf numFmtId="0" fontId="10" fillId="7" borderId="8" xfId="0" applyFont="1" applyFill="1" applyBorder="1" applyAlignment="1" applyProtection="1">
      <alignment horizontal="right"/>
      <protection hidden="1"/>
    </xf>
    <xf numFmtId="4" fontId="10" fillId="7" borderId="8" xfId="0" applyNumberFormat="1" applyFont="1" applyFill="1" applyBorder="1" applyAlignment="1" applyProtection="1">
      <alignment horizontal="right"/>
      <protection hidden="1"/>
    </xf>
    <xf numFmtId="2" fontId="7" fillId="0" borderId="0" xfId="0" applyNumberFormat="1" applyFont="1" applyAlignment="1" applyProtection="1">
      <alignment horizontal="right"/>
      <protection hidden="1"/>
    </xf>
    <xf numFmtId="4" fontId="7" fillId="0" borderId="0" xfId="0" applyNumberFormat="1" applyFont="1" applyProtection="1">
      <protection hidden="1"/>
    </xf>
    <xf numFmtId="0" fontId="7" fillId="0" borderId="0" xfId="0" applyFont="1" applyAlignment="1" applyProtection="1">
      <alignment horizontal="right"/>
      <protection hidden="1"/>
    </xf>
    <xf numFmtId="4" fontId="7" fillId="0" borderId="0" xfId="0" applyNumberFormat="1" applyFont="1" applyAlignment="1" applyProtection="1">
      <alignment horizontal="right"/>
      <protection hidden="1"/>
    </xf>
    <xf numFmtId="2" fontId="11" fillId="7" borderId="8" xfId="0" applyNumberFormat="1" applyFont="1" applyFill="1" applyBorder="1" applyAlignment="1" applyProtection="1">
      <alignment horizontal="right"/>
      <protection hidden="1"/>
    </xf>
    <xf numFmtId="4" fontId="11" fillId="7" borderId="8" xfId="0" applyNumberFormat="1" applyFont="1" applyFill="1" applyBorder="1" applyProtection="1">
      <protection hidden="1"/>
    </xf>
    <xf numFmtId="2" fontId="13" fillId="7" borderId="11" xfId="0" applyNumberFormat="1" applyFont="1" applyFill="1" applyBorder="1" applyAlignment="1" applyProtection="1">
      <alignment horizontal="right"/>
      <protection hidden="1"/>
    </xf>
    <xf numFmtId="4" fontId="13" fillId="7" borderId="8" xfId="0" applyNumberFormat="1" applyFont="1" applyFill="1" applyBorder="1" applyAlignment="1" applyProtection="1">
      <alignment horizontal="left"/>
      <protection hidden="1"/>
    </xf>
    <xf numFmtId="0" fontId="13" fillId="7" borderId="8" xfId="0" applyFont="1" applyFill="1" applyBorder="1" applyAlignment="1" applyProtection="1">
      <alignment horizontal="right"/>
      <protection hidden="1"/>
    </xf>
    <xf numFmtId="2" fontId="13" fillId="0" borderId="11" xfId="0" applyNumberFormat="1" applyFont="1" applyBorder="1" applyAlignment="1" applyProtection="1">
      <alignment horizontal="right"/>
      <protection hidden="1"/>
    </xf>
    <xf numFmtId="2" fontId="13" fillId="0" borderId="0" xfId="0" applyNumberFormat="1" applyFont="1" applyBorder="1" applyAlignment="1" applyProtection="1">
      <alignment horizontal="right"/>
      <protection hidden="1"/>
    </xf>
    <xf numFmtId="4" fontId="13" fillId="0" borderId="0" xfId="0" applyNumberFormat="1" applyFont="1" applyAlignment="1" applyProtection="1">
      <alignment horizontal="left"/>
      <protection hidden="1"/>
    </xf>
    <xf numFmtId="0" fontId="13" fillId="0" borderId="0" xfId="0" applyFont="1" applyAlignment="1" applyProtection="1">
      <alignment horizontal="right"/>
      <protection hidden="1"/>
    </xf>
    <xf numFmtId="2" fontId="10" fillId="0" borderId="0" xfId="0" applyNumberFormat="1" applyFont="1" applyAlignment="1" applyProtection="1">
      <alignment horizontal="right"/>
      <protection hidden="1"/>
    </xf>
    <xf numFmtId="4" fontId="10" fillId="0" borderId="0" xfId="0" applyNumberFormat="1" applyFont="1" applyProtection="1">
      <protection hidden="1"/>
    </xf>
    <xf numFmtId="4" fontId="2" fillId="0" borderId="0" xfId="1" applyNumberFormat="1" applyFont="1" applyAlignment="1" applyProtection="1">
      <alignment horizontal="right"/>
      <protection hidden="1"/>
    </xf>
    <xf numFmtId="2" fontId="7" fillId="7" borderId="8" xfId="0" applyNumberFormat="1" applyFont="1" applyFill="1" applyBorder="1" applyAlignment="1" applyProtection="1">
      <alignment horizontal="right"/>
      <protection hidden="1"/>
    </xf>
    <xf numFmtId="4" fontId="7" fillId="7" borderId="8" xfId="0" applyNumberFormat="1" applyFont="1" applyFill="1" applyBorder="1" applyProtection="1">
      <protection hidden="1"/>
    </xf>
    <xf numFmtId="0" fontId="7" fillId="7" borderId="8" xfId="0" applyFont="1" applyFill="1" applyBorder="1" applyAlignment="1" applyProtection="1">
      <alignment horizontal="right"/>
      <protection hidden="1"/>
    </xf>
    <xf numFmtId="4" fontId="7" fillId="7" borderId="8" xfId="0" applyNumberFormat="1" applyFont="1" applyFill="1" applyBorder="1" applyAlignment="1" applyProtection="1">
      <alignment horizontal="right"/>
      <protection hidden="1"/>
    </xf>
    <xf numFmtId="2" fontId="10" fillId="0" borderId="0" xfId="0" applyNumberFormat="1" applyFont="1" applyFill="1" applyBorder="1" applyAlignment="1" applyProtection="1">
      <alignment horizontal="right"/>
      <protection locked="0" hidden="1"/>
    </xf>
    <xf numFmtId="0" fontId="7" fillId="7" borderId="8" xfId="0" applyFont="1" applyFill="1" applyBorder="1" applyAlignment="1" applyProtection="1">
      <alignment horizontal="center"/>
      <protection hidden="1"/>
    </xf>
    <xf numFmtId="4" fontId="12" fillId="7" borderId="11" xfId="0" applyNumberFormat="1" applyFont="1" applyFill="1" applyBorder="1" applyAlignment="1" applyProtection="1">
      <alignment horizontal="right"/>
      <protection locked="0" hidden="1"/>
    </xf>
    <xf numFmtId="4" fontId="2" fillId="0" borderId="0" xfId="0" applyNumberFormat="1" applyFont="1" applyProtection="1">
      <protection hidden="1"/>
    </xf>
    <xf numFmtId="2" fontId="4" fillId="7" borderId="8" xfId="0" applyNumberFormat="1" applyFont="1" applyFill="1" applyBorder="1" applyProtection="1">
      <protection hidden="1"/>
    </xf>
    <xf numFmtId="4" fontId="4" fillId="7" borderId="8" xfId="0" applyNumberFormat="1" applyFont="1" applyFill="1" applyBorder="1" applyProtection="1">
      <protection hidden="1"/>
    </xf>
    <xf numFmtId="2" fontId="2" fillId="0" borderId="24" xfId="0" applyNumberFormat="1" applyFont="1" applyBorder="1" applyAlignment="1" applyProtection="1">
      <alignment horizontal="right"/>
      <protection hidden="1"/>
    </xf>
    <xf numFmtId="4" fontId="2" fillId="0" borderId="11" xfId="1" applyNumberFormat="1" applyFont="1" applyBorder="1" applyProtection="1">
      <protection hidden="1"/>
    </xf>
    <xf numFmtId="2" fontId="2" fillId="0" borderId="11" xfId="0" applyNumberFormat="1" applyFont="1" applyBorder="1" applyAlignment="1" applyProtection="1">
      <alignment horizontal="right"/>
      <protection hidden="1"/>
    </xf>
    <xf numFmtId="4" fontId="2" fillId="0" borderId="22" xfId="1" applyNumberFormat="1" applyFont="1" applyBorder="1" applyProtection="1">
      <protection hidden="1"/>
    </xf>
    <xf numFmtId="2" fontId="2" fillId="2" borderId="22" xfId="0" applyNumberFormat="1" applyFont="1" applyFill="1" applyBorder="1" applyAlignment="1" applyProtection="1">
      <alignment horizontal="right"/>
      <protection hidden="1"/>
    </xf>
    <xf numFmtId="4" fontId="4" fillId="2" borderId="24" xfId="1" applyNumberFormat="1" applyFont="1" applyFill="1" applyBorder="1" applyProtection="1">
      <protection hidden="1"/>
    </xf>
    <xf numFmtId="2" fontId="2" fillId="0" borderId="7" xfId="0" applyNumberFormat="1" applyFont="1" applyBorder="1" applyAlignment="1" applyProtection="1">
      <alignment horizontal="right"/>
      <protection hidden="1"/>
    </xf>
    <xf numFmtId="2" fontId="2" fillId="2" borderId="7" xfId="0" applyNumberFormat="1" applyFont="1" applyFill="1" applyBorder="1" applyAlignment="1" applyProtection="1">
      <alignment horizontal="right"/>
      <protection hidden="1"/>
    </xf>
    <xf numFmtId="4" fontId="4" fillId="2" borderId="7" xfId="1" applyNumberFormat="1" applyFont="1" applyFill="1" applyBorder="1" applyProtection="1">
      <protection hidden="1"/>
    </xf>
    <xf numFmtId="4" fontId="2" fillId="0" borderId="7" xfId="1" applyNumberFormat="1" applyFont="1" applyBorder="1" applyProtection="1">
      <protection hidden="1"/>
    </xf>
    <xf numFmtId="2" fontId="14" fillId="0" borderId="11" xfId="0" applyNumberFormat="1" applyFont="1" applyBorder="1" applyAlignment="1" applyProtection="1">
      <alignment horizontal="left"/>
      <protection hidden="1"/>
    </xf>
    <xf numFmtId="4" fontId="14" fillId="0" borderId="7" xfId="1" applyNumberFormat="1" applyFont="1" applyBorder="1" applyAlignment="1" applyProtection="1">
      <alignment horizontal="left"/>
      <protection hidden="1"/>
    </xf>
    <xf numFmtId="2" fontId="2" fillId="0" borderId="0" xfId="0" applyNumberFormat="1" applyFont="1" applyProtection="1">
      <protection hidden="1"/>
    </xf>
    <xf numFmtId="165" fontId="6" fillId="0" borderId="7" xfId="0" applyNumberFormat="1" applyFont="1" applyBorder="1" applyProtection="1">
      <protection hidden="1"/>
    </xf>
    <xf numFmtId="165" fontId="5" fillId="2" borderId="7" xfId="0" applyNumberFormat="1" applyFont="1" applyFill="1" applyBorder="1" applyProtection="1">
      <protection hidden="1"/>
    </xf>
    <xf numFmtId="165" fontId="2" fillId="0" borderId="0" xfId="0" applyNumberFormat="1" applyFont="1" applyProtection="1">
      <protection hidden="1"/>
    </xf>
    <xf numFmtId="2" fontId="2" fillId="2" borderId="4" xfId="0" applyNumberFormat="1" applyFont="1" applyFill="1" applyBorder="1" applyAlignment="1" applyProtection="1">
      <alignment horizontal="right"/>
      <protection hidden="1"/>
    </xf>
    <xf numFmtId="4" fontId="4" fillId="2" borderId="11" xfId="2" applyNumberFormat="1" applyFont="1" applyFill="1" applyBorder="1" applyAlignment="1" applyProtection="1">
      <alignment horizontal="right"/>
      <protection hidden="1"/>
    </xf>
    <xf numFmtId="4" fontId="2" fillId="0" borderId="0" xfId="0" applyNumberFormat="1" applyFont="1" applyAlignment="1" applyProtection="1">
      <alignment horizontal="right"/>
      <protection hidden="1"/>
    </xf>
    <xf numFmtId="2" fontId="2" fillId="2" borderId="0" xfId="0" applyNumberFormat="1" applyFont="1" applyFill="1" applyBorder="1" applyAlignment="1" applyProtection="1">
      <alignment horizontal="right"/>
      <protection hidden="1"/>
    </xf>
    <xf numFmtId="4" fontId="4" fillId="2" borderId="4" xfId="2" applyNumberFormat="1" applyFont="1" applyFill="1" applyBorder="1" applyAlignment="1" applyProtection="1">
      <alignment horizontal="right"/>
      <protection hidden="1"/>
    </xf>
    <xf numFmtId="2" fontId="2" fillId="0" borderId="2" xfId="0" applyNumberFormat="1" applyFont="1" applyBorder="1" applyAlignment="1" applyProtection="1">
      <alignment horizontal="right"/>
      <protection hidden="1"/>
    </xf>
    <xf numFmtId="2" fontId="4" fillId="0" borderId="25" xfId="0" applyNumberFormat="1" applyFont="1" applyBorder="1" applyAlignment="1" applyProtection="1">
      <alignment horizontal="right"/>
      <protection hidden="1"/>
    </xf>
    <xf numFmtId="4" fontId="4" fillId="0" borderId="25" xfId="0" applyNumberFormat="1" applyFont="1" applyBorder="1" applyAlignment="1" applyProtection="1">
      <alignment horizontal="right"/>
      <protection hidden="1"/>
    </xf>
    <xf numFmtId="2" fontId="2" fillId="2" borderId="0" xfId="0" applyNumberFormat="1" applyFont="1" applyFill="1" applyAlignment="1" applyProtection="1">
      <alignment horizontal="right"/>
      <protection hidden="1"/>
    </xf>
    <xf numFmtId="4" fontId="4" fillId="2" borderId="0" xfId="2" applyNumberFormat="1" applyFont="1" applyFill="1" applyAlignment="1" applyProtection="1">
      <alignment horizontal="right"/>
      <protection hidden="1"/>
    </xf>
    <xf numFmtId="4" fontId="14" fillId="0" borderId="0" xfId="0" applyNumberFormat="1" applyFont="1" applyAlignment="1" applyProtection="1">
      <alignment horizontal="left"/>
      <protection hidden="1"/>
    </xf>
    <xf numFmtId="2" fontId="2" fillId="0" borderId="0" xfId="0" applyNumberFormat="1" applyFont="1" applyBorder="1" applyAlignment="1" applyProtection="1">
      <alignment horizontal="right"/>
      <protection hidden="1"/>
    </xf>
    <xf numFmtId="4" fontId="2" fillId="2" borderId="4" xfId="2" applyNumberFormat="1" applyFont="1" applyFill="1" applyBorder="1" applyAlignment="1" applyProtection="1">
      <alignment horizontal="right"/>
      <protection hidden="1"/>
    </xf>
    <xf numFmtId="2" fontId="2" fillId="2" borderId="24" xfId="2" applyNumberFormat="1" applyFont="1" applyFill="1" applyBorder="1" applyAlignment="1" applyProtection="1">
      <alignment horizontal="right"/>
      <protection hidden="1"/>
    </xf>
    <xf numFmtId="2" fontId="2" fillId="0" borderId="11" xfId="2" applyNumberFormat="1" applyFont="1" applyBorder="1" applyAlignment="1" applyProtection="1">
      <alignment horizontal="right"/>
      <protection hidden="1"/>
    </xf>
    <xf numFmtId="2" fontId="2" fillId="2" borderId="22" xfId="2" applyNumberFormat="1" applyFont="1" applyFill="1" applyBorder="1" applyAlignment="1" applyProtection="1">
      <alignment horizontal="right"/>
      <protection hidden="1"/>
    </xf>
    <xf numFmtId="2" fontId="2" fillId="2" borderId="7" xfId="2" applyNumberFormat="1" applyFont="1" applyFill="1" applyBorder="1" applyAlignment="1" applyProtection="1">
      <alignment horizontal="right"/>
      <protection hidden="1"/>
    </xf>
    <xf numFmtId="2" fontId="2" fillId="0" borderId="2" xfId="2" applyNumberFormat="1" applyFont="1" applyBorder="1" applyAlignment="1" applyProtection="1">
      <alignment horizontal="right"/>
      <protection hidden="1"/>
    </xf>
    <xf numFmtId="2" fontId="14" fillId="0" borderId="11" xfId="2" applyNumberFormat="1" applyFont="1" applyBorder="1" applyAlignment="1" applyProtection="1">
      <alignment horizontal="left"/>
      <protection hidden="1"/>
    </xf>
    <xf numFmtId="2" fontId="2" fillId="0" borderId="0" xfId="2" applyNumberFormat="1" applyFont="1" applyBorder="1" applyAlignment="1" applyProtection="1">
      <alignment horizontal="right"/>
      <protection hidden="1"/>
    </xf>
    <xf numFmtId="2" fontId="4" fillId="2" borderId="24" xfId="2" applyNumberFormat="1" applyFont="1" applyFill="1" applyBorder="1" applyAlignment="1" applyProtection="1">
      <alignment horizontal="right"/>
      <protection hidden="1"/>
    </xf>
    <xf numFmtId="4" fontId="4" fillId="2" borderId="11" xfId="1" applyNumberFormat="1" applyFont="1" applyFill="1" applyBorder="1" applyProtection="1">
      <protection hidden="1"/>
    </xf>
    <xf numFmtId="2" fontId="4" fillId="2" borderId="22" xfId="2" applyNumberFormat="1" applyFont="1" applyFill="1" applyBorder="1" applyAlignment="1" applyProtection="1">
      <alignment horizontal="right"/>
      <protection hidden="1"/>
    </xf>
    <xf numFmtId="2" fontId="4" fillId="2" borderId="7" xfId="2" applyNumberFormat="1" applyFont="1" applyFill="1" applyBorder="1" applyAlignment="1" applyProtection="1">
      <alignment horizontal="right"/>
      <protection hidden="1"/>
    </xf>
    <xf numFmtId="2" fontId="2" fillId="0" borderId="7" xfId="2" applyNumberFormat="1" applyFont="1" applyBorder="1" applyAlignment="1" applyProtection="1">
      <alignment horizontal="right"/>
      <protection hidden="1"/>
    </xf>
    <xf numFmtId="4" fontId="14" fillId="0" borderId="2" xfId="1" applyNumberFormat="1" applyFont="1" applyBorder="1" applyAlignment="1" applyProtection="1">
      <alignment horizontal="left"/>
      <protection hidden="1"/>
    </xf>
    <xf numFmtId="4" fontId="2" fillId="0" borderId="2" xfId="1" applyNumberFormat="1" applyFont="1" applyBorder="1" applyProtection="1">
      <protection hidden="1"/>
    </xf>
    <xf numFmtId="2" fontId="2" fillId="0" borderId="11" xfId="0" applyNumberFormat="1" applyFont="1" applyBorder="1" applyProtection="1">
      <protection hidden="1"/>
    </xf>
    <xf numFmtId="0" fontId="2" fillId="0" borderId="8" xfId="0" applyFont="1" applyBorder="1" applyProtection="1">
      <protection hidden="1"/>
    </xf>
    <xf numFmtId="0" fontId="2" fillId="0" borderId="21" xfId="0" applyFont="1" applyBorder="1" applyProtection="1">
      <protection hidden="1"/>
    </xf>
    <xf numFmtId="0" fontId="2" fillId="0" borderId="0" xfId="4" applyFont="1" applyProtection="1">
      <protection hidden="1"/>
    </xf>
    <xf numFmtId="0" fontId="2" fillId="9" borderId="40" xfId="4" quotePrefix="1" applyFont="1" applyFill="1" applyBorder="1" applyProtection="1">
      <protection hidden="1"/>
    </xf>
    <xf numFmtId="0" fontId="2" fillId="9" borderId="41" xfId="4" quotePrefix="1" applyFont="1" applyFill="1" applyBorder="1" applyProtection="1">
      <protection hidden="1"/>
    </xf>
    <xf numFmtId="0" fontId="2" fillId="9" borderId="0" xfId="4" quotePrefix="1" applyFont="1" applyFill="1" applyBorder="1" applyProtection="1">
      <protection hidden="1"/>
    </xf>
    <xf numFmtId="0" fontId="2" fillId="9" borderId="43" xfId="4" quotePrefix="1" applyFont="1" applyFill="1" applyBorder="1" applyProtection="1">
      <protection hidden="1"/>
    </xf>
    <xf numFmtId="164" fontId="2" fillId="7" borderId="51" xfId="4" applyNumberFormat="1" applyFont="1" applyFill="1" applyBorder="1" applyProtection="1">
      <protection hidden="1"/>
    </xf>
    <xf numFmtId="164" fontId="2" fillId="7" borderId="54" xfId="4" applyNumberFormat="1" applyFont="1" applyFill="1" applyBorder="1" applyProtection="1">
      <protection hidden="1"/>
    </xf>
    <xf numFmtId="164" fontId="2" fillId="7" borderId="48" xfId="4" applyNumberFormat="1" applyFont="1" applyFill="1" applyBorder="1" applyProtection="1">
      <protection hidden="1"/>
    </xf>
    <xf numFmtId="0" fontId="2" fillId="9" borderId="45" xfId="4" quotePrefix="1" applyFont="1" applyFill="1" applyBorder="1" applyProtection="1">
      <protection hidden="1"/>
    </xf>
    <xf numFmtId="0" fontId="2" fillId="9" borderId="46" xfId="4" quotePrefix="1" applyFont="1" applyFill="1" applyBorder="1" applyProtection="1">
      <protection hidden="1"/>
    </xf>
    <xf numFmtId="164" fontId="2" fillId="7" borderId="52" xfId="4" applyNumberFormat="1" applyFont="1" applyFill="1" applyBorder="1" applyProtection="1">
      <protection hidden="1"/>
    </xf>
    <xf numFmtId="164" fontId="2" fillId="7" borderId="55" xfId="4" applyNumberFormat="1" applyFont="1" applyFill="1" applyBorder="1" applyProtection="1">
      <protection hidden="1"/>
    </xf>
    <xf numFmtId="164" fontId="2" fillId="7" borderId="49" xfId="4" applyNumberFormat="1" applyFont="1" applyFill="1" applyBorder="1" applyProtection="1">
      <protection hidden="1"/>
    </xf>
    <xf numFmtId="164" fontId="4" fillId="0" borderId="60" xfId="4" applyNumberFormat="1" applyFont="1" applyFill="1" applyBorder="1"/>
    <xf numFmtId="164" fontId="2" fillId="0" borderId="62" xfId="4" applyNumberFormat="1" applyFont="1" applyFill="1" applyBorder="1" applyProtection="1">
      <protection hidden="1"/>
    </xf>
    <xf numFmtId="164" fontId="2" fillId="0" borderId="64" xfId="4" applyNumberFormat="1" applyFont="1" applyFill="1" applyBorder="1" applyProtection="1">
      <protection hidden="1"/>
    </xf>
    <xf numFmtId="164" fontId="2" fillId="0" borderId="66" xfId="4" applyNumberFormat="1" applyFont="1" applyFill="1" applyBorder="1" applyProtection="1">
      <protection hidden="1"/>
    </xf>
    <xf numFmtId="164" fontId="4" fillId="5" borderId="32" xfId="4" applyNumberFormat="1" applyFont="1" applyFill="1" applyBorder="1" applyProtection="1">
      <protection hidden="1"/>
    </xf>
    <xf numFmtId="164" fontId="2" fillId="5" borderId="32" xfId="4" applyNumberFormat="1" applyFont="1" applyFill="1" applyBorder="1" applyProtection="1">
      <protection hidden="1"/>
    </xf>
    <xf numFmtId="164" fontId="2" fillId="0" borderId="37" xfId="4" applyNumberFormat="1" applyFont="1" applyFill="1" applyBorder="1" applyProtection="1">
      <protection hidden="1"/>
    </xf>
    <xf numFmtId="164" fontId="4" fillId="5" borderId="35" xfId="4" applyNumberFormat="1" applyFont="1" applyFill="1" applyBorder="1" applyProtection="1">
      <protection hidden="1"/>
    </xf>
    <xf numFmtId="0" fontId="4" fillId="5" borderId="30" xfId="4" applyFont="1" applyFill="1" applyBorder="1" applyAlignment="1" applyProtection="1">
      <alignment horizontal="center" vertical="center"/>
      <protection hidden="1"/>
    </xf>
    <xf numFmtId="164" fontId="2" fillId="0" borderId="60" xfId="4" applyNumberFormat="1" applyFont="1" applyFill="1" applyBorder="1" applyProtection="1">
      <protection hidden="1"/>
    </xf>
    <xf numFmtId="0" fontId="18" fillId="0" borderId="0" xfId="3" applyFont="1"/>
    <xf numFmtId="0" fontId="19" fillId="0" borderId="0" xfId="0" applyFont="1"/>
    <xf numFmtId="0" fontId="20" fillId="0" borderId="0" xfId="0" applyFont="1"/>
    <xf numFmtId="0" fontId="22" fillId="4" borderId="0" xfId="0" applyFont="1" applyFill="1" applyAlignment="1">
      <alignment horizontal="center"/>
    </xf>
    <xf numFmtId="0" fontId="18" fillId="0" borderId="0" xfId="3" applyFont="1" applyAlignment="1">
      <alignment horizontal="center"/>
    </xf>
    <xf numFmtId="0" fontId="19" fillId="5" borderId="5" xfId="0" applyFont="1" applyFill="1" applyBorder="1"/>
    <xf numFmtId="0" fontId="19" fillId="0" borderId="7" xfId="0" applyFont="1" applyBorder="1"/>
    <xf numFmtId="0" fontId="19" fillId="0" borderId="5" xfId="0" applyFont="1" applyBorder="1"/>
    <xf numFmtId="4" fontId="19" fillId="0" borderId="5" xfId="1" applyNumberFormat="1" applyFont="1" applyBorder="1"/>
    <xf numFmtId="0" fontId="19" fillId="2" borderId="7" xfId="0" applyFont="1" applyFill="1" applyBorder="1"/>
    <xf numFmtId="0" fontId="18" fillId="2" borderId="7" xfId="3" applyFont="1" applyFill="1" applyBorder="1"/>
    <xf numFmtId="0" fontId="21" fillId="2" borderId="7" xfId="0" applyFont="1" applyFill="1" applyBorder="1" applyAlignment="1">
      <alignment horizontal="center"/>
    </xf>
    <xf numFmtId="0" fontId="21" fillId="2" borderId="24" xfId="0" applyFont="1" applyFill="1" applyBorder="1" applyAlignment="1">
      <alignment horizontal="center"/>
    </xf>
    <xf numFmtId="4" fontId="19" fillId="5" borderId="5" xfId="1" applyNumberFormat="1" applyFont="1" applyFill="1" applyBorder="1"/>
    <xf numFmtId="0" fontId="19" fillId="0" borderId="7" xfId="0" applyFont="1" applyBorder="1" applyAlignment="1">
      <alignment horizontal="right"/>
    </xf>
    <xf numFmtId="0" fontId="23" fillId="0" borderId="7" xfId="3" applyFont="1" applyBorder="1"/>
    <xf numFmtId="2" fontId="19" fillId="0" borderId="24" xfId="0" applyNumberFormat="1" applyFont="1" applyBorder="1" applyAlignment="1" applyProtection="1">
      <alignment horizontal="right"/>
      <protection hidden="1"/>
    </xf>
    <xf numFmtId="4" fontId="19" fillId="0" borderId="11" xfId="1" applyNumberFormat="1" applyFont="1" applyBorder="1" applyProtection="1">
      <protection hidden="1"/>
    </xf>
    <xf numFmtId="9" fontId="19" fillId="0" borderId="5" xfId="0" applyNumberFormat="1" applyFont="1" applyBorder="1"/>
    <xf numFmtId="2" fontId="19" fillId="0" borderId="11" xfId="0" applyNumberFormat="1" applyFont="1" applyBorder="1" applyAlignment="1" applyProtection="1">
      <alignment horizontal="right"/>
      <protection hidden="1"/>
    </xf>
    <xf numFmtId="4" fontId="19" fillId="0" borderId="22" xfId="1" applyNumberFormat="1" applyFont="1" applyBorder="1" applyProtection="1">
      <protection hidden="1"/>
    </xf>
    <xf numFmtId="0" fontId="22" fillId="4" borderId="5" xfId="0" applyFont="1" applyFill="1" applyBorder="1" applyAlignment="1">
      <alignment horizontal="center"/>
    </xf>
    <xf numFmtId="44" fontId="22" fillId="4" borderId="5" xfId="1" applyFont="1" applyFill="1" applyBorder="1" applyAlignment="1">
      <alignment horizontal="center"/>
    </xf>
    <xf numFmtId="0" fontId="21" fillId="2" borderId="7" xfId="0" applyFont="1" applyFill="1" applyBorder="1" applyAlignment="1">
      <alignment horizontal="right"/>
    </xf>
    <xf numFmtId="0" fontId="24" fillId="2" borderId="7" xfId="0" applyFont="1" applyFill="1" applyBorder="1"/>
    <xf numFmtId="2" fontId="19" fillId="2" borderId="22" xfId="0" applyNumberFormat="1" applyFont="1" applyFill="1" applyBorder="1" applyAlignment="1" applyProtection="1">
      <alignment horizontal="right"/>
      <protection hidden="1"/>
    </xf>
    <xf numFmtId="4" fontId="21" fillId="2" borderId="24" xfId="1" applyNumberFormat="1" applyFont="1" applyFill="1" applyBorder="1" applyProtection="1">
      <protection hidden="1"/>
    </xf>
    <xf numFmtId="2" fontId="19" fillId="0" borderId="5" xfId="2" applyNumberFormat="1" applyFont="1" applyBorder="1"/>
    <xf numFmtId="4" fontId="19" fillId="11" borderId="0" xfId="0" applyNumberFormat="1" applyFont="1" applyFill="1"/>
    <xf numFmtId="2" fontId="19" fillId="0" borderId="7" xfId="0" applyNumberFormat="1" applyFont="1" applyBorder="1" applyAlignment="1" applyProtection="1">
      <alignment horizontal="right"/>
      <protection hidden="1"/>
    </xf>
    <xf numFmtId="2" fontId="19" fillId="5" borderId="5" xfId="2" applyNumberFormat="1" applyFont="1" applyFill="1" applyBorder="1"/>
    <xf numFmtId="2" fontId="19" fillId="2" borderId="7" xfId="0" applyNumberFormat="1" applyFont="1" applyFill="1" applyBorder="1" applyAlignment="1" applyProtection="1">
      <alignment horizontal="right"/>
      <protection hidden="1"/>
    </xf>
    <xf numFmtId="4" fontId="21" fillId="2" borderId="7" xfId="1" applyNumberFormat="1" applyFont="1" applyFill="1" applyBorder="1" applyProtection="1">
      <protection hidden="1"/>
    </xf>
    <xf numFmtId="4" fontId="19" fillId="0" borderId="7" xfId="1" applyNumberFormat="1" applyFont="1" applyBorder="1" applyProtection="1">
      <protection hidden="1"/>
    </xf>
    <xf numFmtId="0" fontId="25" fillId="0" borderId="7" xfId="0" applyFont="1" applyBorder="1"/>
    <xf numFmtId="2" fontId="19" fillId="2" borderId="24" xfId="0" applyNumberFormat="1" applyFont="1" applyFill="1" applyBorder="1" applyAlignment="1" applyProtection="1">
      <alignment horizontal="right"/>
      <protection hidden="1"/>
    </xf>
    <xf numFmtId="2" fontId="26" fillId="0" borderId="11" xfId="0" applyNumberFormat="1" applyFont="1" applyBorder="1" applyAlignment="1" applyProtection="1">
      <alignment horizontal="left"/>
      <protection hidden="1"/>
    </xf>
    <xf numFmtId="4" fontId="26" fillId="0" borderId="7" xfId="1" applyNumberFormat="1" applyFont="1" applyBorder="1" applyAlignment="1" applyProtection="1">
      <alignment horizontal="left"/>
      <protection hidden="1"/>
    </xf>
    <xf numFmtId="2" fontId="19" fillId="0" borderId="22" xfId="0" applyNumberFormat="1" applyFont="1" applyBorder="1" applyProtection="1">
      <protection hidden="1"/>
    </xf>
    <xf numFmtId="2" fontId="19" fillId="2" borderId="7" xfId="0" applyNumberFormat="1" applyFont="1" applyFill="1" applyBorder="1" applyProtection="1">
      <protection hidden="1"/>
    </xf>
    <xf numFmtId="44" fontId="19" fillId="0" borderId="0" xfId="0" applyNumberFormat="1" applyFont="1"/>
    <xf numFmtId="0" fontId="27" fillId="0" borderId="0" xfId="0" applyFont="1" applyAlignment="1">
      <alignment horizontal="right" vertical="center"/>
    </xf>
    <xf numFmtId="4" fontId="19" fillId="0" borderId="0" xfId="0" applyNumberFormat="1" applyFont="1"/>
    <xf numFmtId="2" fontId="21" fillId="2" borderId="7" xfId="0" applyNumberFormat="1" applyFont="1" applyFill="1" applyBorder="1" applyProtection="1">
      <protection hidden="1"/>
    </xf>
    <xf numFmtId="0" fontId="19" fillId="0" borderId="3" xfId="0" applyFont="1" applyBorder="1"/>
    <xf numFmtId="0" fontId="19" fillId="0" borderId="4" xfId="0" applyFont="1" applyBorder="1"/>
    <xf numFmtId="4" fontId="19" fillId="0" borderId="5" xfId="1" applyNumberFormat="1" applyFont="1" applyFill="1" applyBorder="1"/>
    <xf numFmtId="0" fontId="19" fillId="2" borderId="3" xfId="0" applyFont="1" applyFill="1" applyBorder="1"/>
    <xf numFmtId="0" fontId="19" fillId="2" borderId="4" xfId="0" applyFont="1" applyFill="1" applyBorder="1"/>
    <xf numFmtId="0" fontId="21" fillId="2" borderId="4" xfId="0" applyFont="1" applyFill="1" applyBorder="1" applyAlignment="1">
      <alignment horizontal="center"/>
    </xf>
    <xf numFmtId="4" fontId="19" fillId="0" borderId="0" xfId="0" applyNumberFormat="1" applyFont="1" applyFill="1"/>
    <xf numFmtId="2" fontId="21" fillId="2" borderId="24" xfId="2" applyNumberFormat="1" applyFont="1" applyFill="1" applyBorder="1" applyAlignment="1" applyProtection="1">
      <alignment horizontal="right"/>
      <protection hidden="1"/>
    </xf>
    <xf numFmtId="4" fontId="21" fillId="2" borderId="11" xfId="1" applyNumberFormat="1" applyFont="1" applyFill="1" applyBorder="1" applyProtection="1">
      <protection hidden="1"/>
    </xf>
    <xf numFmtId="0" fontId="28" fillId="0" borderId="0" xfId="0" applyFont="1" applyAlignment="1">
      <alignment horizontal="left" vertical="center"/>
    </xf>
    <xf numFmtId="10" fontId="19" fillId="0" borderId="5" xfId="1" applyNumberFormat="1" applyFont="1" applyBorder="1"/>
    <xf numFmtId="0" fontId="19" fillId="0" borderId="7" xfId="0" applyFont="1" applyBorder="1" applyAlignment="1">
      <alignment horizontal="center"/>
    </xf>
    <xf numFmtId="2" fontId="19" fillId="0" borderId="11" xfId="2" applyNumberFormat="1" applyFont="1" applyBorder="1" applyAlignment="1" applyProtection="1">
      <alignment horizontal="right"/>
      <protection hidden="1"/>
    </xf>
    <xf numFmtId="2" fontId="21" fillId="2" borderId="22" xfId="2" applyNumberFormat="1" applyFont="1" applyFill="1" applyBorder="1" applyAlignment="1" applyProtection="1">
      <alignment horizontal="right"/>
      <protection hidden="1"/>
    </xf>
    <xf numFmtId="2" fontId="21" fillId="2" borderId="7" xfId="2" applyNumberFormat="1" applyFont="1" applyFill="1" applyBorder="1" applyAlignment="1" applyProtection="1">
      <alignment horizontal="right"/>
      <protection hidden="1"/>
    </xf>
    <xf numFmtId="2" fontId="19" fillId="0" borderId="5" xfId="0" applyNumberFormat="1" applyFont="1" applyBorder="1"/>
    <xf numFmtId="2" fontId="19" fillId="0" borderId="7" xfId="2" applyNumberFormat="1" applyFont="1" applyBorder="1" applyAlignment="1" applyProtection="1">
      <alignment horizontal="right"/>
      <protection hidden="1"/>
    </xf>
    <xf numFmtId="2" fontId="26" fillId="0" borderId="11" xfId="2" applyNumberFormat="1" applyFont="1" applyBorder="1" applyAlignment="1" applyProtection="1">
      <alignment horizontal="left"/>
      <protection hidden="1"/>
    </xf>
    <xf numFmtId="0" fontId="19" fillId="0" borderId="1" xfId="0" applyFont="1" applyBorder="1" applyAlignment="1">
      <alignment horizontal="center"/>
    </xf>
    <xf numFmtId="0" fontId="25" fillId="0" borderId="2" xfId="0" applyFont="1" applyBorder="1"/>
    <xf numFmtId="4" fontId="26" fillId="0" borderId="2" xfId="1" applyNumberFormat="1" applyFont="1" applyBorder="1" applyAlignment="1" applyProtection="1">
      <alignment horizontal="left"/>
      <protection hidden="1"/>
    </xf>
    <xf numFmtId="0" fontId="19" fillId="0" borderId="3" xfId="0" applyFont="1" applyBorder="1" applyAlignment="1">
      <alignment horizontal="center"/>
    </xf>
    <xf numFmtId="0" fontId="25" fillId="0" borderId="4" xfId="0" applyFont="1" applyBorder="1"/>
    <xf numFmtId="2" fontId="19" fillId="0" borderId="0" xfId="2" applyNumberFormat="1" applyFont="1" applyBorder="1" applyAlignment="1" applyProtection="1">
      <alignment horizontal="right"/>
      <protection hidden="1"/>
    </xf>
    <xf numFmtId="4" fontId="19" fillId="0" borderId="2" xfId="1" applyNumberFormat="1" applyFont="1" applyBorder="1" applyProtection="1">
      <protection hidden="1"/>
    </xf>
    <xf numFmtId="0" fontId="3" fillId="3" borderId="1" xfId="0" applyFont="1" applyFill="1" applyBorder="1" applyAlignment="1">
      <alignment horizontal="center"/>
    </xf>
    <xf numFmtId="0" fontId="3" fillId="3" borderId="2" xfId="0" applyFont="1" applyFill="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3" fillId="6" borderId="0" xfId="0" applyFont="1" applyFill="1" applyAlignment="1">
      <alignment horizontal="center"/>
    </xf>
    <xf numFmtId="0" fontId="21" fillId="0" borderId="0" xfId="0" applyFont="1" applyAlignment="1">
      <alignment vertical="top" wrapText="1"/>
    </xf>
    <xf numFmtId="0" fontId="22" fillId="3" borderId="1" xfId="0" applyFont="1" applyFill="1" applyBorder="1" applyAlignment="1">
      <alignment horizontal="center"/>
    </xf>
    <xf numFmtId="0" fontId="22" fillId="3" borderId="2" xfId="0" applyFont="1" applyFill="1" applyBorder="1" applyAlignment="1">
      <alignment horizontal="center"/>
    </xf>
    <xf numFmtId="0" fontId="19" fillId="2" borderId="6" xfId="0" applyFont="1" applyFill="1" applyBorder="1" applyAlignment="1">
      <alignment horizontal="center"/>
    </xf>
    <xf numFmtId="0" fontId="19" fillId="2" borderId="1" xfId="0" applyFont="1" applyFill="1" applyBorder="1" applyAlignment="1">
      <alignment horizontal="center"/>
    </xf>
    <xf numFmtId="0" fontId="19" fillId="2" borderId="2" xfId="0" applyFont="1" applyFill="1" applyBorder="1" applyAlignment="1">
      <alignment horizont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2" fillId="2" borderId="6" xfId="0" applyFont="1" applyFill="1" applyBorder="1" applyAlignment="1">
      <alignment horizontal="center"/>
    </xf>
    <xf numFmtId="0" fontId="7" fillId="7" borderId="14" xfId="0" applyFont="1" applyFill="1" applyBorder="1" applyAlignment="1" applyProtection="1">
      <alignment horizontal="center" vertical="center" wrapText="1"/>
      <protection hidden="1"/>
    </xf>
    <xf numFmtId="0" fontId="7" fillId="7" borderId="15" xfId="0" applyFont="1" applyFill="1" applyBorder="1" applyAlignment="1" applyProtection="1">
      <alignment horizontal="center" vertical="center" wrapText="1"/>
      <protection hidden="1"/>
    </xf>
    <xf numFmtId="0" fontId="4" fillId="0" borderId="13" xfId="0" applyFont="1" applyBorder="1" applyAlignment="1" applyProtection="1">
      <protection hidden="1"/>
    </xf>
    <xf numFmtId="0" fontId="4" fillId="0" borderId="17" xfId="0" applyFont="1" applyBorder="1" applyAlignment="1" applyProtection="1">
      <protection hidden="1"/>
    </xf>
    <xf numFmtId="4" fontId="4" fillId="0" borderId="12" xfId="0" applyNumberFormat="1" applyFont="1" applyBorder="1" applyAlignment="1" applyProtection="1">
      <protection hidden="1"/>
    </xf>
    <xf numFmtId="4" fontId="4" fillId="0" borderId="15" xfId="0" applyNumberFormat="1" applyFont="1" applyBorder="1" applyAlignment="1" applyProtection="1">
      <protection hidden="1"/>
    </xf>
    <xf numFmtId="0" fontId="4" fillId="0" borderId="14" xfId="0" applyFont="1" applyBorder="1" applyAlignment="1"/>
    <xf numFmtId="0" fontId="4" fillId="0" borderId="12" xfId="0" applyFont="1" applyBorder="1" applyAlignment="1"/>
    <xf numFmtId="0" fontId="4" fillId="0" borderId="16" xfId="0" applyFont="1" applyBorder="1" applyAlignment="1"/>
    <xf numFmtId="0" fontId="4" fillId="0" borderId="13" xfId="0" applyFont="1" applyBorder="1" applyAlignment="1"/>
    <xf numFmtId="0" fontId="4" fillId="9" borderId="39" xfId="4" applyFont="1" applyFill="1" applyBorder="1" applyAlignment="1" applyProtection="1">
      <alignment horizontal="left" vertical="center" wrapText="1"/>
      <protection hidden="1"/>
    </xf>
    <xf numFmtId="0" fontId="4" fillId="9" borderId="42" xfId="4" applyFont="1" applyFill="1" applyBorder="1" applyAlignment="1" applyProtection="1">
      <alignment horizontal="left" vertical="center"/>
      <protection hidden="1"/>
    </xf>
    <xf numFmtId="0" fontId="4" fillId="9" borderId="44" xfId="4" applyFont="1" applyFill="1" applyBorder="1" applyAlignment="1" applyProtection="1">
      <alignment horizontal="left" vertical="center"/>
      <protection hidden="1"/>
    </xf>
    <xf numFmtId="0" fontId="3" fillId="4" borderId="56" xfId="4" applyFont="1" applyFill="1" applyBorder="1" applyAlignment="1">
      <alignment horizontal="center" vertical="center"/>
    </xf>
    <xf numFmtId="0" fontId="3" fillId="4" borderId="57" xfId="4" applyFont="1" applyFill="1" applyBorder="1" applyAlignment="1">
      <alignment horizontal="center" vertical="center"/>
    </xf>
    <xf numFmtId="0" fontId="3" fillId="4" borderId="58" xfId="4" applyFont="1" applyFill="1" applyBorder="1" applyAlignment="1">
      <alignment horizontal="center" vertical="center"/>
    </xf>
    <xf numFmtId="0" fontId="4" fillId="5" borderId="28" xfId="4" applyFont="1" applyFill="1" applyBorder="1" applyAlignment="1">
      <alignment horizontal="left" vertical="center"/>
    </xf>
    <xf numFmtId="0" fontId="4" fillId="5" borderId="31" xfId="4" applyFont="1" applyFill="1" applyBorder="1" applyAlignment="1">
      <alignment horizontal="left" vertical="center"/>
    </xf>
    <xf numFmtId="0" fontId="4" fillId="5" borderId="33" xfId="4" applyFont="1" applyFill="1" applyBorder="1" applyAlignment="1">
      <alignment horizontal="left" vertical="center"/>
    </xf>
    <xf numFmtId="0" fontId="3" fillId="10" borderId="50" xfId="4" applyFont="1" applyFill="1" applyBorder="1" applyAlignment="1" applyProtection="1">
      <alignment horizontal="left" vertical="center"/>
      <protection hidden="1"/>
    </xf>
    <xf numFmtId="0" fontId="3" fillId="10" borderId="52" xfId="4" applyFont="1" applyFill="1" applyBorder="1" applyAlignment="1" applyProtection="1">
      <alignment horizontal="left" vertical="center"/>
      <protection hidden="1"/>
    </xf>
    <xf numFmtId="0" fontId="3" fillId="10" borderId="50" xfId="4" applyFont="1" applyFill="1" applyBorder="1" applyAlignment="1" applyProtection="1">
      <alignment horizontal="center" vertical="center" wrapText="1"/>
      <protection hidden="1"/>
    </xf>
    <xf numFmtId="0" fontId="3" fillId="10" borderId="52" xfId="4" applyFont="1" applyFill="1" applyBorder="1" applyAlignment="1" applyProtection="1">
      <alignment horizontal="center" vertical="center"/>
      <protection hidden="1"/>
    </xf>
    <xf numFmtId="0" fontId="3" fillId="10" borderId="53" xfId="4" applyFont="1" applyFill="1" applyBorder="1" applyAlignment="1" applyProtection="1">
      <alignment horizontal="center" vertical="center" wrapText="1"/>
      <protection hidden="1"/>
    </xf>
    <xf numFmtId="0" fontId="3" fillId="10" borderId="55" xfId="4" applyFont="1" applyFill="1" applyBorder="1" applyAlignment="1" applyProtection="1">
      <alignment horizontal="center" vertical="center"/>
      <protection hidden="1"/>
    </xf>
    <xf numFmtId="0" fontId="3" fillId="10" borderId="50" xfId="4" applyFont="1" applyFill="1" applyBorder="1" applyAlignment="1" applyProtection="1">
      <alignment horizontal="center" vertical="center"/>
      <protection hidden="1"/>
    </xf>
    <xf numFmtId="0" fontId="3" fillId="10" borderId="47" xfId="4" applyFont="1" applyFill="1" applyBorder="1" applyAlignment="1" applyProtection="1">
      <alignment horizontal="center" vertical="center"/>
      <protection hidden="1"/>
    </xf>
    <xf numFmtId="0" fontId="3" fillId="10" borderId="49" xfId="4" applyFont="1" applyFill="1" applyBorder="1" applyAlignment="1" applyProtection="1">
      <alignment horizontal="center" vertical="center"/>
      <protection hidden="1"/>
    </xf>
  </cellXfs>
  <cellStyles count="5">
    <cellStyle name="Link" xfId="3" builtinId="8"/>
    <cellStyle name="Prozent" xfId="2" builtinId="5"/>
    <cellStyle name="Standard" xfId="0" builtinId="0"/>
    <cellStyle name="Standard 2" xfId="4" xr:uid="{00000000-0005-0000-0000-000003000000}"/>
    <cellStyle name="Währung" xfId="1" builtinId="4"/>
  </cellStyles>
  <dxfs count="2">
    <dxf>
      <font>
        <color rgb="FFFF0000"/>
      </font>
      <fill>
        <patternFill>
          <bgColor theme="9" tint="0.39994506668294322"/>
        </patternFill>
      </fill>
    </dxf>
    <dxf>
      <font>
        <color rgb="FF00A499"/>
      </font>
      <fill>
        <patternFill>
          <bgColor theme="8" tint="0.79998168889431442"/>
        </patternFill>
      </fill>
    </dxf>
  </dxfs>
  <tableStyles count="0" defaultTableStyle="TableStyleMedium2" defaultPivotStyle="PivotStyleLight16"/>
  <colors>
    <mruColors>
      <color rgb="FF00A499"/>
      <color rgb="FF00F2E1"/>
      <color rgb="FFFF8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Grafische Darstellung der Ermittlung des kritischen Umsatzes</a:t>
            </a:r>
          </a:p>
        </c:rich>
      </c:tx>
      <c:overlay val="0"/>
    </c:title>
    <c:autoTitleDeleted val="0"/>
    <c:plotArea>
      <c:layout>
        <c:manualLayout>
          <c:layoutTarget val="inner"/>
          <c:xMode val="edge"/>
          <c:yMode val="edge"/>
          <c:x val="0.20813240951030462"/>
          <c:y val="0.17813849040649396"/>
          <c:w val="0.57544921086913914"/>
          <c:h val="0.58269522806107354"/>
        </c:manualLayout>
      </c:layout>
      <c:scatterChart>
        <c:scatterStyle val="lineMarker"/>
        <c:varyColors val="0"/>
        <c:ser>
          <c:idx val="1"/>
          <c:order val="0"/>
          <c:tx>
            <c:v>Reisender</c:v>
          </c:tx>
          <c:spPr>
            <a:ln w="22225">
              <a:solidFill>
                <a:schemeClr val="accent6">
                  <a:lumMod val="60000"/>
                  <a:lumOff val="40000"/>
                </a:schemeClr>
              </a:solidFill>
            </a:ln>
          </c:spPr>
          <c:marker>
            <c:spPr>
              <a:solidFill>
                <a:schemeClr val="accent6">
                  <a:lumMod val="60000"/>
                  <a:lumOff val="40000"/>
                </a:schemeClr>
              </a:solidFill>
              <a:ln>
                <a:solidFill>
                  <a:schemeClr val="accent6">
                    <a:lumMod val="60000"/>
                    <a:lumOff val="40000"/>
                  </a:schemeClr>
                </a:solidFill>
              </a:ln>
            </c:spPr>
          </c:marker>
          <c:xVal>
            <c:numRef>
              <c:f>'Kritischer Umsatz'!$B$18:$B$23</c:f>
              <c:numCache>
                <c:formatCode>#,##0.00\ "€"</c:formatCode>
                <c:ptCount val="6"/>
                <c:pt idx="0">
                  <c:v>0</c:v>
                </c:pt>
                <c:pt idx="1">
                  <c:v>100000</c:v>
                </c:pt>
                <c:pt idx="2">
                  <c:v>200000</c:v>
                </c:pt>
                <c:pt idx="3">
                  <c:v>300000</c:v>
                </c:pt>
                <c:pt idx="4">
                  <c:v>400000</c:v>
                </c:pt>
                <c:pt idx="5">
                  <c:v>500000</c:v>
                </c:pt>
              </c:numCache>
            </c:numRef>
          </c:xVal>
          <c:yVal>
            <c:numRef>
              <c:f>'Kritischer Umsatz'!$C$18:$C$23</c:f>
              <c:numCache>
                <c:formatCode>#,##0.00\ "€"</c:formatCode>
                <c:ptCount val="6"/>
                <c:pt idx="0">
                  <c:v>25500</c:v>
                </c:pt>
                <c:pt idx="1">
                  <c:v>27500</c:v>
                </c:pt>
                <c:pt idx="2">
                  <c:v>29500</c:v>
                </c:pt>
                <c:pt idx="3">
                  <c:v>31500</c:v>
                </c:pt>
                <c:pt idx="4">
                  <c:v>33500</c:v>
                </c:pt>
                <c:pt idx="5">
                  <c:v>35500</c:v>
                </c:pt>
              </c:numCache>
            </c:numRef>
          </c:yVal>
          <c:smooth val="0"/>
          <c:extLst>
            <c:ext xmlns:c16="http://schemas.microsoft.com/office/drawing/2014/chart" uri="{C3380CC4-5D6E-409C-BE32-E72D297353CC}">
              <c16:uniqueId val="{00000000-8E0A-44CA-81A8-7111E3CFD54C}"/>
            </c:ext>
          </c:extLst>
        </c:ser>
        <c:ser>
          <c:idx val="2"/>
          <c:order val="1"/>
          <c:tx>
            <c:v>Handelsvertreter</c:v>
          </c:tx>
          <c:spPr>
            <a:ln w="22225">
              <a:solidFill>
                <a:schemeClr val="accent6"/>
              </a:solidFill>
            </a:ln>
          </c:spPr>
          <c:marker>
            <c:spPr>
              <a:solidFill>
                <a:srgbClr val="FF8200"/>
              </a:solidFill>
              <a:ln>
                <a:solidFill>
                  <a:schemeClr val="accent6"/>
                </a:solidFill>
              </a:ln>
            </c:spPr>
          </c:marker>
          <c:xVal>
            <c:numRef>
              <c:f>'Kritischer Umsatz'!$B$18:$B$23</c:f>
              <c:numCache>
                <c:formatCode>#,##0.00\ "€"</c:formatCode>
                <c:ptCount val="6"/>
                <c:pt idx="0">
                  <c:v>0</c:v>
                </c:pt>
                <c:pt idx="1">
                  <c:v>100000</c:v>
                </c:pt>
                <c:pt idx="2">
                  <c:v>200000</c:v>
                </c:pt>
                <c:pt idx="3">
                  <c:v>300000</c:v>
                </c:pt>
                <c:pt idx="4">
                  <c:v>400000</c:v>
                </c:pt>
                <c:pt idx="5">
                  <c:v>500000</c:v>
                </c:pt>
              </c:numCache>
            </c:numRef>
          </c:xVal>
          <c:yVal>
            <c:numRef>
              <c:f>'Kritischer Umsatz'!$D$18:$D$23</c:f>
              <c:numCache>
                <c:formatCode>#,##0.00\ "€"</c:formatCode>
                <c:ptCount val="6"/>
                <c:pt idx="0">
                  <c:v>0</c:v>
                </c:pt>
                <c:pt idx="1">
                  <c:v>9000</c:v>
                </c:pt>
                <c:pt idx="2">
                  <c:v>18000</c:v>
                </c:pt>
                <c:pt idx="3">
                  <c:v>27000</c:v>
                </c:pt>
                <c:pt idx="4">
                  <c:v>36000</c:v>
                </c:pt>
                <c:pt idx="5">
                  <c:v>45000</c:v>
                </c:pt>
              </c:numCache>
            </c:numRef>
          </c:yVal>
          <c:smooth val="0"/>
          <c:extLst>
            <c:ext xmlns:c16="http://schemas.microsoft.com/office/drawing/2014/chart" uri="{C3380CC4-5D6E-409C-BE32-E72D297353CC}">
              <c16:uniqueId val="{00000001-8E0A-44CA-81A8-7111E3CFD54C}"/>
            </c:ext>
          </c:extLst>
        </c:ser>
        <c:ser>
          <c:idx val="0"/>
          <c:order val="2"/>
          <c:tx>
            <c:strRef>
              <c:f>'Kritischer Umsatz'!$E$16</c:f>
              <c:strCache>
                <c:ptCount val="1"/>
                <c:pt idx="0">
                  <c:v>Kritischer Umsatz</c:v>
                </c:pt>
              </c:strCache>
            </c:strRef>
          </c:tx>
          <c:spPr>
            <a:ln w="22225">
              <a:solidFill>
                <a:schemeClr val="bg1">
                  <a:lumMod val="50000"/>
                </a:schemeClr>
              </a:solidFill>
            </a:ln>
          </c:spPr>
          <c:marker>
            <c:symbol val="circle"/>
            <c:size val="9"/>
            <c:spPr>
              <a:solidFill>
                <a:schemeClr val="bg1">
                  <a:lumMod val="50000"/>
                </a:schemeClr>
              </a:solidFill>
              <a:ln>
                <a:solidFill>
                  <a:schemeClr val="bg1">
                    <a:lumMod val="50000"/>
                  </a:schemeClr>
                </a:solidFill>
              </a:ln>
            </c:spPr>
          </c:marker>
          <c:dLbls>
            <c:dLbl>
              <c:idx val="0"/>
              <c:layout>
                <c:manualLayout>
                  <c:x val="-5.1035950826996135E-3"/>
                  <c:y val="6.7050958252859852E-2"/>
                </c:manualLayout>
              </c:layout>
              <c:numFmt formatCode="#,##0" sourceLinked="0"/>
              <c:spPr>
                <a:noFill/>
                <a:ln>
                  <a:noFill/>
                </a:ln>
                <a:effectLst/>
              </c:spPr>
              <c:txPr>
                <a:bodyPr wrap="square" lIns="38100" tIns="19050" rIns="38100" bIns="19050" anchor="ctr">
                  <a:spAutoFit/>
                </a:bodyPr>
                <a:lstStyle/>
                <a:p>
                  <a:pPr>
                    <a:defRPr/>
                  </a:pPr>
                  <a:endParaRPr lang="de-DE"/>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E0A-44CA-81A8-7111E3CFD54C}"/>
                </c:ext>
              </c:extLst>
            </c:dLbl>
            <c:dLbl>
              <c:idx val="1"/>
              <c:delete val="1"/>
              <c:extLst>
                <c:ext xmlns:c15="http://schemas.microsoft.com/office/drawing/2012/chart" uri="{CE6537A1-D6FC-4f65-9D91-7224C49458BB}"/>
                <c:ext xmlns:c16="http://schemas.microsoft.com/office/drawing/2014/chart" uri="{C3380CC4-5D6E-409C-BE32-E72D297353CC}">
                  <c16:uniqueId val="{00000003-8E0A-44CA-81A8-7111E3CFD54C}"/>
                </c:ext>
              </c:extLst>
            </c:dLbl>
            <c:numFmt formatCode="#,##0.00\ &quot;€&quot;" sourceLinked="0"/>
            <c:spPr>
              <a:noFill/>
              <a:ln>
                <a:noFill/>
              </a:ln>
              <a:effectLst/>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'Kritischer Umsatz'!$E$18:$E$19</c:f>
              <c:numCache>
                <c:formatCode>#,##0.00\ "€"</c:formatCode>
                <c:ptCount val="2"/>
                <c:pt idx="0">
                  <c:v>364285.71428571432</c:v>
                </c:pt>
                <c:pt idx="1">
                  <c:v>364285.71428571432</c:v>
                </c:pt>
              </c:numCache>
            </c:numRef>
          </c:xVal>
          <c:yVal>
            <c:numRef>
              <c:f>'Kritischer Umsatz'!$F$18:$F$19</c:f>
              <c:numCache>
                <c:formatCode>#,##0.00\ "€"</c:formatCode>
                <c:ptCount val="2"/>
                <c:pt idx="0">
                  <c:v>32785.71428571429</c:v>
                </c:pt>
                <c:pt idx="1">
                  <c:v>0</c:v>
                </c:pt>
              </c:numCache>
            </c:numRef>
          </c:yVal>
          <c:smooth val="0"/>
          <c:extLst>
            <c:ext xmlns:c16="http://schemas.microsoft.com/office/drawing/2014/chart" uri="{C3380CC4-5D6E-409C-BE32-E72D297353CC}">
              <c16:uniqueId val="{00000004-8E0A-44CA-81A8-7111E3CFD54C}"/>
            </c:ext>
          </c:extLst>
        </c:ser>
        <c:dLbls>
          <c:showLegendKey val="0"/>
          <c:showVal val="0"/>
          <c:showCatName val="0"/>
          <c:showSerName val="0"/>
          <c:showPercent val="0"/>
          <c:showBubbleSize val="0"/>
        </c:dLbls>
        <c:axId val="236082304"/>
        <c:axId val="228037376"/>
      </c:scatterChart>
      <c:valAx>
        <c:axId val="236082304"/>
        <c:scaling>
          <c:orientation val="minMax"/>
        </c:scaling>
        <c:delete val="0"/>
        <c:axPos val="b"/>
        <c:title>
          <c:tx>
            <c:rich>
              <a:bodyPr/>
              <a:lstStyle/>
              <a:p>
                <a:pPr>
                  <a:defRPr/>
                </a:pPr>
                <a:r>
                  <a:rPr lang="en-US"/>
                  <a:t>Umsatz in EUR</a:t>
                </a:r>
              </a:p>
            </c:rich>
          </c:tx>
          <c:layout>
            <c:manualLayout>
              <c:xMode val="edge"/>
              <c:yMode val="edge"/>
              <c:x val="0.48680852809759523"/>
              <c:y val="0.91064344930451979"/>
            </c:manualLayout>
          </c:layout>
          <c:overlay val="0"/>
        </c:title>
        <c:numFmt formatCode="#,##0" sourceLinked="0"/>
        <c:majorTickMark val="out"/>
        <c:minorTickMark val="none"/>
        <c:tickLblPos val="nextTo"/>
        <c:spPr>
          <a:ln>
            <a:solidFill>
              <a:schemeClr val="bg1">
                <a:lumMod val="65000"/>
              </a:schemeClr>
            </a:solidFill>
          </a:ln>
        </c:spPr>
        <c:txPr>
          <a:bodyPr rot="-5400000" vert="horz"/>
          <a:lstStyle/>
          <a:p>
            <a:pPr>
              <a:defRPr/>
            </a:pPr>
            <a:endParaRPr lang="de-DE"/>
          </a:p>
        </c:txPr>
        <c:crossAx val="228037376"/>
        <c:crosses val="autoZero"/>
        <c:crossBetween val="midCat"/>
        <c:majorUnit val="100000"/>
      </c:valAx>
      <c:valAx>
        <c:axId val="228037376"/>
        <c:scaling>
          <c:orientation val="minMax"/>
        </c:scaling>
        <c:delete val="0"/>
        <c:axPos val="l"/>
        <c:title>
          <c:tx>
            <c:rich>
              <a:bodyPr rot="-5400000" vert="horz" anchor="ctr" anchorCtr="0"/>
              <a:lstStyle/>
              <a:p>
                <a:pPr>
                  <a:defRPr/>
                </a:pPr>
                <a:r>
                  <a:rPr lang="en-US"/>
                  <a:t>Kosten in EUR</a:t>
                </a:r>
              </a:p>
            </c:rich>
          </c:tx>
          <c:layout>
            <c:manualLayout>
              <c:xMode val="edge"/>
              <c:yMode val="edge"/>
              <c:x val="9.5834502088742446E-2"/>
              <c:y val="0.33904136196811874"/>
            </c:manualLayout>
          </c:layout>
          <c:overlay val="0"/>
        </c:title>
        <c:numFmt formatCode="#,##0" sourceLinked="0"/>
        <c:majorTickMark val="out"/>
        <c:minorTickMark val="none"/>
        <c:tickLblPos val="nextTo"/>
        <c:spPr>
          <a:ln>
            <a:solidFill>
              <a:schemeClr val="bg1">
                <a:lumMod val="65000"/>
              </a:schemeClr>
            </a:solidFill>
          </a:ln>
        </c:spPr>
        <c:crossAx val="236082304"/>
        <c:crosses val="autoZero"/>
        <c:crossBetween val="midCat"/>
      </c:valAx>
      <c:spPr>
        <a:solidFill>
          <a:schemeClr val="accent6">
            <a:lumMod val="20000"/>
            <a:lumOff val="80000"/>
          </a:schemeClr>
        </a:solidFill>
      </c:spPr>
    </c:plotArea>
    <c:legend>
      <c:legendPos val="r"/>
      <c:overlay val="0"/>
    </c:legend>
    <c:plotVisOnly val="1"/>
    <c:dispBlanksAs val="gap"/>
    <c:showDLblsOverMax val="0"/>
  </c:chart>
  <c:spPr>
    <a:solidFill>
      <a:schemeClr val="accent6">
        <a:lumMod val="20000"/>
        <a:lumOff val="80000"/>
      </a:schemeClr>
    </a:solidFill>
    <a:ln w="19050">
      <a:solidFill>
        <a:srgbClr val="FF0000"/>
      </a:solidFill>
    </a:ln>
  </c:spPr>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514350</xdr:colOff>
      <xdr:row>4</xdr:row>
      <xdr:rowOff>66675</xdr:rowOff>
    </xdr:from>
    <xdr:to>
      <xdr:col>5</xdr:col>
      <xdr:colOff>514350</xdr:colOff>
      <xdr:row>13</xdr:row>
      <xdr:rowOff>0</xdr:rowOff>
    </xdr:to>
    <xdr:sp macro="" textlink="">
      <xdr:nvSpPr>
        <xdr:cNvPr id="5" name="Line 1">
          <a:extLst>
            <a:ext uri="{FF2B5EF4-FFF2-40B4-BE49-F238E27FC236}">
              <a16:creationId xmlns:a16="http://schemas.microsoft.com/office/drawing/2014/main" id="{00000000-0008-0000-0300-000005000000}"/>
            </a:ext>
          </a:extLst>
        </xdr:cNvPr>
        <xdr:cNvSpPr>
          <a:spLocks noChangeShapeType="1"/>
        </xdr:cNvSpPr>
      </xdr:nvSpPr>
      <xdr:spPr bwMode="auto">
        <a:xfrm>
          <a:off x="4219575" y="1019175"/>
          <a:ext cx="0" cy="16478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514350</xdr:colOff>
      <xdr:row>14</xdr:row>
      <xdr:rowOff>19050</xdr:rowOff>
    </xdr:from>
    <xdr:to>
      <xdr:col>5</xdr:col>
      <xdr:colOff>514350</xdr:colOff>
      <xdr:row>21</xdr:row>
      <xdr:rowOff>0</xdr:rowOff>
    </xdr:to>
    <xdr:sp macro="" textlink="">
      <xdr:nvSpPr>
        <xdr:cNvPr id="6" name="Line 2">
          <a:extLst>
            <a:ext uri="{FF2B5EF4-FFF2-40B4-BE49-F238E27FC236}">
              <a16:creationId xmlns:a16="http://schemas.microsoft.com/office/drawing/2014/main" id="{00000000-0008-0000-0300-000006000000}"/>
            </a:ext>
          </a:extLst>
        </xdr:cNvPr>
        <xdr:cNvSpPr>
          <a:spLocks noChangeShapeType="1"/>
        </xdr:cNvSpPr>
      </xdr:nvSpPr>
      <xdr:spPr bwMode="auto">
        <a:xfrm flipV="1">
          <a:off x="4219575" y="2876550"/>
          <a:ext cx="0" cy="11239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514350</xdr:colOff>
      <xdr:row>4</xdr:row>
      <xdr:rowOff>76200</xdr:rowOff>
    </xdr:from>
    <xdr:to>
      <xdr:col>7</xdr:col>
      <xdr:colOff>514350</xdr:colOff>
      <xdr:row>21</xdr:row>
      <xdr:rowOff>0</xdr:rowOff>
    </xdr:to>
    <xdr:sp macro="" textlink="">
      <xdr:nvSpPr>
        <xdr:cNvPr id="7" name="Line 3">
          <a:extLst>
            <a:ext uri="{FF2B5EF4-FFF2-40B4-BE49-F238E27FC236}">
              <a16:creationId xmlns:a16="http://schemas.microsoft.com/office/drawing/2014/main" id="{00000000-0008-0000-0300-000007000000}"/>
            </a:ext>
          </a:extLst>
        </xdr:cNvPr>
        <xdr:cNvSpPr>
          <a:spLocks noChangeShapeType="1"/>
        </xdr:cNvSpPr>
      </xdr:nvSpPr>
      <xdr:spPr bwMode="auto">
        <a:xfrm flipV="1">
          <a:off x="5953125" y="1028700"/>
          <a:ext cx="0" cy="29718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476250</xdr:colOff>
      <xdr:row>4</xdr:row>
      <xdr:rowOff>76200</xdr:rowOff>
    </xdr:from>
    <xdr:to>
      <xdr:col>3</xdr:col>
      <xdr:colOff>476250</xdr:colOff>
      <xdr:row>21</xdr:row>
      <xdr:rowOff>0</xdr:rowOff>
    </xdr:to>
    <xdr:sp macro="" textlink="">
      <xdr:nvSpPr>
        <xdr:cNvPr id="8" name="Line 3">
          <a:extLst>
            <a:ext uri="{FF2B5EF4-FFF2-40B4-BE49-F238E27FC236}">
              <a16:creationId xmlns:a16="http://schemas.microsoft.com/office/drawing/2014/main" id="{00000000-0008-0000-0300-000008000000}"/>
            </a:ext>
          </a:extLst>
        </xdr:cNvPr>
        <xdr:cNvSpPr>
          <a:spLocks noChangeShapeType="1"/>
        </xdr:cNvSpPr>
      </xdr:nvSpPr>
      <xdr:spPr bwMode="auto">
        <a:xfrm flipV="1">
          <a:off x="3314700" y="847725"/>
          <a:ext cx="0" cy="33147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a:tailEnd type="none"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23</xdr:row>
      <xdr:rowOff>180975</xdr:rowOff>
    </xdr:from>
    <xdr:to>
      <xdr:col>6</xdr:col>
      <xdr:colOff>1</xdr:colOff>
      <xdr:row>46</xdr:row>
      <xdr:rowOff>123825</xdr:rowOff>
    </xdr:to>
    <xdr:graphicFrame macro="">
      <xdr:nvGraphicFramePr>
        <xdr:cNvPr id="2" name="Diagramm 1">
          <a:extLst>
            <a:ext uri="{FF2B5EF4-FFF2-40B4-BE49-F238E27FC236}">
              <a16:creationId xmlns:a16="http://schemas.microsoft.com/office/drawing/2014/main" id="{03DE41D7-7D38-47E8-9E33-88B911D9C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L23"/>
  <sheetViews>
    <sheetView showGridLines="0" workbookViewId="0">
      <selection sqref="A1:D1"/>
    </sheetView>
  </sheetViews>
  <sheetFormatPr baseColWidth="10" defaultColWidth="11.44140625" defaultRowHeight="14.4" x14ac:dyDescent="0.3"/>
  <cols>
    <col min="1" max="1" width="2.44140625" style="1" bestFit="1" customWidth="1"/>
    <col min="2" max="2" width="27.109375" style="1" bestFit="1" customWidth="1"/>
    <col min="3" max="4" width="13" style="1" customWidth="1"/>
    <col min="5" max="5" width="13" customWidth="1"/>
    <col min="6" max="6" width="13" style="1" customWidth="1"/>
    <col min="7" max="7" width="31.88671875" style="1" bestFit="1" customWidth="1"/>
    <col min="8" max="8" width="13" style="1" customWidth="1"/>
    <col min="9" max="16384" width="11.44140625" style="1"/>
  </cols>
  <sheetData>
    <row r="1" spans="1:12" ht="15" customHeight="1" x14ac:dyDescent="0.35">
      <c r="A1" s="310" t="s">
        <v>0</v>
      </c>
      <c r="B1" s="311"/>
      <c r="C1" s="311"/>
      <c r="D1" s="311"/>
      <c r="E1" s="1"/>
      <c r="G1" s="6" t="s">
        <v>1</v>
      </c>
      <c r="H1" s="6" t="s">
        <v>2</v>
      </c>
      <c r="I1" s="6" t="s">
        <v>4</v>
      </c>
      <c r="L1" s="112" t="s">
        <v>76</v>
      </c>
    </row>
    <row r="2" spans="1:12" ht="15" customHeight="1" x14ac:dyDescent="0.3">
      <c r="A2" s="312"/>
      <c r="B2" s="313"/>
      <c r="C2" s="313"/>
      <c r="D2" s="313"/>
      <c r="E2" s="1"/>
      <c r="G2" s="7"/>
      <c r="H2" s="7"/>
      <c r="I2" s="7"/>
    </row>
    <row r="3" spans="1:12" ht="15" customHeight="1" x14ac:dyDescent="0.3">
      <c r="A3" s="2"/>
      <c r="B3" s="3"/>
      <c r="C3" s="3"/>
      <c r="D3" s="3"/>
      <c r="E3" s="1"/>
      <c r="G3" s="16" t="s">
        <v>3</v>
      </c>
      <c r="H3" s="77">
        <v>0</v>
      </c>
      <c r="I3" s="107"/>
    </row>
    <row r="4" spans="1:12" ht="15" customHeight="1" thickBot="1" x14ac:dyDescent="0.35">
      <c r="A4" s="4"/>
      <c r="B4" s="5"/>
      <c r="C4" s="9" t="s">
        <v>4</v>
      </c>
      <c r="D4" s="9" t="s">
        <v>2</v>
      </c>
      <c r="E4" s="1"/>
      <c r="H4" s="70"/>
      <c r="I4" s="108"/>
    </row>
    <row r="5" spans="1:12" ht="15" customHeight="1" thickBot="1" x14ac:dyDescent="0.35">
      <c r="A5" s="13"/>
      <c r="B5" s="14" t="s">
        <v>3</v>
      </c>
      <c r="C5" s="208"/>
      <c r="D5" s="209">
        <f>H3</f>
        <v>0</v>
      </c>
      <c r="E5" s="28" t="s">
        <v>5</v>
      </c>
      <c r="G5" s="16" t="s">
        <v>6</v>
      </c>
      <c r="H5" s="77">
        <v>0</v>
      </c>
      <c r="I5" s="104">
        <v>0</v>
      </c>
    </row>
    <row r="6" spans="1:12" ht="15" customHeight="1" thickBot="1" x14ac:dyDescent="0.35">
      <c r="A6" s="80" t="s">
        <v>7</v>
      </c>
      <c r="B6" s="20" t="s">
        <v>8</v>
      </c>
      <c r="C6" s="202">
        <f>H8</f>
        <v>0</v>
      </c>
      <c r="D6" s="175">
        <f>ROUND(D5*C6/100,2)</f>
        <v>0</v>
      </c>
      <c r="E6" s="1"/>
    </row>
    <row r="7" spans="1:12" ht="15" customHeight="1" thickBot="1" x14ac:dyDescent="0.35">
      <c r="A7" s="18" t="s">
        <v>9</v>
      </c>
      <c r="B7" s="14" t="s">
        <v>10</v>
      </c>
      <c r="C7" s="210"/>
      <c r="D7" s="180">
        <f>D5-D6</f>
        <v>0</v>
      </c>
      <c r="E7" s="1"/>
      <c r="G7" s="6" t="s">
        <v>1</v>
      </c>
      <c r="H7" s="6" t="s">
        <v>4</v>
      </c>
      <c r="I7" s="6"/>
    </row>
    <row r="8" spans="1:12" ht="15" customHeight="1" thickBot="1" x14ac:dyDescent="0.35">
      <c r="A8" s="80" t="s">
        <v>7</v>
      </c>
      <c r="B8" s="20" t="s">
        <v>11</v>
      </c>
      <c r="C8" s="202">
        <f>H9</f>
        <v>0</v>
      </c>
      <c r="D8" s="181">
        <f>ROUND(D7*C8/100,2)</f>
        <v>0</v>
      </c>
      <c r="E8" s="1"/>
      <c r="G8" s="7" t="s">
        <v>8</v>
      </c>
      <c r="H8" s="67">
        <v>0</v>
      </c>
      <c r="I8" s="67"/>
    </row>
    <row r="9" spans="1:12" ht="15" customHeight="1" thickBot="1" x14ac:dyDescent="0.35">
      <c r="A9" s="18" t="s">
        <v>9</v>
      </c>
      <c r="B9" s="14" t="s">
        <v>12</v>
      </c>
      <c r="C9" s="211"/>
      <c r="D9" s="180">
        <f>D7-D8</f>
        <v>0</v>
      </c>
      <c r="E9" s="1"/>
      <c r="G9" s="16" t="s">
        <v>11</v>
      </c>
      <c r="H9" s="76">
        <v>0</v>
      </c>
      <c r="I9" s="76"/>
    </row>
    <row r="10" spans="1:12" ht="15" customHeight="1" thickBot="1" x14ac:dyDescent="0.35">
      <c r="A10" s="80" t="s">
        <v>13</v>
      </c>
      <c r="B10" s="20" t="s">
        <v>14</v>
      </c>
      <c r="C10" s="212"/>
      <c r="D10" s="202">
        <f>IF(H5&lt;&gt;0,H5,D7*I5)</f>
        <v>0</v>
      </c>
      <c r="E10" s="1"/>
      <c r="G10" s="7" t="s">
        <v>15</v>
      </c>
      <c r="H10" s="67">
        <v>0</v>
      </c>
      <c r="I10" s="67"/>
    </row>
    <row r="11" spans="1:12" ht="15" customHeight="1" thickBot="1" x14ac:dyDescent="0.35">
      <c r="A11" s="18" t="s">
        <v>9</v>
      </c>
      <c r="B11" s="14" t="s">
        <v>16</v>
      </c>
      <c r="C11" s="211"/>
      <c r="D11" s="180">
        <f>D9+D10</f>
        <v>0</v>
      </c>
      <c r="E11" s="1"/>
      <c r="G11" s="16" t="s">
        <v>17</v>
      </c>
      <c r="H11" s="76">
        <v>0</v>
      </c>
      <c r="I11" s="76"/>
    </row>
    <row r="12" spans="1:12" ht="15" customHeight="1" thickBot="1" x14ac:dyDescent="0.35">
      <c r="A12" s="80" t="s">
        <v>13</v>
      </c>
      <c r="B12" s="20" t="s">
        <v>15</v>
      </c>
      <c r="C12" s="202">
        <f>H10</f>
        <v>0</v>
      </c>
      <c r="D12" s="181">
        <f>ROUND(D11*C12/100,2)</f>
        <v>0</v>
      </c>
      <c r="E12" s="1"/>
      <c r="G12" s="7" t="s">
        <v>18</v>
      </c>
      <c r="H12" s="67">
        <v>0</v>
      </c>
      <c r="I12" s="67"/>
    </row>
    <row r="13" spans="1:12" ht="15" customHeight="1" thickBot="1" x14ac:dyDescent="0.35">
      <c r="A13" s="18" t="s">
        <v>9</v>
      </c>
      <c r="B13" s="14" t="s">
        <v>19</v>
      </c>
      <c r="C13" s="211"/>
      <c r="D13" s="180">
        <f>D11+D12</f>
        <v>0</v>
      </c>
      <c r="E13" s="1"/>
      <c r="G13" s="16" t="s">
        <v>20</v>
      </c>
      <c r="H13" s="76">
        <v>0</v>
      </c>
      <c r="I13" s="76"/>
    </row>
    <row r="14" spans="1:12" ht="15" customHeight="1" thickBot="1" x14ac:dyDescent="0.35">
      <c r="A14" s="80" t="s">
        <v>13</v>
      </c>
      <c r="B14" s="20" t="s">
        <v>17</v>
      </c>
      <c r="C14" s="202">
        <f>H11</f>
        <v>0</v>
      </c>
      <c r="D14" s="181">
        <f>ROUND(D13*C14/100,2)</f>
        <v>0</v>
      </c>
      <c r="E14" s="1"/>
      <c r="G14" s="7" t="s">
        <v>21</v>
      </c>
      <c r="H14" s="67">
        <v>0</v>
      </c>
      <c r="I14" s="67"/>
    </row>
    <row r="15" spans="1:12" ht="15" customHeight="1" thickBot="1" x14ac:dyDescent="0.35">
      <c r="A15" s="18" t="s">
        <v>9</v>
      </c>
      <c r="B15" s="14" t="s">
        <v>22</v>
      </c>
      <c r="C15" s="208"/>
      <c r="D15" s="180">
        <f>D13+D14</f>
        <v>0</v>
      </c>
      <c r="E15" s="1"/>
      <c r="G15" s="16" t="s">
        <v>23</v>
      </c>
      <c r="H15" s="76">
        <v>0</v>
      </c>
      <c r="I15" s="76"/>
    </row>
    <row r="16" spans="1:12" ht="15" customHeight="1" thickBot="1" x14ac:dyDescent="0.35">
      <c r="A16" s="80" t="s">
        <v>13</v>
      </c>
      <c r="B16" s="20" t="s">
        <v>18</v>
      </c>
      <c r="C16" s="206">
        <f>H12</f>
        <v>0</v>
      </c>
      <c r="D16" s="183">
        <f>ROUND(D15*C16/(100-C16-C17),2)</f>
        <v>0</v>
      </c>
      <c r="E16" s="1"/>
    </row>
    <row r="17" spans="1:12" ht="15" customHeight="1" thickBot="1" x14ac:dyDescent="0.35">
      <c r="A17" s="81" t="s">
        <v>13</v>
      </c>
      <c r="B17" s="11" t="s">
        <v>20</v>
      </c>
      <c r="C17" s="206">
        <f>H13</f>
        <v>0</v>
      </c>
      <c r="D17" s="213">
        <f>ROUND(D15*C17/(100-C17-C16),2)</f>
        <v>0</v>
      </c>
      <c r="E17" s="1"/>
    </row>
    <row r="18" spans="1:12" ht="15" customHeight="1" x14ac:dyDescent="0.3">
      <c r="A18" s="82"/>
      <c r="B18" s="12" t="s">
        <v>24</v>
      </c>
      <c r="C18" s="207">
        <f>SUM(C16:C17)</f>
        <v>0</v>
      </c>
      <c r="D18" s="214">
        <f>ROUND(D15*C18/(100-C18),2)</f>
        <v>0</v>
      </c>
      <c r="E18" s="1"/>
      <c r="G18"/>
      <c r="H18"/>
      <c r="I18"/>
      <c r="J18"/>
      <c r="K18"/>
      <c r="L18"/>
    </row>
    <row r="19" spans="1:12" ht="15" customHeight="1" thickBot="1" x14ac:dyDescent="0.35">
      <c r="A19" s="18" t="s">
        <v>9</v>
      </c>
      <c r="B19" s="14" t="s">
        <v>25</v>
      </c>
      <c r="C19" s="211"/>
      <c r="D19" s="180">
        <f>D15+D18</f>
        <v>0</v>
      </c>
      <c r="E19" s="1"/>
      <c r="G19"/>
      <c r="H19"/>
      <c r="I19"/>
      <c r="J19"/>
      <c r="K19"/>
      <c r="L19"/>
    </row>
    <row r="20" spans="1:12" ht="15" customHeight="1" thickBot="1" x14ac:dyDescent="0.35">
      <c r="A20" s="81" t="s">
        <v>13</v>
      </c>
      <c r="B20" s="11" t="s">
        <v>21</v>
      </c>
      <c r="C20" s="202">
        <f>H14</f>
        <v>0</v>
      </c>
      <c r="D20" s="214">
        <f>ROUND(D19*C20/(100-C20),2)</f>
        <v>0</v>
      </c>
      <c r="E20" s="1"/>
      <c r="G20"/>
      <c r="H20"/>
      <c r="I20"/>
      <c r="J20"/>
      <c r="K20"/>
      <c r="L20"/>
    </row>
    <row r="21" spans="1:12" ht="15" customHeight="1" thickBot="1" x14ac:dyDescent="0.35">
      <c r="A21" s="18" t="s">
        <v>9</v>
      </c>
      <c r="B21" s="14" t="s">
        <v>26</v>
      </c>
      <c r="C21" s="211"/>
      <c r="D21" s="180">
        <f>D19+D20</f>
        <v>0</v>
      </c>
      <c r="E21" s="27" t="s">
        <v>27</v>
      </c>
      <c r="G21"/>
      <c r="H21"/>
      <c r="I21"/>
      <c r="J21"/>
      <c r="K21"/>
      <c r="L21"/>
    </row>
    <row r="22" spans="1:12" ht="15" customHeight="1" thickBot="1" x14ac:dyDescent="0.35">
      <c r="A22" s="81" t="s">
        <v>13</v>
      </c>
      <c r="B22" s="11" t="s">
        <v>23</v>
      </c>
      <c r="C22" s="202">
        <f>H15</f>
        <v>0</v>
      </c>
      <c r="D22" s="214">
        <f>ROUND(D21*C22/100,2)</f>
        <v>0</v>
      </c>
      <c r="E22" s="1"/>
      <c r="G22"/>
      <c r="H22"/>
      <c r="I22"/>
      <c r="J22"/>
      <c r="K22"/>
      <c r="L22"/>
    </row>
    <row r="23" spans="1:12" ht="15" customHeight="1" x14ac:dyDescent="0.3">
      <c r="A23" s="18" t="s">
        <v>9</v>
      </c>
      <c r="B23" s="14" t="s">
        <v>28</v>
      </c>
      <c r="C23" s="211"/>
      <c r="D23" s="180">
        <f>D21+D22</f>
        <v>0</v>
      </c>
      <c r="G23"/>
      <c r="H23"/>
      <c r="I23"/>
      <c r="J23"/>
      <c r="K23"/>
      <c r="L23"/>
    </row>
  </sheetData>
  <sheetProtection algorithmName="SHA-512" hashValue="qKy6p25r7bloF33tbFWfr1JX3qScpXyHjZ40wC6x0oSRDBbTXuv2NHQWl+cz5ltDZkMXQAN57QPNTy9phmjtvA==" saltValue="Vdd3UThULgPnhdfnaJ40GQ==" spinCount="100000" sheet="1" objects="1" scenarios="1"/>
  <protectedRanges>
    <protectedRange sqref="H3 H5 I5 H8 H9 H10 H11 H12 H13 H14 H15 L1" name="Bereich2"/>
  </protectedRanges>
  <mergeCells count="2">
    <mergeCell ref="A1:D1"/>
    <mergeCell ref="A2:D2"/>
  </mergeCells>
  <hyperlinks>
    <hyperlink ref="L1" location="Inhalt!A1" display="Inhalt" xr:uid="{00000000-0004-0000-0100-000000000000}"/>
  </hyperlinks>
  <pageMargins left="0.7" right="0.7" top="0.78740157499999996" bottom="0.78740157499999996" header="0.3" footer="0.3"/>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L23"/>
  <sheetViews>
    <sheetView showGridLines="0" workbookViewId="0">
      <selection activeCell="H3" sqref="H3"/>
    </sheetView>
  </sheetViews>
  <sheetFormatPr baseColWidth="10" defaultColWidth="11.44140625" defaultRowHeight="14.4" x14ac:dyDescent="0.3"/>
  <cols>
    <col min="1" max="1" width="2.44140625" style="1" bestFit="1" customWidth="1"/>
    <col min="2" max="2" width="27.109375" style="1" bestFit="1" customWidth="1"/>
    <col min="3" max="3" width="13" style="1" customWidth="1"/>
    <col min="4" max="4" width="13" style="1" bestFit="1" customWidth="1"/>
    <col min="5" max="5" width="13" customWidth="1"/>
    <col min="6" max="6" width="13" style="1" customWidth="1"/>
    <col min="7" max="7" width="31.88671875" style="1" bestFit="1" customWidth="1"/>
    <col min="8" max="8" width="13" style="1" customWidth="1"/>
    <col min="9" max="16384" width="11.44140625" style="1"/>
  </cols>
  <sheetData>
    <row r="1" spans="1:12" ht="15" customHeight="1" x14ac:dyDescent="0.35">
      <c r="A1" s="310" t="s">
        <v>29</v>
      </c>
      <c r="B1" s="311"/>
      <c r="C1" s="311"/>
      <c r="D1" s="311"/>
      <c r="E1" s="1"/>
      <c r="G1" s="6" t="s">
        <v>1</v>
      </c>
      <c r="H1" s="6" t="s">
        <v>2</v>
      </c>
      <c r="I1" s="6" t="s">
        <v>4</v>
      </c>
      <c r="L1" s="112" t="s">
        <v>76</v>
      </c>
    </row>
    <row r="2" spans="1:12" ht="15" customHeight="1" x14ac:dyDescent="0.3">
      <c r="A2" s="312"/>
      <c r="B2" s="313"/>
      <c r="C2" s="313"/>
      <c r="D2" s="313"/>
      <c r="E2" s="1"/>
      <c r="G2" s="7"/>
      <c r="H2" s="7"/>
      <c r="I2" s="7"/>
    </row>
    <row r="3" spans="1:12" ht="15" customHeight="1" x14ac:dyDescent="0.3">
      <c r="A3" s="2"/>
      <c r="B3" s="3"/>
      <c r="C3" s="3"/>
      <c r="D3" s="3"/>
      <c r="E3" s="1"/>
      <c r="G3" s="16" t="s">
        <v>26</v>
      </c>
      <c r="H3" s="77">
        <v>0</v>
      </c>
      <c r="I3" s="107"/>
    </row>
    <row r="4" spans="1:12" ht="15" customHeight="1" x14ac:dyDescent="0.3">
      <c r="A4" s="4"/>
      <c r="B4" s="5"/>
      <c r="C4" s="9" t="s">
        <v>4</v>
      </c>
      <c r="D4" s="9" t="s">
        <v>2</v>
      </c>
      <c r="E4" s="1"/>
      <c r="H4" s="70"/>
      <c r="I4" s="108"/>
    </row>
    <row r="5" spans="1:12" ht="15" customHeight="1" thickBot="1" x14ac:dyDescent="0.35">
      <c r="A5" s="13"/>
      <c r="B5" s="14" t="s">
        <v>3</v>
      </c>
      <c r="C5" s="201"/>
      <c r="D5" s="192">
        <f>D7+D6</f>
        <v>0</v>
      </c>
      <c r="E5" s="27" t="s">
        <v>27</v>
      </c>
      <c r="G5" s="16" t="s">
        <v>6</v>
      </c>
      <c r="H5" s="77">
        <v>0</v>
      </c>
      <c r="I5" s="104">
        <v>0</v>
      </c>
    </row>
    <row r="6" spans="1:12" ht="15" customHeight="1" thickBot="1" x14ac:dyDescent="0.35">
      <c r="A6" s="81" t="s">
        <v>7</v>
      </c>
      <c r="B6" s="11" t="s">
        <v>8</v>
      </c>
      <c r="C6" s="202">
        <f>H8</f>
        <v>0</v>
      </c>
      <c r="D6" s="190">
        <f>ROUND(D7*C6/(100-C6),2)</f>
        <v>0</v>
      </c>
      <c r="E6" s="1"/>
    </row>
    <row r="7" spans="1:12" ht="15" customHeight="1" thickBot="1" x14ac:dyDescent="0.35">
      <c r="A7" s="18" t="s">
        <v>9</v>
      </c>
      <c r="B7" s="14" t="s">
        <v>10</v>
      </c>
      <c r="C7" s="203"/>
      <c r="D7" s="192">
        <f>D9+D8</f>
        <v>0</v>
      </c>
      <c r="E7" s="1"/>
      <c r="G7" s="6" t="s">
        <v>1</v>
      </c>
      <c r="H7" s="6" t="s">
        <v>4</v>
      </c>
      <c r="I7" s="6"/>
    </row>
    <row r="8" spans="1:12" ht="15" customHeight="1" thickBot="1" x14ac:dyDescent="0.35">
      <c r="A8" s="81" t="s">
        <v>7</v>
      </c>
      <c r="B8" s="11" t="s">
        <v>11</v>
      </c>
      <c r="C8" s="202">
        <f>H9</f>
        <v>0</v>
      </c>
      <c r="D8" s="190">
        <f>ROUND(D9*C8/(100-C8),2)</f>
        <v>0</v>
      </c>
      <c r="E8" s="1"/>
      <c r="G8" s="7" t="s">
        <v>8</v>
      </c>
      <c r="H8" s="67">
        <v>0</v>
      </c>
      <c r="I8" s="67"/>
    </row>
    <row r="9" spans="1:12" ht="15" customHeight="1" thickBot="1" x14ac:dyDescent="0.35">
      <c r="A9" s="18" t="s">
        <v>9</v>
      </c>
      <c r="B9" s="14" t="s">
        <v>12</v>
      </c>
      <c r="C9" s="204"/>
      <c r="D9" s="192">
        <f>D11-D10</f>
        <v>0</v>
      </c>
      <c r="E9" s="1"/>
      <c r="G9" s="1" t="s">
        <v>11</v>
      </c>
      <c r="H9" s="68">
        <v>0</v>
      </c>
      <c r="I9" s="76"/>
    </row>
    <row r="10" spans="1:12" ht="15" customHeight="1" thickBot="1" x14ac:dyDescent="0.35">
      <c r="A10" s="81" t="s">
        <v>13</v>
      </c>
      <c r="B10" s="11" t="s">
        <v>14</v>
      </c>
      <c r="C10" s="205"/>
      <c r="D10" s="202">
        <f>IF($H$5&lt;&gt;0,$H$5,$I$5*$H$3)</f>
        <v>0</v>
      </c>
      <c r="E10" s="1"/>
      <c r="G10" s="7" t="s">
        <v>15</v>
      </c>
      <c r="H10" s="67">
        <v>0</v>
      </c>
      <c r="I10" s="67"/>
    </row>
    <row r="11" spans="1:12" ht="15" customHeight="1" thickBot="1" x14ac:dyDescent="0.35">
      <c r="A11" s="18" t="s">
        <v>9</v>
      </c>
      <c r="B11" s="14" t="s">
        <v>16</v>
      </c>
      <c r="C11" s="204"/>
      <c r="D11" s="192">
        <f>D13-D12</f>
        <v>0</v>
      </c>
      <c r="E11" s="1"/>
      <c r="G11" s="1" t="s">
        <v>17</v>
      </c>
      <c r="H11" s="68">
        <v>0</v>
      </c>
      <c r="I11" s="76"/>
    </row>
    <row r="12" spans="1:12" ht="15" customHeight="1" thickBot="1" x14ac:dyDescent="0.35">
      <c r="A12" s="81" t="s">
        <v>13</v>
      </c>
      <c r="B12" s="11" t="s">
        <v>15</v>
      </c>
      <c r="C12" s="202">
        <f>H10</f>
        <v>0</v>
      </c>
      <c r="D12" s="190">
        <f>ROUND(D13*C12/(100+C12),2)</f>
        <v>0</v>
      </c>
      <c r="E12" s="1"/>
      <c r="G12" s="7" t="s">
        <v>18</v>
      </c>
      <c r="H12" s="67">
        <v>0</v>
      </c>
      <c r="I12" s="67"/>
    </row>
    <row r="13" spans="1:12" ht="15" customHeight="1" thickBot="1" x14ac:dyDescent="0.35">
      <c r="A13" s="18" t="s">
        <v>9</v>
      </c>
      <c r="B13" s="14" t="s">
        <v>19</v>
      </c>
      <c r="C13" s="204"/>
      <c r="D13" s="192">
        <f>D15-D14</f>
        <v>0</v>
      </c>
      <c r="E13" s="1"/>
      <c r="G13" s="1" t="s">
        <v>20</v>
      </c>
      <c r="H13" s="68">
        <v>0</v>
      </c>
      <c r="I13" s="76"/>
    </row>
    <row r="14" spans="1:12" ht="15" customHeight="1" thickBot="1" x14ac:dyDescent="0.35">
      <c r="A14" s="81" t="s">
        <v>13</v>
      </c>
      <c r="B14" s="11" t="s">
        <v>17</v>
      </c>
      <c r="C14" s="202">
        <f>H11</f>
        <v>0</v>
      </c>
      <c r="D14" s="190">
        <f>ROUND(D15*C14/(100+C14),2)</f>
        <v>0</v>
      </c>
      <c r="E14" s="1"/>
      <c r="G14" s="7" t="s">
        <v>21</v>
      </c>
      <c r="H14" s="67">
        <v>0</v>
      </c>
      <c r="I14" s="67"/>
    </row>
    <row r="15" spans="1:12" ht="15" customHeight="1" thickBot="1" x14ac:dyDescent="0.35">
      <c r="A15" s="18" t="s">
        <v>9</v>
      </c>
      <c r="B15" s="14" t="s">
        <v>22</v>
      </c>
      <c r="C15" s="201"/>
      <c r="D15" s="192">
        <f>D19-D18</f>
        <v>0</v>
      </c>
      <c r="E15" s="1"/>
      <c r="G15" s="105" t="s">
        <v>23</v>
      </c>
      <c r="H15" s="68">
        <v>0</v>
      </c>
      <c r="I15" s="76"/>
    </row>
    <row r="16" spans="1:12" ht="15" customHeight="1" thickBot="1" x14ac:dyDescent="0.35">
      <c r="A16" s="81" t="s">
        <v>13</v>
      </c>
      <c r="B16" s="11" t="s">
        <v>18</v>
      </c>
      <c r="C16" s="206">
        <f>H12</f>
        <v>0</v>
      </c>
      <c r="D16" s="198">
        <f>ROUND(D19*C16/100,2)</f>
        <v>0</v>
      </c>
      <c r="E16" s="1"/>
      <c r="H16" s="106"/>
    </row>
    <row r="17" spans="1:5" ht="15" customHeight="1" thickBot="1" x14ac:dyDescent="0.35">
      <c r="A17" s="81" t="s">
        <v>13</v>
      </c>
      <c r="B17" s="11" t="s">
        <v>20</v>
      </c>
      <c r="C17" s="206">
        <f>H13</f>
        <v>0</v>
      </c>
      <c r="D17" s="198">
        <f>ROUND(D19*C17/100,2)</f>
        <v>0</v>
      </c>
      <c r="E17" s="1"/>
    </row>
    <row r="18" spans="1:5" ht="15" customHeight="1" x14ac:dyDescent="0.3">
      <c r="A18" s="82"/>
      <c r="B18" s="12" t="s">
        <v>24</v>
      </c>
      <c r="C18" s="207">
        <f>SUM(C16:C17)</f>
        <v>0</v>
      </c>
      <c r="D18" s="161">
        <f>ROUND(D19*C18/100,2)</f>
        <v>0</v>
      </c>
      <c r="E18" s="1"/>
    </row>
    <row r="19" spans="1:5" ht="15" customHeight="1" thickBot="1" x14ac:dyDescent="0.35">
      <c r="A19" s="18" t="s">
        <v>9</v>
      </c>
      <c r="B19" s="14" t="s">
        <v>25</v>
      </c>
      <c r="C19" s="204"/>
      <c r="D19" s="192">
        <f>D21-D20</f>
        <v>0</v>
      </c>
      <c r="E19" s="1"/>
    </row>
    <row r="20" spans="1:5" ht="15" customHeight="1" thickBot="1" x14ac:dyDescent="0.35">
      <c r="A20" s="81" t="s">
        <v>13</v>
      </c>
      <c r="B20" s="11" t="s">
        <v>21</v>
      </c>
      <c r="C20" s="202">
        <f>H14</f>
        <v>0</v>
      </c>
      <c r="D20" s="161">
        <f>ROUND(D21*C20/100,2)</f>
        <v>0</v>
      </c>
      <c r="E20" s="1"/>
    </row>
    <row r="21" spans="1:5" ht="15" customHeight="1" thickBot="1" x14ac:dyDescent="0.35">
      <c r="A21" s="18" t="s">
        <v>9</v>
      </c>
      <c r="B21" s="14" t="s">
        <v>26</v>
      </c>
      <c r="C21" s="204"/>
      <c r="D21" s="189">
        <f>H3</f>
        <v>0</v>
      </c>
      <c r="E21" s="28" t="s">
        <v>5</v>
      </c>
    </row>
    <row r="22" spans="1:5" ht="15" customHeight="1" thickBot="1" x14ac:dyDescent="0.35">
      <c r="A22" s="81" t="s">
        <v>13</v>
      </c>
      <c r="B22" s="11" t="s">
        <v>23</v>
      </c>
      <c r="C22" s="202">
        <f>H15</f>
        <v>0</v>
      </c>
      <c r="D22" s="161">
        <f>ROUND(D21*C22/100,2)</f>
        <v>0</v>
      </c>
      <c r="E22" s="1"/>
    </row>
    <row r="23" spans="1:5" ht="15" customHeight="1" x14ac:dyDescent="0.3">
      <c r="A23" s="18" t="s">
        <v>9</v>
      </c>
      <c r="B23" s="14" t="s">
        <v>28</v>
      </c>
      <c r="C23" s="204"/>
      <c r="D23" s="192">
        <f>D21+D22</f>
        <v>0</v>
      </c>
    </row>
  </sheetData>
  <sheetProtection algorithmName="SHA-512" hashValue="34Xx860MLd9Nf03beM9S3nsEaqxEdspgedGGeEBPXo88GTi9f6FgJ87FK3bOFuPi7fUPbd78IN+LEz9D9CDGaw==" saltValue="OBIY0hVJgMZdW36XlbIbwQ==" spinCount="100000" sheet="1" objects="1" scenarios="1"/>
  <protectedRanges>
    <protectedRange sqref="H3 H5:I5 H8:H15" name="Bereich1"/>
    <protectedRange sqref="L1" name="Bereich2"/>
  </protectedRanges>
  <mergeCells count="2">
    <mergeCell ref="A1:D1"/>
    <mergeCell ref="A2:D2"/>
  </mergeCells>
  <hyperlinks>
    <hyperlink ref="L1" location="Inhalt!A1" display="Inhalt" xr:uid="{00000000-0004-0000-0200-000000000000}"/>
  </hyperlinks>
  <pageMargins left="0.7" right="0.7" top="0.78740157499999996" bottom="0.78740157499999996" header="0.3" footer="0.3"/>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L23"/>
  <sheetViews>
    <sheetView showGridLines="0" workbookViewId="0">
      <selection activeCell="H3" sqref="H3"/>
    </sheetView>
  </sheetViews>
  <sheetFormatPr baseColWidth="10" defaultColWidth="11.44140625" defaultRowHeight="14.4" x14ac:dyDescent="0.3"/>
  <cols>
    <col min="1" max="1" width="2.44140625" style="1" bestFit="1" customWidth="1"/>
    <col min="2" max="2" width="27.109375" style="1" bestFit="1" customWidth="1"/>
    <col min="3" max="3" width="13" style="1" customWidth="1"/>
    <col min="4" max="4" width="13" style="1" bestFit="1" customWidth="1"/>
    <col min="5" max="5" width="13" customWidth="1"/>
    <col min="6" max="6" width="13" style="1" customWidth="1"/>
    <col min="7" max="7" width="31.88671875" style="1" bestFit="1" customWidth="1"/>
    <col min="8" max="8" width="13" style="1" customWidth="1"/>
    <col min="9" max="16384" width="11.44140625" style="1"/>
  </cols>
  <sheetData>
    <row r="1" spans="1:12" ht="15" customHeight="1" x14ac:dyDescent="0.35">
      <c r="A1" s="310" t="s">
        <v>30</v>
      </c>
      <c r="B1" s="311"/>
      <c r="C1" s="311"/>
      <c r="D1" s="311"/>
      <c r="E1" s="1"/>
      <c r="G1" s="6" t="s">
        <v>1</v>
      </c>
      <c r="H1" s="6" t="s">
        <v>2</v>
      </c>
      <c r="I1" s="6" t="s">
        <v>4</v>
      </c>
      <c r="L1" s="112" t="s">
        <v>76</v>
      </c>
    </row>
    <row r="2" spans="1:12" ht="15" customHeight="1" x14ac:dyDescent="0.3">
      <c r="A2" s="312"/>
      <c r="B2" s="313"/>
      <c r="C2" s="313"/>
      <c r="D2" s="313"/>
      <c r="E2" s="1"/>
      <c r="G2" s="7"/>
      <c r="H2" s="7"/>
      <c r="I2" s="7"/>
    </row>
    <row r="3" spans="1:12" ht="15" customHeight="1" x14ac:dyDescent="0.3">
      <c r="A3" s="2"/>
      <c r="B3" s="3"/>
      <c r="C3" s="3"/>
      <c r="D3" s="3"/>
      <c r="E3" s="1"/>
      <c r="G3" s="1" t="s">
        <v>3</v>
      </c>
      <c r="H3" s="71">
        <v>0</v>
      </c>
      <c r="I3" s="109"/>
    </row>
    <row r="4" spans="1:12" ht="15" customHeight="1" thickBot="1" x14ac:dyDescent="0.35">
      <c r="A4" s="4"/>
      <c r="B4" s="5"/>
      <c r="C4" s="9" t="s">
        <v>4</v>
      </c>
      <c r="D4" s="9" t="s">
        <v>2</v>
      </c>
      <c r="E4" s="1"/>
      <c r="G4" s="7" t="s">
        <v>26</v>
      </c>
      <c r="H4" s="72">
        <v>0</v>
      </c>
      <c r="I4" s="110"/>
    </row>
    <row r="5" spans="1:12" ht="15" customHeight="1" thickBot="1" x14ac:dyDescent="0.35">
      <c r="A5" s="18"/>
      <c r="B5" s="14" t="s">
        <v>3</v>
      </c>
      <c r="C5" s="188"/>
      <c r="D5" s="189">
        <f>H3</f>
        <v>0</v>
      </c>
      <c r="E5" s="28" t="s">
        <v>5</v>
      </c>
    </row>
    <row r="6" spans="1:12" ht="15" customHeight="1" thickBot="1" x14ac:dyDescent="0.35">
      <c r="A6" s="81" t="s">
        <v>7</v>
      </c>
      <c r="B6" s="11" t="s">
        <v>8</v>
      </c>
      <c r="C6" s="174">
        <f>H9</f>
        <v>0</v>
      </c>
      <c r="D6" s="190">
        <f>ROUND(D5*C6/100,2)</f>
        <v>0</v>
      </c>
      <c r="E6" s="1"/>
      <c r="G6" s="16" t="s">
        <v>6</v>
      </c>
      <c r="H6" s="75">
        <v>0</v>
      </c>
      <c r="I6" s="65">
        <v>0</v>
      </c>
    </row>
    <row r="7" spans="1:12" ht="15" customHeight="1" thickBot="1" x14ac:dyDescent="0.35">
      <c r="A7" s="18" t="s">
        <v>9</v>
      </c>
      <c r="B7" s="14" t="s">
        <v>10</v>
      </c>
      <c r="C7" s="191"/>
      <c r="D7" s="192">
        <f>D5-D6</f>
        <v>0</v>
      </c>
      <c r="E7" s="1"/>
    </row>
    <row r="8" spans="1:12" ht="15" customHeight="1" thickBot="1" x14ac:dyDescent="0.35">
      <c r="A8" s="81" t="s">
        <v>7</v>
      </c>
      <c r="B8" s="11" t="s">
        <v>11</v>
      </c>
      <c r="C8" s="174">
        <f>H10</f>
        <v>0</v>
      </c>
      <c r="D8" s="190">
        <f>ROUND(D7*C8/100,2)</f>
        <v>0</v>
      </c>
      <c r="E8" s="1"/>
      <c r="G8" s="6" t="s">
        <v>1</v>
      </c>
      <c r="H8" s="6" t="s">
        <v>4</v>
      </c>
      <c r="I8" s="6"/>
    </row>
    <row r="9" spans="1:12" ht="15" customHeight="1" thickBot="1" x14ac:dyDescent="0.35">
      <c r="A9" s="18" t="s">
        <v>9</v>
      </c>
      <c r="B9" s="14" t="s">
        <v>12</v>
      </c>
      <c r="C9" s="188"/>
      <c r="D9" s="192">
        <f>D7-D8</f>
        <v>0</v>
      </c>
      <c r="E9" s="1"/>
      <c r="G9" s="7" t="s">
        <v>8</v>
      </c>
      <c r="H9" s="67">
        <v>0</v>
      </c>
      <c r="I9" s="67"/>
    </row>
    <row r="10" spans="1:12" ht="15" customHeight="1" thickBot="1" x14ac:dyDescent="0.35">
      <c r="A10" s="81" t="s">
        <v>13</v>
      </c>
      <c r="B10" s="11" t="s">
        <v>14</v>
      </c>
      <c r="C10" s="193"/>
      <c r="D10" s="174">
        <f>IF($H$6&lt;&gt;0,$H$6,$I$6*$H$3)</f>
        <v>0</v>
      </c>
      <c r="E10" s="1"/>
      <c r="G10" s="1" t="s">
        <v>11</v>
      </c>
      <c r="H10" s="68">
        <v>0</v>
      </c>
      <c r="I10" s="68"/>
    </row>
    <row r="11" spans="1:12" ht="15" customHeight="1" thickBot="1" x14ac:dyDescent="0.35">
      <c r="A11" s="18" t="s">
        <v>9</v>
      </c>
      <c r="B11" s="14" t="s">
        <v>16</v>
      </c>
      <c r="C11" s="188"/>
      <c r="D11" s="192">
        <f>D9+D10</f>
        <v>0</v>
      </c>
      <c r="E11" s="1"/>
      <c r="G11" s="7" t="s">
        <v>31</v>
      </c>
      <c r="H11" s="67">
        <v>0</v>
      </c>
      <c r="I11" s="67"/>
    </row>
    <row r="12" spans="1:12" ht="15" customHeight="1" thickBot="1" x14ac:dyDescent="0.35">
      <c r="A12" s="81" t="s">
        <v>13</v>
      </c>
      <c r="B12" s="11" t="s">
        <v>15</v>
      </c>
      <c r="C12" s="174">
        <f>H11</f>
        <v>0</v>
      </c>
      <c r="D12" s="190">
        <f>ROUND(D11*C12/100,2)</f>
        <v>0</v>
      </c>
      <c r="E12" s="1"/>
      <c r="G12" s="1" t="s">
        <v>17</v>
      </c>
      <c r="H12" s="68">
        <v>0</v>
      </c>
      <c r="I12" s="68"/>
    </row>
    <row r="13" spans="1:12" ht="15" customHeight="1" thickBot="1" x14ac:dyDescent="0.35">
      <c r="A13" s="86" t="s">
        <v>9</v>
      </c>
      <c r="B13" s="83" t="s">
        <v>19</v>
      </c>
      <c r="C13" s="188"/>
      <c r="D13" s="192">
        <f>D11+D12</f>
        <v>0</v>
      </c>
      <c r="E13" s="1"/>
      <c r="G13" s="7" t="s">
        <v>18</v>
      </c>
      <c r="H13" s="67">
        <v>0</v>
      </c>
      <c r="I13" s="67"/>
    </row>
    <row r="14" spans="1:12" ht="15" customHeight="1" thickTop="1" thickBot="1" x14ac:dyDescent="0.35">
      <c r="A14" s="87" t="s">
        <v>13</v>
      </c>
      <c r="B14" s="85" t="s">
        <v>32</v>
      </c>
      <c r="C14" s="194">
        <f>IFERROR(ROUND(D14/D13*100,2),0)</f>
        <v>0</v>
      </c>
      <c r="D14" s="195">
        <f>D15-D13</f>
        <v>0</v>
      </c>
      <c r="E14" s="27" t="s">
        <v>27</v>
      </c>
      <c r="F14" s="26" t="str">
        <f>IF(D14&lt;0,"Verlust","Gewinn")</f>
        <v>Gewinn</v>
      </c>
      <c r="G14" s="1" t="s">
        <v>20</v>
      </c>
      <c r="H14" s="68">
        <v>0</v>
      </c>
      <c r="I14" s="68"/>
    </row>
    <row r="15" spans="1:12" ht="15" customHeight="1" thickTop="1" thickBot="1" x14ac:dyDescent="0.35">
      <c r="A15" s="88" t="s">
        <v>9</v>
      </c>
      <c r="B15" s="84" t="s">
        <v>22</v>
      </c>
      <c r="C15" s="196"/>
      <c r="D15" s="197">
        <f>D19-D18</f>
        <v>0</v>
      </c>
      <c r="E15" s="1"/>
      <c r="G15" s="7" t="s">
        <v>21</v>
      </c>
      <c r="H15" s="67">
        <v>0</v>
      </c>
      <c r="I15" s="67"/>
    </row>
    <row r="16" spans="1:12" ht="15" customHeight="1" thickBot="1" x14ac:dyDescent="0.35">
      <c r="A16" s="81" t="s">
        <v>13</v>
      </c>
      <c r="B16" s="11" t="s">
        <v>18</v>
      </c>
      <c r="C16" s="182">
        <f>H13</f>
        <v>0</v>
      </c>
      <c r="D16" s="198">
        <f>ROUND(D19*C16/100,2)</f>
        <v>0</v>
      </c>
      <c r="E16" s="1"/>
      <c r="G16" s="16" t="s">
        <v>23</v>
      </c>
      <c r="H16" s="76">
        <v>0</v>
      </c>
      <c r="I16" s="76"/>
    </row>
    <row r="17" spans="1:5" ht="15" customHeight="1" thickBot="1" x14ac:dyDescent="0.35">
      <c r="A17" s="81" t="s">
        <v>13</v>
      </c>
      <c r="B17" s="11" t="s">
        <v>20</v>
      </c>
      <c r="C17" s="182">
        <f>H14</f>
        <v>0</v>
      </c>
      <c r="D17" s="198">
        <f>ROUND(D19*C17/100,2)</f>
        <v>0</v>
      </c>
      <c r="E17" s="1"/>
    </row>
    <row r="18" spans="1:5" ht="15" customHeight="1" x14ac:dyDescent="0.3">
      <c r="A18" s="82"/>
      <c r="B18" s="12" t="s">
        <v>24</v>
      </c>
      <c r="C18" s="199">
        <f>SUM(C16:C17)</f>
        <v>0</v>
      </c>
      <c r="D18" s="161">
        <f>ROUND(D19*C18/100,2)</f>
        <v>0</v>
      </c>
      <c r="E18" s="1"/>
    </row>
    <row r="19" spans="1:5" ht="15" customHeight="1" thickBot="1" x14ac:dyDescent="0.35">
      <c r="A19" s="18" t="s">
        <v>9</v>
      </c>
      <c r="B19" s="14" t="s">
        <v>25</v>
      </c>
      <c r="C19" s="188"/>
      <c r="D19" s="200">
        <f>D21-D20</f>
        <v>0</v>
      </c>
      <c r="E19" s="1"/>
    </row>
    <row r="20" spans="1:5" ht="15" customHeight="1" thickBot="1" x14ac:dyDescent="0.35">
      <c r="A20" s="81" t="s">
        <v>13</v>
      </c>
      <c r="B20" s="11" t="s">
        <v>21</v>
      </c>
      <c r="C20" s="174">
        <f>H15</f>
        <v>0</v>
      </c>
      <c r="D20" s="161">
        <f>ROUND(D21*C20/100,2)</f>
        <v>0</v>
      </c>
      <c r="E20" s="1"/>
    </row>
    <row r="21" spans="1:5" ht="15" customHeight="1" thickBot="1" x14ac:dyDescent="0.35">
      <c r="A21" s="18" t="s">
        <v>9</v>
      </c>
      <c r="B21" s="14" t="s">
        <v>26</v>
      </c>
      <c r="C21" s="188"/>
      <c r="D21" s="189">
        <f>H4</f>
        <v>0</v>
      </c>
      <c r="E21" s="28" t="s">
        <v>5</v>
      </c>
    </row>
    <row r="22" spans="1:5" ht="15" customHeight="1" thickBot="1" x14ac:dyDescent="0.35">
      <c r="A22" s="81" t="s">
        <v>13</v>
      </c>
      <c r="B22" s="11" t="s">
        <v>23</v>
      </c>
      <c r="C22" s="174">
        <f>H16</f>
        <v>0</v>
      </c>
      <c r="D22" s="161">
        <f>ROUND(D21*C22/100,2)</f>
        <v>0</v>
      </c>
      <c r="E22" s="1"/>
    </row>
    <row r="23" spans="1:5" ht="15" customHeight="1" x14ac:dyDescent="0.3">
      <c r="A23" s="18" t="s">
        <v>9</v>
      </c>
      <c r="B23" s="14" t="s">
        <v>28</v>
      </c>
      <c r="C23" s="188"/>
      <c r="D23" s="192">
        <f>D21+D22</f>
        <v>0</v>
      </c>
      <c r="E23" s="1"/>
    </row>
  </sheetData>
  <sheetProtection algorithmName="SHA-512" hashValue="CvMcCSaRVuGRO/SmqccX0mQ5rQ0ImXjdxQozf+fgPZdrl6srgd/P6B2Kk7cjKSkVvJaJHusBOyec2iQhXOrUBQ==" saltValue="HzxrceP5q8UHAkjJfluVYg==" spinCount="100000" sheet="1" objects="1" scenarios="1"/>
  <protectedRanges>
    <protectedRange sqref="H3:H4 H6:I6 H9:H16" name="Bereich1"/>
    <protectedRange sqref="L1" name="Bereich2"/>
  </protectedRanges>
  <mergeCells count="2">
    <mergeCell ref="A1:D1"/>
    <mergeCell ref="A2:D2"/>
  </mergeCells>
  <conditionalFormatting sqref="F14">
    <cfRule type="expression" dxfId="1" priority="1">
      <formula>$F$14="Gewinn"</formula>
    </cfRule>
    <cfRule type="expression" dxfId="0" priority="2">
      <formula>$F$14="Verlust"</formula>
    </cfRule>
  </conditionalFormatting>
  <hyperlinks>
    <hyperlink ref="L1" location="Inhalt!A1" display="Inhalt" xr:uid="{00000000-0004-0000-0300-000000000000}"/>
  </hyperlinks>
  <pageMargins left="0.7" right="0.7" top="0.78740157499999996" bottom="0.78740157499999996"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Q35"/>
  <sheetViews>
    <sheetView showGridLines="0" workbookViewId="0">
      <selection activeCell="M3" sqref="M3"/>
    </sheetView>
  </sheetViews>
  <sheetFormatPr baseColWidth="10" defaultColWidth="11.44140625" defaultRowHeight="14.4" x14ac:dyDescent="0.3"/>
  <cols>
    <col min="1" max="1" width="2.44140625" style="1" customWidth="1"/>
    <col min="2" max="2" width="27.109375" style="1" customWidth="1"/>
    <col min="3" max="10" width="13" style="1" customWidth="1"/>
    <col min="11" max="11" width="11.44140625" style="1"/>
    <col min="12" max="12" width="31.88671875" style="1" customWidth="1"/>
    <col min="13" max="13" width="13" style="1" customWidth="1"/>
    <col min="14" max="16384" width="11.44140625" style="1"/>
  </cols>
  <sheetData>
    <row r="1" spans="1:17" ht="16.2" x14ac:dyDescent="0.35">
      <c r="A1" s="33"/>
      <c r="B1" s="33"/>
      <c r="C1" s="314" t="s">
        <v>33</v>
      </c>
      <c r="D1" s="314"/>
      <c r="E1" s="314"/>
      <c r="F1" s="314" t="s">
        <v>34</v>
      </c>
      <c r="G1" s="314"/>
      <c r="H1" s="314" t="s">
        <v>35</v>
      </c>
      <c r="I1" s="314"/>
      <c r="L1" s="6" t="s">
        <v>1</v>
      </c>
      <c r="M1" s="6" t="s">
        <v>2</v>
      </c>
      <c r="N1" s="6" t="s">
        <v>4</v>
      </c>
      <c r="Q1" s="112" t="s">
        <v>76</v>
      </c>
    </row>
    <row r="2" spans="1:17" x14ac:dyDescent="0.3">
      <c r="A2" s="35"/>
      <c r="B2" s="36"/>
      <c r="C2" s="36"/>
      <c r="D2" s="36"/>
      <c r="E2" s="36"/>
      <c r="F2" s="37"/>
      <c r="G2" s="37"/>
      <c r="H2" s="37"/>
      <c r="I2" s="37"/>
      <c r="L2" s="7"/>
      <c r="M2" s="7"/>
      <c r="N2" s="7"/>
    </row>
    <row r="3" spans="1:17" x14ac:dyDescent="0.3">
      <c r="A3" s="34"/>
      <c r="L3" s="1" t="s">
        <v>3</v>
      </c>
      <c r="M3" s="71">
        <v>0</v>
      </c>
      <c r="N3" s="109"/>
    </row>
    <row r="4" spans="1:17" ht="15" thickBot="1" x14ac:dyDescent="0.35">
      <c r="A4" s="43"/>
      <c r="B4" s="39"/>
      <c r="C4" s="44" t="s">
        <v>4</v>
      </c>
      <c r="D4" s="44"/>
      <c r="E4" s="44" t="s">
        <v>2</v>
      </c>
      <c r="F4" s="39"/>
      <c r="G4" s="44" t="s">
        <v>2</v>
      </c>
      <c r="H4" s="40"/>
      <c r="I4" s="44" t="s">
        <v>2</v>
      </c>
      <c r="L4" s="7" t="s">
        <v>26</v>
      </c>
      <c r="M4" s="72">
        <v>0</v>
      </c>
      <c r="N4" s="110"/>
    </row>
    <row r="5" spans="1:17" ht="15" thickBot="1" x14ac:dyDescent="0.35">
      <c r="B5" s="30" t="s">
        <v>3</v>
      </c>
      <c r="C5" s="137"/>
      <c r="D5" s="137"/>
      <c r="E5" s="138">
        <f>M3</f>
        <v>0</v>
      </c>
      <c r="F5" s="139"/>
      <c r="G5" s="138">
        <f>M3</f>
        <v>0</v>
      </c>
      <c r="H5" s="139"/>
      <c r="I5" s="140">
        <f>I7+I6</f>
        <v>0</v>
      </c>
      <c r="J5" s="30"/>
      <c r="M5" s="70"/>
      <c r="N5" s="70"/>
    </row>
    <row r="6" spans="1:17" ht="15" thickBot="1" x14ac:dyDescent="0.35">
      <c r="A6" s="41" t="s">
        <v>7</v>
      </c>
      <c r="B6" s="38" t="str">
        <f>L9</f>
        <v>Liefererrabatt</v>
      </c>
      <c r="C6" s="141">
        <f>M9</f>
        <v>0</v>
      </c>
      <c r="D6" s="142" t="s">
        <v>36</v>
      </c>
      <c r="E6" s="143">
        <f>ROUND(E5*C6/100,2)</f>
        <v>0</v>
      </c>
      <c r="F6" s="144" t="s">
        <v>36</v>
      </c>
      <c r="G6" s="143">
        <f>ROUND(G5*C6/100,2)</f>
        <v>0</v>
      </c>
      <c r="H6" s="144" t="s">
        <v>37</v>
      </c>
      <c r="I6" s="145">
        <f>ROUND(I7/(100-C6)*C6,2)</f>
        <v>0</v>
      </c>
      <c r="J6" s="30"/>
      <c r="L6" s="7" t="s">
        <v>6</v>
      </c>
      <c r="M6" s="72">
        <v>0</v>
      </c>
      <c r="N6" s="72">
        <v>0</v>
      </c>
    </row>
    <row r="7" spans="1:17" ht="15" thickBot="1" x14ac:dyDescent="0.35">
      <c r="A7" s="46" t="s">
        <v>9</v>
      </c>
      <c r="B7" s="31" t="s">
        <v>10</v>
      </c>
      <c r="C7" s="146"/>
      <c r="D7" s="146"/>
      <c r="E7" s="147">
        <f>E5-E6</f>
        <v>0</v>
      </c>
      <c r="F7" s="148"/>
      <c r="G7" s="147">
        <f>G5-G6</f>
        <v>0</v>
      </c>
      <c r="H7" s="148"/>
      <c r="I7" s="149">
        <f>I9+I8</f>
        <v>0</v>
      </c>
      <c r="J7" s="30"/>
    </row>
    <row r="8" spans="1:17" ht="15" thickBot="1" x14ac:dyDescent="0.35">
      <c r="A8" s="41" t="s">
        <v>7</v>
      </c>
      <c r="B8" s="38" t="str">
        <f>L10</f>
        <v>Liefererskonto</v>
      </c>
      <c r="C8" s="141">
        <f>M10</f>
        <v>0</v>
      </c>
      <c r="D8" s="142" t="s">
        <v>36</v>
      </c>
      <c r="E8" s="143">
        <f>ROUND(E7*C8/100,2)</f>
        <v>0</v>
      </c>
      <c r="F8" s="144" t="s">
        <v>36</v>
      </c>
      <c r="G8" s="143">
        <f>ROUND(G7*C8/100,2)</f>
        <v>0</v>
      </c>
      <c r="H8" s="144" t="s">
        <v>37</v>
      </c>
      <c r="I8" s="145">
        <f>ROUND(I9*C8/(100-C8),2)</f>
        <v>0</v>
      </c>
      <c r="J8" s="30"/>
      <c r="L8" s="6" t="s">
        <v>1</v>
      </c>
      <c r="M8" s="6" t="s">
        <v>4</v>
      </c>
      <c r="N8" s="6"/>
    </row>
    <row r="9" spans="1:17" ht="15" thickBot="1" x14ac:dyDescent="0.35">
      <c r="A9" s="46" t="s">
        <v>9</v>
      </c>
      <c r="B9" s="31" t="s">
        <v>12</v>
      </c>
      <c r="C9" s="146"/>
      <c r="D9" s="146"/>
      <c r="E9" s="147">
        <f>E7-E8</f>
        <v>0</v>
      </c>
      <c r="F9" s="148"/>
      <c r="G9" s="147">
        <f>G7-G8</f>
        <v>0</v>
      </c>
      <c r="H9" s="148"/>
      <c r="I9" s="149">
        <f>I11-I10</f>
        <v>0</v>
      </c>
      <c r="J9" s="30"/>
      <c r="L9" s="7" t="s">
        <v>8</v>
      </c>
      <c r="M9" s="67">
        <v>0</v>
      </c>
      <c r="N9" s="67"/>
    </row>
    <row r="10" spans="1:17" ht="15" thickBot="1" x14ac:dyDescent="0.35">
      <c r="A10" s="41" t="s">
        <v>13</v>
      </c>
      <c r="B10" s="38" t="str">
        <f>L6</f>
        <v>Bezugskosten (je Stück)</v>
      </c>
      <c r="C10" s="142"/>
      <c r="D10" s="142"/>
      <c r="E10" s="141">
        <f>IF($M$6&lt;&gt;0,$M$6,$N$6*$M$3)</f>
        <v>0</v>
      </c>
      <c r="F10" s="144"/>
      <c r="G10" s="141">
        <f>IF($M$6&lt;&gt;0,$M$6,$N$6*$M$3)</f>
        <v>0</v>
      </c>
      <c r="H10" s="144"/>
      <c r="I10" s="141">
        <f>IF($M$6&lt;&gt;0,$M$6,$N$6*$M$3)</f>
        <v>0</v>
      </c>
      <c r="J10" s="30"/>
      <c r="L10" s="1" t="s">
        <v>11</v>
      </c>
      <c r="M10" s="68">
        <v>0</v>
      </c>
      <c r="N10" s="68"/>
    </row>
    <row r="11" spans="1:17" ht="15" thickBot="1" x14ac:dyDescent="0.35">
      <c r="A11" s="46" t="s">
        <v>9</v>
      </c>
      <c r="B11" s="31" t="s">
        <v>16</v>
      </c>
      <c r="C11" s="146"/>
      <c r="D11" s="146"/>
      <c r="E11" s="147">
        <f>E9+E10</f>
        <v>0</v>
      </c>
      <c r="F11" s="148"/>
      <c r="G11" s="147">
        <f>G9+G10</f>
        <v>0</v>
      </c>
      <c r="H11" s="148"/>
      <c r="I11" s="149">
        <f>I13-I12</f>
        <v>0</v>
      </c>
      <c r="J11" s="30"/>
      <c r="L11" s="7" t="s">
        <v>15</v>
      </c>
      <c r="M11" s="67">
        <v>0</v>
      </c>
      <c r="N11" s="67"/>
    </row>
    <row r="12" spans="1:17" ht="15" thickBot="1" x14ac:dyDescent="0.35">
      <c r="A12" s="41" t="s">
        <v>13</v>
      </c>
      <c r="B12" s="38" t="str">
        <f>L11</f>
        <v>Handlungskostenzuschlag</v>
      </c>
      <c r="C12" s="141">
        <f>M11</f>
        <v>0</v>
      </c>
      <c r="D12" s="142" t="s">
        <v>36</v>
      </c>
      <c r="E12" s="143">
        <f>ROUND(E11*C12/100,2)</f>
        <v>0</v>
      </c>
      <c r="F12" s="144" t="s">
        <v>36</v>
      </c>
      <c r="G12" s="143">
        <f>ROUND(G11/100*C12,2)</f>
        <v>0</v>
      </c>
      <c r="H12" s="144" t="s">
        <v>38</v>
      </c>
      <c r="I12" s="145">
        <f>ROUND(I13/(100+C12)*C12,2)</f>
        <v>0</v>
      </c>
      <c r="J12" s="30"/>
      <c r="L12" s="1" t="s">
        <v>17</v>
      </c>
      <c r="M12" s="68">
        <v>0</v>
      </c>
      <c r="N12" s="68"/>
    </row>
    <row r="13" spans="1:17" ht="15" thickBot="1" x14ac:dyDescent="0.35">
      <c r="A13" s="46" t="s">
        <v>9</v>
      </c>
      <c r="B13" s="31" t="s">
        <v>19</v>
      </c>
      <c r="C13" s="146"/>
      <c r="D13" s="146"/>
      <c r="E13" s="147">
        <f>E11+E12</f>
        <v>0</v>
      </c>
      <c r="F13" s="148"/>
      <c r="G13" s="147">
        <f>SUM(G11:G12)</f>
        <v>0</v>
      </c>
      <c r="H13" s="148"/>
      <c r="I13" s="149">
        <f>I15-I14</f>
        <v>0</v>
      </c>
      <c r="J13" s="30"/>
      <c r="L13" s="7" t="s">
        <v>18</v>
      </c>
      <c r="M13" s="67">
        <v>0</v>
      </c>
      <c r="N13" s="67"/>
    </row>
    <row r="14" spans="1:17" ht="15" thickBot="1" x14ac:dyDescent="0.35">
      <c r="A14" s="41" t="s">
        <v>13</v>
      </c>
      <c r="B14" s="38" t="str">
        <f>L12</f>
        <v>Gewinnzuschlag</v>
      </c>
      <c r="C14" s="141">
        <f>M12</f>
        <v>0</v>
      </c>
      <c r="D14" s="142" t="s">
        <v>36</v>
      </c>
      <c r="E14" s="143">
        <f>ROUND(E13*C14/100,2)</f>
        <v>0</v>
      </c>
      <c r="F14" s="150">
        <f>IFERROR(ROUND(G14*100/G13,2),0)</f>
        <v>0</v>
      </c>
      <c r="G14" s="151">
        <f>G15-G13</f>
        <v>0</v>
      </c>
      <c r="H14" s="144" t="s">
        <v>38</v>
      </c>
      <c r="I14" s="145">
        <f>ROUND(I15*C14/(100+C14),2)</f>
        <v>0</v>
      </c>
      <c r="J14" s="30"/>
      <c r="L14" s="1" t="s">
        <v>20</v>
      </c>
      <c r="M14" s="68">
        <v>0</v>
      </c>
      <c r="N14" s="68"/>
    </row>
    <row r="15" spans="1:17" ht="15" thickBot="1" x14ac:dyDescent="0.35">
      <c r="A15" s="46" t="s">
        <v>9</v>
      </c>
      <c r="B15" s="31" t="s">
        <v>22</v>
      </c>
      <c r="C15" s="146"/>
      <c r="D15" s="146"/>
      <c r="E15" s="147">
        <f>E13+E14</f>
        <v>0</v>
      </c>
      <c r="F15" s="148"/>
      <c r="G15" s="147">
        <f>G19-G18</f>
        <v>0</v>
      </c>
      <c r="H15" s="148"/>
      <c r="I15" s="149">
        <f>I19-I16-I17</f>
        <v>0</v>
      </c>
      <c r="J15" s="30"/>
      <c r="L15" s="7" t="s">
        <v>21</v>
      </c>
      <c r="M15" s="67">
        <v>0</v>
      </c>
      <c r="N15" s="67"/>
    </row>
    <row r="16" spans="1:17" ht="15" thickBot="1" x14ac:dyDescent="0.35">
      <c r="A16" s="41" t="s">
        <v>13</v>
      </c>
      <c r="B16" s="42" t="str">
        <f>L13</f>
        <v>Kundenskonto</v>
      </c>
      <c r="C16" s="152">
        <f>M13</f>
        <v>0</v>
      </c>
      <c r="D16" s="142"/>
      <c r="E16" s="153">
        <f>ROUND(E15/(100-C16-C17)*C16,2)</f>
        <v>0</v>
      </c>
      <c r="F16" s="144"/>
      <c r="G16" s="153">
        <f>ROUND(G19*C16/100,2)</f>
        <v>0</v>
      </c>
      <c r="H16" s="154"/>
      <c r="I16" s="153">
        <f>ROUND(I19*C16/100,2)</f>
        <v>0</v>
      </c>
      <c r="J16" s="30"/>
      <c r="L16" s="66" t="s">
        <v>23</v>
      </c>
      <c r="M16" s="69">
        <v>0</v>
      </c>
      <c r="N16" s="69"/>
    </row>
    <row r="17" spans="1:13" ht="15" thickBot="1" x14ac:dyDescent="0.35">
      <c r="A17" s="29" t="s">
        <v>13</v>
      </c>
      <c r="B17" s="32" t="str">
        <f>L14</f>
        <v>Vertreterprovision</v>
      </c>
      <c r="C17" s="155">
        <f>M14</f>
        <v>0</v>
      </c>
      <c r="D17" s="156"/>
      <c r="E17" s="157">
        <f>ROUND(E15*C17/(100-C17-C16),2)</f>
        <v>0</v>
      </c>
      <c r="F17" s="139"/>
      <c r="G17" s="157">
        <f>ROUND(G19*C17/100,2)</f>
        <v>0</v>
      </c>
      <c r="H17" s="158"/>
      <c r="I17" s="157">
        <f>ROUND(I19*C17/100,2)</f>
        <v>0</v>
      </c>
      <c r="J17" s="30"/>
      <c r="L17"/>
      <c r="M17"/>
    </row>
    <row r="18" spans="1:13" x14ac:dyDescent="0.3">
      <c r="A18" s="29"/>
      <c r="B18" s="32" t="s">
        <v>24</v>
      </c>
      <c r="C18" s="159">
        <f>C16+C17</f>
        <v>0</v>
      </c>
      <c r="D18" s="159" t="s">
        <v>37</v>
      </c>
      <c r="E18" s="160">
        <f>ROUND(E15*C18/(100-C18),2)</f>
        <v>0</v>
      </c>
      <c r="F18" s="139" t="s">
        <v>36</v>
      </c>
      <c r="G18" s="161">
        <f>ROUND(G19*C18/100,2)</f>
        <v>0</v>
      </c>
      <c r="H18" s="139" t="s">
        <v>36</v>
      </c>
      <c r="I18" s="161">
        <f>ROUND(I19*C18/100,2)</f>
        <v>0</v>
      </c>
      <c r="J18" s="30"/>
    </row>
    <row r="19" spans="1:13" ht="15" thickBot="1" x14ac:dyDescent="0.35">
      <c r="A19" s="47" t="s">
        <v>9</v>
      </c>
      <c r="B19" s="39" t="s">
        <v>25</v>
      </c>
      <c r="C19" s="162"/>
      <c r="D19" s="162"/>
      <c r="E19" s="163">
        <f>E15+E18</f>
        <v>0</v>
      </c>
      <c r="F19" s="164"/>
      <c r="G19" s="163">
        <f>G21-G20</f>
        <v>0</v>
      </c>
      <c r="H19" s="164"/>
      <c r="I19" s="165">
        <f>I21-I20</f>
        <v>0</v>
      </c>
      <c r="J19" s="30"/>
    </row>
    <row r="20" spans="1:13" ht="15" thickBot="1" x14ac:dyDescent="0.35">
      <c r="A20" s="29" t="s">
        <v>13</v>
      </c>
      <c r="B20" s="30" t="str">
        <f>L15</f>
        <v>Kundenrabatt</v>
      </c>
      <c r="C20" s="141">
        <f>M15</f>
        <v>0</v>
      </c>
      <c r="D20" s="166" t="s">
        <v>37</v>
      </c>
      <c r="E20" s="160">
        <f>ROUND((E19/(100-C20)*C20),2)</f>
        <v>0</v>
      </c>
      <c r="F20" s="139" t="s">
        <v>36</v>
      </c>
      <c r="G20" s="160">
        <f>ROUND(G21*C20/100,2)</f>
        <v>0</v>
      </c>
      <c r="H20" s="139" t="s">
        <v>36</v>
      </c>
      <c r="I20" s="140">
        <f>ROUND(I21*C20/100,2)</f>
        <v>0</v>
      </c>
      <c r="J20" s="30"/>
    </row>
    <row r="21" spans="1:13" ht="15" thickBot="1" x14ac:dyDescent="0.35">
      <c r="A21" s="47" t="s">
        <v>9</v>
      </c>
      <c r="B21" s="39" t="s">
        <v>26</v>
      </c>
      <c r="C21" s="162"/>
      <c r="D21" s="162"/>
      <c r="E21" s="163">
        <f>E19+E20</f>
        <v>0</v>
      </c>
      <c r="F21" s="167"/>
      <c r="G21" s="168">
        <f>M4</f>
        <v>0</v>
      </c>
      <c r="H21" s="164"/>
      <c r="I21" s="168">
        <f>M4</f>
        <v>0</v>
      </c>
      <c r="J21" s="30"/>
      <c r="L21" s="1" t="s">
        <v>72</v>
      </c>
    </row>
    <row r="22" spans="1:13" ht="15" thickBot="1" x14ac:dyDescent="0.35">
      <c r="A22" s="29" t="s">
        <v>13</v>
      </c>
      <c r="B22" s="1" t="str">
        <f>L16</f>
        <v>Umsatzsteuer</v>
      </c>
      <c r="C22" s="141">
        <f>M16</f>
        <v>0</v>
      </c>
      <c r="D22" s="166"/>
      <c r="E22" s="169">
        <f>ROUND(E21*$C$22/100,2)</f>
        <v>0</v>
      </c>
      <c r="F22" s="48"/>
      <c r="G22" s="169">
        <f>ROUND(G21*$C$22/100,2)</f>
        <v>0</v>
      </c>
      <c r="H22" s="48"/>
      <c r="I22" s="169">
        <f>ROUND(I21*$C$22/100,2)</f>
        <v>0</v>
      </c>
      <c r="J22" s="30"/>
      <c r="L22" s="1" t="s">
        <v>73</v>
      </c>
    </row>
    <row r="23" spans="1:13" x14ac:dyDescent="0.3">
      <c r="A23" s="47" t="s">
        <v>9</v>
      </c>
      <c r="B23" s="43" t="s">
        <v>28</v>
      </c>
      <c r="C23" s="170"/>
      <c r="D23" s="170"/>
      <c r="E23" s="171">
        <f>E21+E22</f>
        <v>0</v>
      </c>
      <c r="F23" s="63"/>
      <c r="G23" s="171">
        <f>G21+G22</f>
        <v>0</v>
      </c>
      <c r="H23" s="63"/>
      <c r="I23" s="171">
        <f>I21+I22</f>
        <v>0</v>
      </c>
      <c r="L23" s="1" t="s">
        <v>74</v>
      </c>
    </row>
    <row r="31" spans="1:13" x14ac:dyDescent="0.3">
      <c r="G31" s="45"/>
    </row>
    <row r="32" spans="1:13" x14ac:dyDescent="0.3">
      <c r="G32" s="45"/>
    </row>
    <row r="35" spans="7:7" x14ac:dyDescent="0.3">
      <c r="G35" s="45"/>
    </row>
  </sheetData>
  <sheetProtection algorithmName="SHA-512" hashValue="/wHwya3B8fPSBvCfFy3YgeInXt3VW+EY6228EIkg0Wd2AIsHgVgAEottWoCwuf1BetWtfWgmrl24bVSBnGxxUA==" saltValue="o0c5chqvwZuLrp7zPYoJig==" spinCount="100000" sheet="1" objects="1" scenarios="1"/>
  <protectedRanges>
    <protectedRange sqref="M3:M4 M6:N6 M9:M16" name="Bereich1"/>
    <protectedRange sqref="Q1" name="Bereich2"/>
  </protectedRanges>
  <mergeCells count="3">
    <mergeCell ref="C1:E1"/>
    <mergeCell ref="F1:G1"/>
    <mergeCell ref="H1:I1"/>
  </mergeCells>
  <hyperlinks>
    <hyperlink ref="Q1" location="Inhalt!A1" display="Inhalt" xr:uid="{00000000-0004-0000-0400-000000000000}"/>
  </hyperlinks>
  <pageMargins left="0.7" right="0.7" top="0.78740157499999996" bottom="0.78740157499999996"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92B4C-9898-4D66-9512-F1CD24CEE4C0}">
  <sheetPr codeName="Tabelle19"/>
  <dimension ref="A1:L10"/>
  <sheetViews>
    <sheetView showGridLines="0" workbookViewId="0">
      <selection activeCell="C13" sqref="C13"/>
    </sheetView>
  </sheetViews>
  <sheetFormatPr baseColWidth="10" defaultColWidth="11.44140625" defaultRowHeight="14.4" x14ac:dyDescent="0.3"/>
  <cols>
    <col min="1" max="1" width="2.6640625" style="242" customWidth="1"/>
    <col min="2" max="2" width="22.33203125" style="242" bestFit="1" customWidth="1"/>
    <col min="3" max="16384" width="11.44140625" style="242"/>
  </cols>
  <sheetData>
    <row r="1" spans="1:12" x14ac:dyDescent="0.3">
      <c r="A1" s="241"/>
    </row>
    <row r="2" spans="1:12" ht="18" x14ac:dyDescent="0.35">
      <c r="A2" s="241"/>
      <c r="B2" s="243" t="s">
        <v>75</v>
      </c>
    </row>
    <row r="3" spans="1:12" x14ac:dyDescent="0.3">
      <c r="A3" s="241"/>
    </row>
    <row r="4" spans="1:12" ht="15" customHeight="1" x14ac:dyDescent="0.3">
      <c r="A4" s="241"/>
      <c r="B4" s="241" t="s">
        <v>101</v>
      </c>
      <c r="D4" s="315" t="s">
        <v>111</v>
      </c>
      <c r="E4" s="315"/>
      <c r="F4" s="315"/>
      <c r="G4" s="315"/>
      <c r="H4" s="315"/>
      <c r="I4" s="315"/>
      <c r="J4" s="315"/>
      <c r="K4" s="315"/>
      <c r="L4" s="315"/>
    </row>
    <row r="5" spans="1:12" x14ac:dyDescent="0.3">
      <c r="A5" s="241"/>
      <c r="B5" s="241" t="s">
        <v>102</v>
      </c>
      <c r="D5" s="315"/>
      <c r="E5" s="315"/>
      <c r="F5" s="315"/>
      <c r="G5" s="315"/>
      <c r="H5" s="315"/>
      <c r="I5" s="315"/>
      <c r="J5" s="315"/>
      <c r="K5" s="315"/>
      <c r="L5" s="315"/>
    </row>
    <row r="6" spans="1:12" x14ac:dyDescent="0.3">
      <c r="A6" s="241"/>
      <c r="B6" s="241" t="s">
        <v>103</v>
      </c>
      <c r="D6" s="315"/>
      <c r="E6" s="315"/>
      <c r="F6" s="315"/>
      <c r="G6" s="315"/>
      <c r="H6" s="315"/>
      <c r="I6" s="315"/>
      <c r="J6" s="315"/>
      <c r="K6" s="315"/>
      <c r="L6" s="315"/>
    </row>
    <row r="7" spans="1:12" x14ac:dyDescent="0.3">
      <c r="B7" s="241" t="s">
        <v>104</v>
      </c>
      <c r="D7" s="315"/>
      <c r="E7" s="315"/>
      <c r="F7" s="315"/>
      <c r="G7" s="315"/>
      <c r="H7" s="315"/>
      <c r="I7" s="315"/>
      <c r="J7" s="315"/>
      <c r="K7" s="315"/>
      <c r="L7" s="315"/>
    </row>
    <row r="8" spans="1:12" x14ac:dyDescent="0.3">
      <c r="D8" s="315"/>
      <c r="E8" s="315"/>
      <c r="F8" s="315"/>
      <c r="G8" s="315"/>
      <c r="H8" s="315"/>
      <c r="I8" s="315"/>
      <c r="J8" s="315"/>
      <c r="K8" s="315"/>
      <c r="L8" s="315"/>
    </row>
    <row r="9" spans="1:12" x14ac:dyDescent="0.3">
      <c r="D9" s="315"/>
      <c r="E9" s="315"/>
      <c r="F9" s="315"/>
      <c r="G9" s="315"/>
      <c r="H9" s="315"/>
      <c r="I9" s="315"/>
      <c r="J9" s="315"/>
      <c r="K9" s="315"/>
      <c r="L9" s="315"/>
    </row>
    <row r="10" spans="1:12" x14ac:dyDescent="0.3">
      <c r="D10" s="315"/>
      <c r="E10" s="315"/>
      <c r="F10" s="315"/>
      <c r="G10" s="315"/>
      <c r="H10" s="315"/>
      <c r="I10" s="315"/>
      <c r="J10" s="315"/>
      <c r="K10" s="315"/>
      <c r="L10" s="315"/>
    </row>
  </sheetData>
  <sheetProtection algorithmName="SHA-512" hashValue="dFrrZxKlgUyeHwldqT+MEXuH8F+l7E3vhIXkZyrhWqpZavTEn2SwwNFGVsguFdp6xmr+bKmr4aEuXSI92BIQmQ==" saltValue="MghjY3UhqX3lHCuPktX2CA==" spinCount="100000" sheet="1" objects="1" scenarios="1"/>
  <mergeCells count="1">
    <mergeCell ref="D4:L10"/>
  </mergeCells>
  <hyperlinks>
    <hyperlink ref="B4" location="'Arbeitsauftrag 4 Kirsche'!A1" display="Arbeitsauftrag 4 Kirsche" xr:uid="{209D094C-A180-4F49-BF47-C8C08686AEC8}"/>
    <hyperlink ref="B5" location="'Arbeitsauftrag 4 Eiche'!A1" display="Arbeitsauftrag 4 Eiche" xr:uid="{3DC01521-4E22-48A0-85D7-0B0056F3006D}"/>
    <hyperlink ref="B6" location="'Arbeitsauftrag 4 Buche'!A1" display="Arbeitsauftrag 4 Buche" xr:uid="{80DDCAAB-09BD-4934-B48E-B15ACE7BB682}"/>
    <hyperlink ref="B7" location="'Vert. Aufgabe 1'!A1" display="Vert. Aufgabe 1" xr:uid="{7CEC2C93-0A75-4850-AC98-DC85B9E52BAB}"/>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B2:K26"/>
  <sheetViews>
    <sheetView showGridLines="0" tabSelected="1" workbookViewId="0">
      <selection activeCell="G24" sqref="G24"/>
    </sheetView>
  </sheetViews>
  <sheetFormatPr baseColWidth="10" defaultColWidth="11.44140625" defaultRowHeight="14.4" x14ac:dyDescent="0.3"/>
  <cols>
    <col min="1" max="1" width="2.6640625" style="242" customWidth="1"/>
    <col min="2" max="2" width="2.44140625" style="242" customWidth="1"/>
    <col min="3" max="3" width="27.109375" style="242" customWidth="1"/>
    <col min="4" max="6" width="13" style="242" customWidth="1"/>
    <col min="7" max="7" width="31.88671875" style="242" customWidth="1"/>
    <col min="8" max="8" width="13" style="242" customWidth="1"/>
    <col min="9" max="16384" width="11.44140625" style="242"/>
  </cols>
  <sheetData>
    <row r="2" spans="2:11" ht="15" customHeight="1" x14ac:dyDescent="0.3">
      <c r="B2" s="316" t="s">
        <v>39</v>
      </c>
      <c r="C2" s="317"/>
      <c r="D2" s="317"/>
      <c r="E2" s="317"/>
      <c r="G2" s="244" t="s">
        <v>1</v>
      </c>
      <c r="H2" s="244" t="s">
        <v>2</v>
      </c>
      <c r="J2" s="245"/>
    </row>
    <row r="3" spans="2:11" ht="15" customHeight="1" x14ac:dyDescent="0.3">
      <c r="B3" s="318"/>
      <c r="C3" s="318"/>
      <c r="D3" s="318"/>
      <c r="E3" s="318"/>
      <c r="G3" s="246"/>
      <c r="H3" s="246"/>
    </row>
    <row r="4" spans="2:11" ht="15" customHeight="1" x14ac:dyDescent="0.3">
      <c r="B4" s="247"/>
      <c r="C4" s="247"/>
      <c r="D4" s="247"/>
      <c r="E4" s="247"/>
      <c r="G4" s="248" t="s">
        <v>40</v>
      </c>
      <c r="H4" s="249"/>
    </row>
    <row r="5" spans="2:11" ht="15" customHeight="1" thickBot="1" x14ac:dyDescent="0.35">
      <c r="B5" s="250"/>
      <c r="C5" s="251"/>
      <c r="D5" s="252" t="s">
        <v>4</v>
      </c>
      <c r="E5" s="253" t="s">
        <v>2</v>
      </c>
      <c r="G5" s="246" t="s">
        <v>41</v>
      </c>
      <c r="H5" s="254"/>
    </row>
    <row r="6" spans="2:11" ht="15" customHeight="1" thickBot="1" x14ac:dyDescent="0.35">
      <c r="B6" s="255"/>
      <c r="C6" s="256" t="s">
        <v>40</v>
      </c>
      <c r="D6" s="257"/>
      <c r="E6" s="258"/>
      <c r="G6" s="248"/>
      <c r="H6" s="259"/>
    </row>
    <row r="7" spans="2:11" ht="15" customHeight="1" thickBot="1" x14ac:dyDescent="0.35">
      <c r="B7" s="255" t="s">
        <v>13</v>
      </c>
      <c r="C7" s="256" t="s">
        <v>42</v>
      </c>
      <c r="D7" s="260"/>
      <c r="E7" s="261"/>
      <c r="G7" s="262" t="s">
        <v>43</v>
      </c>
      <c r="H7" s="263" t="s">
        <v>4</v>
      </c>
      <c r="J7" s="242" t="s">
        <v>98</v>
      </c>
    </row>
    <row r="8" spans="2:11" ht="15" customHeight="1" thickBot="1" x14ac:dyDescent="0.35">
      <c r="B8" s="264" t="s">
        <v>9</v>
      </c>
      <c r="C8" s="265" t="s">
        <v>105</v>
      </c>
      <c r="D8" s="266"/>
      <c r="E8" s="267"/>
      <c r="G8" s="248" t="s">
        <v>42</v>
      </c>
      <c r="H8" s="268"/>
      <c r="J8" s="269"/>
      <c r="K8" s="242" t="s">
        <v>109</v>
      </c>
    </row>
    <row r="9" spans="2:11" ht="15" customHeight="1" thickBot="1" x14ac:dyDescent="0.35">
      <c r="B9" s="255"/>
      <c r="C9" s="256" t="s">
        <v>41</v>
      </c>
      <c r="D9" s="270"/>
      <c r="E9" s="258"/>
      <c r="G9" s="246" t="s">
        <v>45</v>
      </c>
      <c r="H9" s="271"/>
    </row>
    <row r="10" spans="2:11" ht="15" customHeight="1" thickBot="1" x14ac:dyDescent="0.35">
      <c r="B10" s="255" t="s">
        <v>13</v>
      </c>
      <c r="C10" s="256" t="s">
        <v>45</v>
      </c>
      <c r="D10" s="260"/>
      <c r="E10" s="261"/>
      <c r="G10" s="248" t="s">
        <v>46</v>
      </c>
      <c r="H10" s="268"/>
      <c r="J10" s="242" t="s">
        <v>99</v>
      </c>
    </row>
    <row r="11" spans="2:11" ht="15" customHeight="1" x14ac:dyDescent="0.3">
      <c r="B11" s="264" t="s">
        <v>9</v>
      </c>
      <c r="C11" s="265" t="s">
        <v>106</v>
      </c>
      <c r="D11" s="272"/>
      <c r="E11" s="273"/>
      <c r="G11" s="246" t="s">
        <v>48</v>
      </c>
      <c r="H11" s="271"/>
      <c r="J11" s="269"/>
      <c r="K11" s="242" t="s">
        <v>109</v>
      </c>
    </row>
    <row r="12" spans="2:11" ht="15" customHeight="1" thickBot="1" x14ac:dyDescent="0.35">
      <c r="B12" s="264" t="s">
        <v>9</v>
      </c>
      <c r="C12" s="265" t="s">
        <v>107</v>
      </c>
      <c r="D12" s="272"/>
      <c r="E12" s="273"/>
      <c r="G12" s="248" t="s">
        <v>17</v>
      </c>
      <c r="H12" s="268"/>
    </row>
    <row r="13" spans="2:11" ht="15" customHeight="1" thickBot="1" x14ac:dyDescent="0.35">
      <c r="B13" s="255" t="s">
        <v>13</v>
      </c>
      <c r="C13" s="256" t="s">
        <v>46</v>
      </c>
      <c r="D13" s="260"/>
      <c r="E13" s="274"/>
      <c r="G13" s="246" t="s">
        <v>18</v>
      </c>
      <c r="H13" s="271"/>
      <c r="J13" s="242" t="s">
        <v>100</v>
      </c>
    </row>
    <row r="14" spans="2:11" ht="15" customHeight="1" thickBot="1" x14ac:dyDescent="0.35">
      <c r="B14" s="255" t="s">
        <v>13</v>
      </c>
      <c r="C14" s="256" t="s">
        <v>108</v>
      </c>
      <c r="D14" s="260"/>
      <c r="E14" s="274"/>
      <c r="G14" s="248" t="s">
        <v>20</v>
      </c>
      <c r="H14" s="268"/>
      <c r="J14" s="269"/>
      <c r="K14" s="242" t="s">
        <v>109</v>
      </c>
    </row>
    <row r="15" spans="2:11" ht="15" customHeight="1" thickBot="1" x14ac:dyDescent="0.35">
      <c r="B15" s="264" t="s">
        <v>9</v>
      </c>
      <c r="C15" s="265" t="s">
        <v>19</v>
      </c>
      <c r="D15" s="272"/>
      <c r="E15" s="273"/>
      <c r="G15" s="246" t="s">
        <v>21</v>
      </c>
      <c r="H15" s="271"/>
    </row>
    <row r="16" spans="2:11" ht="15" customHeight="1" thickBot="1" x14ac:dyDescent="0.35">
      <c r="B16" s="255" t="s">
        <v>13</v>
      </c>
      <c r="C16" s="275" t="s">
        <v>17</v>
      </c>
      <c r="D16" s="260"/>
      <c r="E16" s="274"/>
      <c r="G16" s="248" t="s">
        <v>23</v>
      </c>
      <c r="H16" s="268"/>
    </row>
    <row r="17" spans="2:8" ht="15" customHeight="1" thickBot="1" x14ac:dyDescent="0.35">
      <c r="B17" s="264" t="s">
        <v>9</v>
      </c>
      <c r="C17" s="265" t="s">
        <v>22</v>
      </c>
      <c r="D17" s="276"/>
      <c r="E17" s="273"/>
    </row>
    <row r="18" spans="2:8" ht="15" customHeight="1" thickBot="1" x14ac:dyDescent="0.35">
      <c r="B18" s="255" t="s">
        <v>13</v>
      </c>
      <c r="C18" s="275" t="s">
        <v>18</v>
      </c>
      <c r="D18" s="277"/>
      <c r="E18" s="278"/>
    </row>
    <row r="19" spans="2:8" ht="15" customHeight="1" thickBot="1" x14ac:dyDescent="0.35">
      <c r="B19" s="255" t="s">
        <v>13</v>
      </c>
      <c r="C19" s="275" t="s">
        <v>20</v>
      </c>
      <c r="D19" s="277"/>
      <c r="E19" s="278"/>
    </row>
    <row r="20" spans="2:8" ht="15" customHeight="1" x14ac:dyDescent="0.3">
      <c r="B20" s="255"/>
      <c r="C20" s="275" t="s">
        <v>24</v>
      </c>
      <c r="D20" s="279"/>
      <c r="E20" s="274"/>
    </row>
    <row r="21" spans="2:8" ht="15" customHeight="1" thickBot="1" x14ac:dyDescent="0.35">
      <c r="B21" s="264" t="s">
        <v>9</v>
      </c>
      <c r="C21" s="265" t="s">
        <v>25</v>
      </c>
      <c r="D21" s="280"/>
      <c r="E21" s="273"/>
      <c r="G21" s="281"/>
    </row>
    <row r="22" spans="2:8" ht="15" customHeight="1" thickBot="1" x14ac:dyDescent="0.35">
      <c r="B22" s="255" t="s">
        <v>13</v>
      </c>
      <c r="C22" s="275" t="s">
        <v>21</v>
      </c>
      <c r="D22" s="260"/>
      <c r="E22" s="274"/>
    </row>
    <row r="23" spans="2:8" ht="15" customHeight="1" thickBot="1" x14ac:dyDescent="0.35">
      <c r="B23" s="264" t="s">
        <v>9</v>
      </c>
      <c r="C23" s="265" t="s">
        <v>50</v>
      </c>
      <c r="D23" s="280"/>
      <c r="E23" s="273"/>
      <c r="F23" s="282"/>
    </row>
    <row r="24" spans="2:8" ht="15" customHeight="1" thickBot="1" x14ac:dyDescent="0.35">
      <c r="B24" s="255" t="s">
        <v>13</v>
      </c>
      <c r="C24" s="275" t="s">
        <v>23</v>
      </c>
      <c r="D24" s="260"/>
      <c r="E24" s="274"/>
      <c r="H24" s="283"/>
    </row>
    <row r="25" spans="2:8" ht="15" customHeight="1" x14ac:dyDescent="0.3">
      <c r="B25" s="264" t="s">
        <v>9</v>
      </c>
      <c r="C25" s="265" t="s">
        <v>28</v>
      </c>
      <c r="D25" s="284"/>
      <c r="E25" s="273"/>
      <c r="H25" s="283"/>
    </row>
    <row r="26" spans="2:8" ht="15" customHeight="1" x14ac:dyDescent="0.3"/>
  </sheetData>
  <protectedRanges>
    <protectedRange sqref="H4:H5 H8:H16" name="Bereich1"/>
    <protectedRange sqref="J2" name="Bereich2"/>
  </protectedRanges>
  <mergeCells count="2">
    <mergeCell ref="B2:E2"/>
    <mergeCell ref="B3:E3"/>
  </mergeCells>
  <pageMargins left="0.7" right="0.7" top="0.78740157499999996" bottom="0.78740157499999996" header="0.3" footer="0.3"/>
  <pageSetup paperSize="9" orientation="portrait" horizontalDpi="30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3F362-EC39-4CFD-A94A-0BC3C8A1DC6A}">
  <sheetPr codeName="Tabelle7"/>
  <dimension ref="B2:L24"/>
  <sheetViews>
    <sheetView showGridLines="0" workbookViewId="0">
      <selection activeCell="K2" sqref="K2"/>
    </sheetView>
  </sheetViews>
  <sheetFormatPr baseColWidth="10" defaultColWidth="11.44140625" defaultRowHeight="14.4" x14ac:dyDescent="0.3"/>
  <cols>
    <col min="1" max="2" width="2.6640625" style="242" customWidth="1"/>
    <col min="3" max="3" width="27.109375" style="242" bestFit="1" customWidth="1"/>
    <col min="4" max="6" width="13" style="242" customWidth="1"/>
    <col min="7" max="7" width="31.88671875" style="242" bestFit="1" customWidth="1"/>
    <col min="8" max="8" width="13" style="242" customWidth="1"/>
    <col min="9" max="16384" width="11.44140625" style="242"/>
  </cols>
  <sheetData>
    <row r="2" spans="2:12" ht="15" customHeight="1" x14ac:dyDescent="0.3">
      <c r="B2" s="316" t="s">
        <v>0</v>
      </c>
      <c r="C2" s="317"/>
      <c r="D2" s="317"/>
      <c r="E2" s="317"/>
      <c r="G2" s="244" t="s">
        <v>1</v>
      </c>
      <c r="H2" s="244" t="s">
        <v>2</v>
      </c>
      <c r="I2" s="244" t="s">
        <v>4</v>
      </c>
      <c r="K2" s="245"/>
    </row>
    <row r="3" spans="2:12" ht="15" customHeight="1" x14ac:dyDescent="0.3">
      <c r="B3" s="319"/>
      <c r="C3" s="320"/>
      <c r="D3" s="320"/>
      <c r="E3" s="320"/>
      <c r="G3" s="246"/>
      <c r="H3" s="246"/>
      <c r="I3" s="246"/>
    </row>
    <row r="4" spans="2:12" ht="15" customHeight="1" x14ac:dyDescent="0.3">
      <c r="B4" s="285"/>
      <c r="C4" s="286"/>
      <c r="D4" s="286"/>
      <c r="E4" s="286"/>
      <c r="G4" s="248" t="s">
        <v>3</v>
      </c>
      <c r="H4" s="249"/>
      <c r="I4" s="287"/>
    </row>
    <row r="5" spans="2:12" ht="15" customHeight="1" thickBot="1" x14ac:dyDescent="0.35">
      <c r="B5" s="288"/>
      <c r="C5" s="289"/>
      <c r="D5" s="290" t="s">
        <v>4</v>
      </c>
      <c r="E5" s="290" t="s">
        <v>2</v>
      </c>
      <c r="H5" s="283"/>
      <c r="I5" s="291"/>
    </row>
    <row r="6" spans="2:12" ht="15" customHeight="1" thickBot="1" x14ac:dyDescent="0.35">
      <c r="B6" s="264"/>
      <c r="C6" s="265" t="s">
        <v>3</v>
      </c>
      <c r="D6" s="292"/>
      <c r="E6" s="293"/>
      <c r="F6" s="294"/>
      <c r="G6" s="248" t="s">
        <v>6</v>
      </c>
      <c r="H6" s="249"/>
      <c r="I6" s="295"/>
    </row>
    <row r="7" spans="2:12" ht="15" customHeight="1" thickBot="1" x14ac:dyDescent="0.35">
      <c r="B7" s="296" t="s">
        <v>7</v>
      </c>
      <c r="C7" s="275" t="s">
        <v>8</v>
      </c>
      <c r="D7" s="297"/>
      <c r="E7" s="261"/>
    </row>
    <row r="8" spans="2:12" ht="15" customHeight="1" thickBot="1" x14ac:dyDescent="0.35">
      <c r="B8" s="252" t="s">
        <v>9</v>
      </c>
      <c r="C8" s="265" t="s">
        <v>10</v>
      </c>
      <c r="D8" s="298"/>
      <c r="E8" s="273"/>
      <c r="G8" s="244" t="s">
        <v>1</v>
      </c>
      <c r="H8" s="244" t="s">
        <v>4</v>
      </c>
      <c r="I8" s="244"/>
      <c r="K8" s="242" t="s">
        <v>98</v>
      </c>
    </row>
    <row r="9" spans="2:12" ht="15" customHeight="1" thickBot="1" x14ac:dyDescent="0.35">
      <c r="B9" s="296" t="s">
        <v>7</v>
      </c>
      <c r="C9" s="275" t="s">
        <v>11</v>
      </c>
      <c r="D9" s="297"/>
      <c r="E9" s="274"/>
      <c r="G9" s="246" t="s">
        <v>8</v>
      </c>
      <c r="H9" s="271"/>
      <c r="I9" s="271"/>
      <c r="K9" s="269"/>
      <c r="L9" s="242" t="s">
        <v>109</v>
      </c>
    </row>
    <row r="10" spans="2:12" ht="15" customHeight="1" thickBot="1" x14ac:dyDescent="0.35">
      <c r="B10" s="252" t="s">
        <v>9</v>
      </c>
      <c r="C10" s="265" t="s">
        <v>12</v>
      </c>
      <c r="D10" s="299"/>
      <c r="E10" s="273"/>
      <c r="G10" s="248" t="s">
        <v>11</v>
      </c>
      <c r="H10" s="300"/>
      <c r="I10" s="300"/>
    </row>
    <row r="11" spans="2:12" ht="15" customHeight="1" thickBot="1" x14ac:dyDescent="0.35">
      <c r="B11" s="296" t="s">
        <v>13</v>
      </c>
      <c r="C11" s="275" t="s">
        <v>14</v>
      </c>
      <c r="D11" s="301"/>
      <c r="E11" s="297"/>
      <c r="G11" s="246" t="s">
        <v>15</v>
      </c>
      <c r="H11" s="271"/>
      <c r="I11" s="271"/>
      <c r="K11" s="242" t="s">
        <v>99</v>
      </c>
    </row>
    <row r="12" spans="2:12" ht="15" customHeight="1" thickBot="1" x14ac:dyDescent="0.35">
      <c r="B12" s="252" t="s">
        <v>9</v>
      </c>
      <c r="C12" s="265" t="s">
        <v>16</v>
      </c>
      <c r="D12" s="299"/>
      <c r="E12" s="273"/>
      <c r="G12" s="248" t="s">
        <v>17</v>
      </c>
      <c r="H12" s="300"/>
      <c r="I12" s="300"/>
      <c r="K12" s="269"/>
      <c r="L12" s="242" t="s">
        <v>109</v>
      </c>
    </row>
    <row r="13" spans="2:12" ht="15" customHeight="1" thickBot="1" x14ac:dyDescent="0.35">
      <c r="B13" s="296" t="s">
        <v>13</v>
      </c>
      <c r="C13" s="275" t="s">
        <v>15</v>
      </c>
      <c r="D13" s="297"/>
      <c r="E13" s="274"/>
      <c r="G13" s="246" t="s">
        <v>18</v>
      </c>
      <c r="H13" s="271"/>
      <c r="I13" s="271"/>
    </row>
    <row r="14" spans="2:12" ht="15" customHeight="1" thickBot="1" x14ac:dyDescent="0.35">
      <c r="B14" s="252" t="s">
        <v>9</v>
      </c>
      <c r="C14" s="265" t="s">
        <v>19</v>
      </c>
      <c r="D14" s="299"/>
      <c r="E14" s="273"/>
      <c r="G14" s="248" t="s">
        <v>20</v>
      </c>
      <c r="H14" s="300"/>
      <c r="I14" s="300"/>
      <c r="K14" s="242" t="s">
        <v>100</v>
      </c>
    </row>
    <row r="15" spans="2:12" ht="15" customHeight="1" thickBot="1" x14ac:dyDescent="0.35">
      <c r="B15" s="296" t="s">
        <v>13</v>
      </c>
      <c r="C15" s="275" t="s">
        <v>17</v>
      </c>
      <c r="D15" s="297"/>
      <c r="E15" s="274"/>
      <c r="G15" s="246" t="s">
        <v>21</v>
      </c>
      <c r="H15" s="271"/>
      <c r="I15" s="271"/>
      <c r="K15" s="269"/>
      <c r="L15" s="242" t="s">
        <v>109</v>
      </c>
    </row>
    <row r="16" spans="2:12" ht="15" customHeight="1" thickBot="1" x14ac:dyDescent="0.35">
      <c r="B16" s="252" t="s">
        <v>9</v>
      </c>
      <c r="C16" s="265" t="s">
        <v>22</v>
      </c>
      <c r="D16" s="292"/>
      <c r="E16" s="273"/>
      <c r="G16" s="248" t="s">
        <v>23</v>
      </c>
      <c r="H16" s="300"/>
      <c r="I16" s="300"/>
    </row>
    <row r="17" spans="2:6" ht="15" customHeight="1" thickBot="1" x14ac:dyDescent="0.35">
      <c r="B17" s="296" t="s">
        <v>13</v>
      </c>
      <c r="C17" s="275" t="s">
        <v>18</v>
      </c>
      <c r="D17" s="302"/>
      <c r="E17" s="278"/>
    </row>
    <row r="18" spans="2:6" ht="15" customHeight="1" thickBot="1" x14ac:dyDescent="0.35">
      <c r="B18" s="303" t="s">
        <v>13</v>
      </c>
      <c r="C18" s="304" t="s">
        <v>20</v>
      </c>
      <c r="D18" s="302"/>
      <c r="E18" s="305"/>
    </row>
    <row r="19" spans="2:6" ht="15" customHeight="1" x14ac:dyDescent="0.3">
      <c r="B19" s="306"/>
      <c r="C19" s="307" t="s">
        <v>24</v>
      </c>
      <c r="D19" s="308"/>
      <c r="E19" s="309"/>
    </row>
    <row r="20" spans="2:6" ht="15" customHeight="1" thickBot="1" x14ac:dyDescent="0.35">
      <c r="B20" s="252" t="s">
        <v>9</v>
      </c>
      <c r="C20" s="265" t="s">
        <v>25</v>
      </c>
      <c r="D20" s="299"/>
      <c r="E20" s="273"/>
    </row>
    <row r="21" spans="2:6" ht="15" customHeight="1" thickBot="1" x14ac:dyDescent="0.35">
      <c r="B21" s="303" t="s">
        <v>13</v>
      </c>
      <c r="C21" s="304" t="s">
        <v>21</v>
      </c>
      <c r="D21" s="297"/>
      <c r="E21" s="309"/>
    </row>
    <row r="22" spans="2:6" ht="15" customHeight="1" thickBot="1" x14ac:dyDescent="0.35">
      <c r="B22" s="252" t="s">
        <v>9</v>
      </c>
      <c r="C22" s="265" t="s">
        <v>26</v>
      </c>
      <c r="D22" s="299"/>
      <c r="E22" s="273"/>
      <c r="F22" s="282"/>
    </row>
    <row r="23" spans="2:6" ht="15" customHeight="1" thickBot="1" x14ac:dyDescent="0.35">
      <c r="B23" s="303" t="s">
        <v>13</v>
      </c>
      <c r="C23" s="304" t="s">
        <v>23</v>
      </c>
      <c r="D23" s="297"/>
      <c r="E23" s="309"/>
    </row>
    <row r="24" spans="2:6" ht="15" customHeight="1" x14ac:dyDescent="0.3">
      <c r="B24" s="252" t="s">
        <v>9</v>
      </c>
      <c r="C24" s="265" t="s">
        <v>28</v>
      </c>
      <c r="D24" s="299"/>
      <c r="E24" s="273"/>
    </row>
  </sheetData>
  <protectedRanges>
    <protectedRange sqref="H4 H6:I6 H9:H16" name="Bereich2"/>
    <protectedRange sqref="K2" name="Bereich2_1"/>
  </protectedRanges>
  <mergeCells count="2">
    <mergeCell ref="B2:E2"/>
    <mergeCell ref="B3:E3"/>
  </mergeCells>
  <pageMargins left="0.7" right="0.7" top="0.78740157499999996" bottom="0.78740157499999996" header="0.3" footer="0.3"/>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EF3AB-88E5-4FE4-A50C-5A4134719647}">
  <sheetPr codeName="Tabelle8"/>
  <dimension ref="B2:L24"/>
  <sheetViews>
    <sheetView showGridLines="0" workbookViewId="0">
      <selection activeCell="K2" sqref="K2"/>
    </sheetView>
  </sheetViews>
  <sheetFormatPr baseColWidth="10" defaultColWidth="11.44140625" defaultRowHeight="14.4" x14ac:dyDescent="0.3"/>
  <cols>
    <col min="1" max="1" width="2.6640625" style="242" customWidth="1"/>
    <col min="2" max="2" width="2.44140625" style="242" bestFit="1" customWidth="1"/>
    <col min="3" max="3" width="27.109375" style="242" bestFit="1" customWidth="1"/>
    <col min="4" max="6" width="13" style="242" customWidth="1"/>
    <col min="7" max="7" width="31.88671875" style="242" bestFit="1" customWidth="1"/>
    <col min="8" max="8" width="13" style="242" customWidth="1"/>
    <col min="9" max="16384" width="11.44140625" style="242"/>
  </cols>
  <sheetData>
    <row r="2" spans="2:12" ht="15" customHeight="1" x14ac:dyDescent="0.3">
      <c r="B2" s="316" t="s">
        <v>0</v>
      </c>
      <c r="C2" s="317"/>
      <c r="D2" s="317"/>
      <c r="E2" s="317"/>
      <c r="G2" s="244" t="s">
        <v>1</v>
      </c>
      <c r="H2" s="244" t="s">
        <v>2</v>
      </c>
      <c r="I2" s="244" t="s">
        <v>4</v>
      </c>
      <c r="K2" s="245"/>
    </row>
    <row r="3" spans="2:12" ht="15" customHeight="1" x14ac:dyDescent="0.3">
      <c r="B3" s="319"/>
      <c r="C3" s="320"/>
      <c r="D3" s="320"/>
      <c r="E3" s="320"/>
      <c r="G3" s="246"/>
      <c r="H3" s="246"/>
      <c r="I3" s="246"/>
    </row>
    <row r="4" spans="2:12" ht="15" customHeight="1" x14ac:dyDescent="0.3">
      <c r="B4" s="285"/>
      <c r="C4" s="286"/>
      <c r="D4" s="286"/>
      <c r="E4" s="286"/>
      <c r="G4" s="248" t="s">
        <v>3</v>
      </c>
      <c r="H4" s="249"/>
      <c r="I4" s="287"/>
    </row>
    <row r="5" spans="2:12" ht="15" customHeight="1" thickBot="1" x14ac:dyDescent="0.35">
      <c r="B5" s="288"/>
      <c r="C5" s="289"/>
      <c r="D5" s="290" t="s">
        <v>4</v>
      </c>
      <c r="E5" s="290" t="s">
        <v>2</v>
      </c>
      <c r="H5" s="283"/>
      <c r="I5" s="291"/>
    </row>
    <row r="6" spans="2:12" ht="15" customHeight="1" thickBot="1" x14ac:dyDescent="0.35">
      <c r="B6" s="264"/>
      <c r="C6" s="265" t="s">
        <v>3</v>
      </c>
      <c r="D6" s="292"/>
      <c r="E6" s="293"/>
      <c r="F6" s="294"/>
      <c r="G6" s="248" t="s">
        <v>6</v>
      </c>
      <c r="H6" s="249"/>
      <c r="I6" s="295"/>
    </row>
    <row r="7" spans="2:12" ht="15" customHeight="1" thickBot="1" x14ac:dyDescent="0.35">
      <c r="B7" s="296" t="s">
        <v>7</v>
      </c>
      <c r="C7" s="275" t="s">
        <v>8</v>
      </c>
      <c r="D7" s="297"/>
      <c r="E7" s="261"/>
    </row>
    <row r="8" spans="2:12" ht="15" customHeight="1" thickBot="1" x14ac:dyDescent="0.35">
      <c r="B8" s="252" t="s">
        <v>9</v>
      </c>
      <c r="C8" s="265" t="s">
        <v>10</v>
      </c>
      <c r="D8" s="298"/>
      <c r="E8" s="273"/>
      <c r="G8" s="244" t="s">
        <v>1</v>
      </c>
      <c r="H8" s="244" t="s">
        <v>4</v>
      </c>
      <c r="I8" s="244"/>
      <c r="K8" s="242" t="s">
        <v>98</v>
      </c>
    </row>
    <row r="9" spans="2:12" ht="15" customHeight="1" thickBot="1" x14ac:dyDescent="0.35">
      <c r="B9" s="296" t="s">
        <v>7</v>
      </c>
      <c r="C9" s="275" t="s">
        <v>11</v>
      </c>
      <c r="D9" s="297"/>
      <c r="E9" s="274"/>
      <c r="G9" s="246" t="s">
        <v>8</v>
      </c>
      <c r="H9" s="271"/>
      <c r="I9" s="271"/>
      <c r="K9" s="269"/>
      <c r="L9" s="242" t="s">
        <v>109</v>
      </c>
    </row>
    <row r="10" spans="2:12" ht="15" customHeight="1" thickBot="1" x14ac:dyDescent="0.35">
      <c r="B10" s="252" t="s">
        <v>9</v>
      </c>
      <c r="C10" s="265" t="s">
        <v>12</v>
      </c>
      <c r="D10" s="299"/>
      <c r="E10" s="273"/>
      <c r="G10" s="248" t="s">
        <v>11</v>
      </c>
      <c r="H10" s="300"/>
      <c r="I10" s="300"/>
    </row>
    <row r="11" spans="2:12" ht="15" customHeight="1" thickBot="1" x14ac:dyDescent="0.35">
      <c r="B11" s="296" t="s">
        <v>13</v>
      </c>
      <c r="C11" s="275" t="s">
        <v>14</v>
      </c>
      <c r="D11" s="301"/>
      <c r="E11" s="297"/>
      <c r="G11" s="246" t="s">
        <v>15</v>
      </c>
      <c r="H11" s="271"/>
      <c r="I11" s="271"/>
      <c r="K11" s="242" t="s">
        <v>99</v>
      </c>
    </row>
    <row r="12" spans="2:12" ht="15" customHeight="1" thickBot="1" x14ac:dyDescent="0.35">
      <c r="B12" s="252" t="s">
        <v>9</v>
      </c>
      <c r="C12" s="265" t="s">
        <v>16</v>
      </c>
      <c r="D12" s="299"/>
      <c r="E12" s="273"/>
      <c r="G12" s="248" t="s">
        <v>17</v>
      </c>
      <c r="H12" s="300"/>
      <c r="I12" s="300"/>
      <c r="K12" s="269"/>
      <c r="L12" s="242" t="s">
        <v>109</v>
      </c>
    </row>
    <row r="13" spans="2:12" ht="15" customHeight="1" thickBot="1" x14ac:dyDescent="0.35">
      <c r="B13" s="296" t="s">
        <v>13</v>
      </c>
      <c r="C13" s="275" t="s">
        <v>15</v>
      </c>
      <c r="D13" s="297"/>
      <c r="E13" s="274"/>
      <c r="G13" s="246" t="s">
        <v>18</v>
      </c>
      <c r="H13" s="271"/>
      <c r="I13" s="271"/>
    </row>
    <row r="14" spans="2:12" ht="15" customHeight="1" thickBot="1" x14ac:dyDescent="0.35">
      <c r="B14" s="252" t="s">
        <v>9</v>
      </c>
      <c r="C14" s="265" t="s">
        <v>19</v>
      </c>
      <c r="D14" s="299"/>
      <c r="E14" s="273"/>
      <c r="G14" s="248" t="s">
        <v>20</v>
      </c>
      <c r="H14" s="300"/>
      <c r="I14" s="300"/>
      <c r="K14" s="242" t="s">
        <v>100</v>
      </c>
    </row>
    <row r="15" spans="2:12" ht="15" customHeight="1" thickBot="1" x14ac:dyDescent="0.35">
      <c r="B15" s="296" t="s">
        <v>13</v>
      </c>
      <c r="C15" s="275" t="s">
        <v>17</v>
      </c>
      <c r="D15" s="297"/>
      <c r="E15" s="274"/>
      <c r="G15" s="246" t="s">
        <v>21</v>
      </c>
      <c r="H15" s="271"/>
      <c r="I15" s="271"/>
      <c r="K15" s="269"/>
      <c r="L15" s="242" t="s">
        <v>109</v>
      </c>
    </row>
    <row r="16" spans="2:12" ht="15" customHeight="1" thickBot="1" x14ac:dyDescent="0.35">
      <c r="B16" s="252" t="s">
        <v>9</v>
      </c>
      <c r="C16" s="265" t="s">
        <v>22</v>
      </c>
      <c r="D16" s="292"/>
      <c r="E16" s="273"/>
      <c r="G16" s="248" t="s">
        <v>23</v>
      </c>
      <c r="H16" s="300"/>
      <c r="I16" s="300"/>
    </row>
    <row r="17" spans="2:6" ht="15" customHeight="1" thickBot="1" x14ac:dyDescent="0.35">
      <c r="B17" s="296" t="s">
        <v>13</v>
      </c>
      <c r="C17" s="275" t="s">
        <v>18</v>
      </c>
      <c r="D17" s="302"/>
      <c r="E17" s="278"/>
    </row>
    <row r="18" spans="2:6" ht="15" customHeight="1" thickBot="1" x14ac:dyDescent="0.35">
      <c r="B18" s="303" t="s">
        <v>13</v>
      </c>
      <c r="C18" s="304" t="s">
        <v>20</v>
      </c>
      <c r="D18" s="302"/>
      <c r="E18" s="305"/>
    </row>
    <row r="19" spans="2:6" ht="15" customHeight="1" x14ac:dyDescent="0.3">
      <c r="B19" s="306"/>
      <c r="C19" s="307" t="s">
        <v>24</v>
      </c>
      <c r="D19" s="308"/>
      <c r="E19" s="309"/>
    </row>
    <row r="20" spans="2:6" ht="15" customHeight="1" thickBot="1" x14ac:dyDescent="0.35">
      <c r="B20" s="252" t="s">
        <v>9</v>
      </c>
      <c r="C20" s="265" t="s">
        <v>25</v>
      </c>
      <c r="D20" s="299"/>
      <c r="E20" s="273"/>
    </row>
    <row r="21" spans="2:6" ht="15" customHeight="1" thickBot="1" x14ac:dyDescent="0.35">
      <c r="B21" s="303" t="s">
        <v>13</v>
      </c>
      <c r="C21" s="304" t="s">
        <v>21</v>
      </c>
      <c r="D21" s="297"/>
      <c r="E21" s="309"/>
    </row>
    <row r="22" spans="2:6" ht="15" customHeight="1" thickBot="1" x14ac:dyDescent="0.35">
      <c r="B22" s="252" t="s">
        <v>9</v>
      </c>
      <c r="C22" s="265" t="s">
        <v>26</v>
      </c>
      <c r="D22" s="299"/>
      <c r="E22" s="273"/>
      <c r="F22" s="282"/>
    </row>
    <row r="23" spans="2:6" ht="15" customHeight="1" thickBot="1" x14ac:dyDescent="0.35">
      <c r="B23" s="303" t="s">
        <v>13</v>
      </c>
      <c r="C23" s="304" t="s">
        <v>23</v>
      </c>
      <c r="D23" s="297"/>
      <c r="E23" s="309"/>
    </row>
    <row r="24" spans="2:6" ht="15" customHeight="1" x14ac:dyDescent="0.3">
      <c r="B24" s="252" t="s">
        <v>9</v>
      </c>
      <c r="C24" s="265" t="s">
        <v>28</v>
      </c>
      <c r="D24" s="299"/>
      <c r="E24" s="273"/>
    </row>
  </sheetData>
  <protectedRanges>
    <protectedRange sqref="H4 H6:I6 H9:H16" name="Bereich2"/>
    <protectedRange sqref="K2" name="Bereich2_1"/>
  </protectedRanges>
  <mergeCells count="2">
    <mergeCell ref="B2:E2"/>
    <mergeCell ref="B3:E3"/>
  </mergeCells>
  <pageMargins left="0.7" right="0.7" top="0.78740157499999996" bottom="0.78740157499999996" header="0.3" footer="0.3"/>
  <pageSetup paperSize="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2A85D-E6B8-4EC9-906E-5BEC0A30F464}">
  <sheetPr codeName="Tabelle9"/>
  <dimension ref="B2:L24"/>
  <sheetViews>
    <sheetView showGridLines="0" workbookViewId="0">
      <selection activeCell="K2" sqref="K2"/>
    </sheetView>
  </sheetViews>
  <sheetFormatPr baseColWidth="10" defaultColWidth="11.44140625" defaultRowHeight="14.4" x14ac:dyDescent="0.3"/>
  <cols>
    <col min="1" max="1" width="2.6640625" style="242" customWidth="1"/>
    <col min="2" max="2" width="2.44140625" style="242" bestFit="1" customWidth="1"/>
    <col min="3" max="3" width="27.109375" style="242" bestFit="1" customWidth="1"/>
    <col min="4" max="6" width="13" style="242" customWidth="1"/>
    <col min="7" max="7" width="31.88671875" style="242" bestFit="1" customWidth="1"/>
    <col min="8" max="8" width="13" style="242" customWidth="1"/>
    <col min="9" max="16384" width="11.44140625" style="242"/>
  </cols>
  <sheetData>
    <row r="2" spans="2:12" ht="15" customHeight="1" x14ac:dyDescent="0.3">
      <c r="B2" s="316" t="s">
        <v>0</v>
      </c>
      <c r="C2" s="317"/>
      <c r="D2" s="317"/>
      <c r="E2" s="317"/>
      <c r="G2" s="244" t="s">
        <v>1</v>
      </c>
      <c r="H2" s="244" t="s">
        <v>2</v>
      </c>
      <c r="I2" s="244" t="s">
        <v>4</v>
      </c>
      <c r="K2" s="245"/>
    </row>
    <row r="3" spans="2:12" ht="15" customHeight="1" x14ac:dyDescent="0.3">
      <c r="B3" s="319"/>
      <c r="C3" s="320"/>
      <c r="D3" s="320"/>
      <c r="E3" s="320"/>
      <c r="G3" s="246"/>
      <c r="H3" s="246"/>
      <c r="I3" s="246"/>
    </row>
    <row r="4" spans="2:12" ht="15" customHeight="1" x14ac:dyDescent="0.3">
      <c r="B4" s="285"/>
      <c r="C4" s="286"/>
      <c r="D4" s="286"/>
      <c r="E4" s="286"/>
      <c r="G4" s="248" t="s">
        <v>3</v>
      </c>
      <c r="H4" s="249"/>
      <c r="I4" s="287"/>
    </row>
    <row r="5" spans="2:12" ht="15" customHeight="1" thickBot="1" x14ac:dyDescent="0.35">
      <c r="B5" s="288"/>
      <c r="C5" s="289"/>
      <c r="D5" s="290" t="s">
        <v>4</v>
      </c>
      <c r="E5" s="290" t="s">
        <v>2</v>
      </c>
      <c r="H5" s="283"/>
      <c r="I5" s="291"/>
    </row>
    <row r="6" spans="2:12" ht="15" customHeight="1" thickBot="1" x14ac:dyDescent="0.35">
      <c r="B6" s="264"/>
      <c r="C6" s="265" t="s">
        <v>3</v>
      </c>
      <c r="D6" s="292"/>
      <c r="E6" s="293"/>
      <c r="F6" s="294"/>
      <c r="G6" s="248" t="s">
        <v>6</v>
      </c>
      <c r="H6" s="249"/>
      <c r="I6" s="295"/>
    </row>
    <row r="7" spans="2:12" ht="15" customHeight="1" thickBot="1" x14ac:dyDescent="0.35">
      <c r="B7" s="296" t="s">
        <v>7</v>
      </c>
      <c r="C7" s="275" t="s">
        <v>8</v>
      </c>
      <c r="D7" s="297"/>
      <c r="E7" s="261"/>
    </row>
    <row r="8" spans="2:12" ht="15" customHeight="1" thickBot="1" x14ac:dyDescent="0.35">
      <c r="B8" s="252" t="s">
        <v>9</v>
      </c>
      <c r="C8" s="265" t="s">
        <v>10</v>
      </c>
      <c r="D8" s="298"/>
      <c r="E8" s="273"/>
      <c r="G8" s="244" t="s">
        <v>1</v>
      </c>
      <c r="H8" s="244" t="s">
        <v>4</v>
      </c>
      <c r="I8" s="244"/>
      <c r="K8" s="242" t="s">
        <v>98</v>
      </c>
    </row>
    <row r="9" spans="2:12" ht="15" customHeight="1" thickBot="1" x14ac:dyDescent="0.35">
      <c r="B9" s="296" t="s">
        <v>7</v>
      </c>
      <c r="C9" s="275" t="s">
        <v>11</v>
      </c>
      <c r="D9" s="297"/>
      <c r="E9" s="274"/>
      <c r="G9" s="246" t="s">
        <v>8</v>
      </c>
      <c r="H9" s="271"/>
      <c r="I9" s="271"/>
      <c r="K9" s="269"/>
      <c r="L9" s="242" t="s">
        <v>109</v>
      </c>
    </row>
    <row r="10" spans="2:12" ht="15" customHeight="1" thickBot="1" x14ac:dyDescent="0.35">
      <c r="B10" s="252" t="s">
        <v>9</v>
      </c>
      <c r="C10" s="265" t="s">
        <v>12</v>
      </c>
      <c r="D10" s="299"/>
      <c r="E10" s="273"/>
      <c r="G10" s="248" t="s">
        <v>11</v>
      </c>
      <c r="H10" s="300"/>
      <c r="I10" s="300"/>
    </row>
    <row r="11" spans="2:12" ht="15" customHeight="1" thickBot="1" x14ac:dyDescent="0.35">
      <c r="B11" s="296" t="s">
        <v>13</v>
      </c>
      <c r="C11" s="275" t="s">
        <v>14</v>
      </c>
      <c r="D11" s="301"/>
      <c r="E11" s="297"/>
      <c r="G11" s="246" t="s">
        <v>15</v>
      </c>
      <c r="H11" s="271"/>
      <c r="I11" s="271"/>
      <c r="K11" s="242" t="s">
        <v>99</v>
      </c>
    </row>
    <row r="12" spans="2:12" ht="15" customHeight="1" thickBot="1" x14ac:dyDescent="0.35">
      <c r="B12" s="252" t="s">
        <v>9</v>
      </c>
      <c r="C12" s="265" t="s">
        <v>16</v>
      </c>
      <c r="D12" s="299"/>
      <c r="E12" s="273"/>
      <c r="G12" s="248" t="s">
        <v>17</v>
      </c>
      <c r="H12" s="300"/>
      <c r="I12" s="300"/>
      <c r="K12" s="269"/>
      <c r="L12" s="242" t="s">
        <v>109</v>
      </c>
    </row>
    <row r="13" spans="2:12" ht="15" customHeight="1" thickBot="1" x14ac:dyDescent="0.35">
      <c r="B13" s="296" t="s">
        <v>13</v>
      </c>
      <c r="C13" s="275" t="s">
        <v>15</v>
      </c>
      <c r="D13" s="297"/>
      <c r="E13" s="274"/>
      <c r="G13" s="246" t="s">
        <v>18</v>
      </c>
      <c r="H13" s="271"/>
      <c r="I13" s="271"/>
    </row>
    <row r="14" spans="2:12" ht="15" customHeight="1" thickBot="1" x14ac:dyDescent="0.35">
      <c r="B14" s="252" t="s">
        <v>9</v>
      </c>
      <c r="C14" s="265" t="s">
        <v>19</v>
      </c>
      <c r="D14" s="299"/>
      <c r="E14" s="273"/>
      <c r="G14" s="248" t="s">
        <v>20</v>
      </c>
      <c r="H14" s="300"/>
      <c r="I14" s="300"/>
      <c r="K14" s="242" t="s">
        <v>110</v>
      </c>
    </row>
    <row r="15" spans="2:12" ht="15" customHeight="1" thickBot="1" x14ac:dyDescent="0.35">
      <c r="B15" s="296" t="s">
        <v>13</v>
      </c>
      <c r="C15" s="275" t="s">
        <v>17</v>
      </c>
      <c r="D15" s="297"/>
      <c r="E15" s="274"/>
      <c r="G15" s="246" t="s">
        <v>21</v>
      </c>
      <c r="H15" s="271"/>
      <c r="I15" s="271"/>
      <c r="K15" s="269"/>
    </row>
    <row r="16" spans="2:12" ht="15" customHeight="1" thickBot="1" x14ac:dyDescent="0.35">
      <c r="B16" s="252" t="s">
        <v>9</v>
      </c>
      <c r="C16" s="265" t="s">
        <v>22</v>
      </c>
      <c r="D16" s="292"/>
      <c r="E16" s="273"/>
      <c r="G16" s="248" t="s">
        <v>23</v>
      </c>
      <c r="H16" s="300"/>
      <c r="I16" s="300"/>
    </row>
    <row r="17" spans="2:6" ht="15" customHeight="1" thickBot="1" x14ac:dyDescent="0.35">
      <c r="B17" s="296" t="s">
        <v>13</v>
      </c>
      <c r="C17" s="275" t="s">
        <v>18</v>
      </c>
      <c r="D17" s="302"/>
      <c r="E17" s="278"/>
    </row>
    <row r="18" spans="2:6" ht="15" customHeight="1" thickBot="1" x14ac:dyDescent="0.35">
      <c r="B18" s="303" t="s">
        <v>13</v>
      </c>
      <c r="C18" s="304" t="s">
        <v>20</v>
      </c>
      <c r="D18" s="302"/>
      <c r="E18" s="305"/>
    </row>
    <row r="19" spans="2:6" ht="15" customHeight="1" x14ac:dyDescent="0.3">
      <c r="B19" s="306"/>
      <c r="C19" s="307" t="s">
        <v>24</v>
      </c>
      <c r="D19" s="308"/>
      <c r="E19" s="309"/>
    </row>
    <row r="20" spans="2:6" ht="15" customHeight="1" thickBot="1" x14ac:dyDescent="0.35">
      <c r="B20" s="252" t="s">
        <v>9</v>
      </c>
      <c r="C20" s="265" t="s">
        <v>25</v>
      </c>
      <c r="D20" s="299"/>
      <c r="E20" s="273"/>
    </row>
    <row r="21" spans="2:6" ht="15" customHeight="1" thickBot="1" x14ac:dyDescent="0.35">
      <c r="B21" s="303" t="s">
        <v>13</v>
      </c>
      <c r="C21" s="304" t="s">
        <v>21</v>
      </c>
      <c r="D21" s="297"/>
      <c r="E21" s="309"/>
    </row>
    <row r="22" spans="2:6" ht="15" customHeight="1" thickBot="1" x14ac:dyDescent="0.35">
      <c r="B22" s="252" t="s">
        <v>9</v>
      </c>
      <c r="C22" s="265" t="s">
        <v>26</v>
      </c>
      <c r="D22" s="299"/>
      <c r="E22" s="273"/>
      <c r="F22" s="282"/>
    </row>
    <row r="23" spans="2:6" ht="15" customHeight="1" thickBot="1" x14ac:dyDescent="0.35">
      <c r="B23" s="303" t="s">
        <v>13</v>
      </c>
      <c r="C23" s="304" t="s">
        <v>23</v>
      </c>
      <c r="D23" s="297"/>
      <c r="E23" s="309"/>
    </row>
    <row r="24" spans="2:6" ht="15" customHeight="1" x14ac:dyDescent="0.3">
      <c r="B24" s="252" t="s">
        <v>9</v>
      </c>
      <c r="C24" s="265" t="s">
        <v>28</v>
      </c>
      <c r="D24" s="299"/>
      <c r="E24" s="273"/>
    </row>
  </sheetData>
  <protectedRanges>
    <protectedRange sqref="K2" name="Bereich2_1"/>
    <protectedRange sqref="H4 H6:I6 H9:H16" name="Bereich2"/>
  </protectedRanges>
  <mergeCells count="2">
    <mergeCell ref="B2:E2"/>
    <mergeCell ref="B3:E3"/>
  </mergeCells>
  <pageMargins left="0.7" right="0.7" top="0.78740157499999996" bottom="0.78740157499999996" header="0.3" footer="0.3"/>
  <pageSetup paperSize="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0">
    <pageSetUpPr fitToPage="1"/>
  </sheetPr>
  <dimension ref="A1:O16"/>
  <sheetViews>
    <sheetView showGridLines="0" workbookViewId="0">
      <selection activeCell="L3" sqref="L3"/>
    </sheetView>
  </sheetViews>
  <sheetFormatPr baseColWidth="10" defaultColWidth="11.44140625" defaultRowHeight="14.4" x14ac:dyDescent="0.3"/>
  <cols>
    <col min="1" max="1" width="2.44140625" customWidth="1"/>
    <col min="2" max="2" width="28.88671875" bestFit="1" customWidth="1"/>
    <col min="3" max="4" width="13" customWidth="1"/>
    <col min="5" max="5" width="2.44140625" customWidth="1"/>
    <col min="6" max="6" width="28.88671875" bestFit="1" customWidth="1"/>
    <col min="7" max="8" width="13" customWidth="1"/>
    <col min="9" max="9" width="20.5546875" customWidth="1"/>
    <col min="10" max="10" width="13" customWidth="1"/>
    <col min="11" max="11" width="31.88671875" customWidth="1"/>
    <col min="12" max="12" width="13" customWidth="1"/>
    <col min="14" max="14" width="31.88671875" customWidth="1"/>
    <col min="15" max="15" width="13" customWidth="1"/>
  </cols>
  <sheetData>
    <row r="1" spans="1:15" s="1" customFormat="1" ht="28.8" x14ac:dyDescent="0.3">
      <c r="A1" s="321" t="s">
        <v>67</v>
      </c>
      <c r="B1" s="322"/>
      <c r="C1" s="322"/>
      <c r="D1" s="322"/>
      <c r="E1" s="321" t="s">
        <v>68</v>
      </c>
      <c r="F1" s="322"/>
      <c r="G1" s="322"/>
      <c r="H1" s="322"/>
      <c r="I1" s="101" t="s">
        <v>71</v>
      </c>
      <c r="K1" s="102" t="s">
        <v>69</v>
      </c>
      <c r="L1" s="102" t="s">
        <v>2</v>
      </c>
      <c r="N1" s="102" t="s">
        <v>70</v>
      </c>
      <c r="O1" s="102" t="s">
        <v>2</v>
      </c>
    </row>
    <row r="2" spans="1:15" s="1" customFormat="1" ht="15" customHeight="1" x14ac:dyDescent="0.3">
      <c r="A2" s="323"/>
      <c r="B2" s="323"/>
      <c r="C2" s="323"/>
      <c r="D2" s="323"/>
      <c r="E2" s="323"/>
      <c r="F2" s="323"/>
      <c r="G2" s="323"/>
      <c r="H2" s="323"/>
      <c r="I2" s="103"/>
      <c r="J2"/>
      <c r="K2" s="7"/>
      <c r="L2" s="7"/>
      <c r="N2" s="7"/>
      <c r="O2" s="7"/>
    </row>
    <row r="3" spans="1:15" s="1" customFormat="1" ht="15" customHeight="1" x14ac:dyDescent="0.3">
      <c r="A3" s="15"/>
      <c r="B3" s="15"/>
      <c r="C3" s="15"/>
      <c r="D3" s="15"/>
      <c r="E3" s="15"/>
      <c r="F3" s="15"/>
      <c r="G3" s="15"/>
      <c r="H3" s="15"/>
      <c r="I3"/>
      <c r="K3" s="16" t="s">
        <v>40</v>
      </c>
      <c r="L3" s="77">
        <v>0</v>
      </c>
      <c r="N3" s="16" t="s">
        <v>40</v>
      </c>
      <c r="O3" s="77">
        <v>0</v>
      </c>
    </row>
    <row r="4" spans="1:15" s="1" customFormat="1" ht="15" customHeight="1" thickBot="1" x14ac:dyDescent="0.35">
      <c r="A4" s="17"/>
      <c r="B4" s="17"/>
      <c r="C4" s="18" t="s">
        <v>4</v>
      </c>
      <c r="D4" s="86" t="s">
        <v>2</v>
      </c>
      <c r="E4" s="17"/>
      <c r="F4" s="17"/>
      <c r="G4" s="18" t="s">
        <v>4</v>
      </c>
      <c r="H4" s="86" t="s">
        <v>2</v>
      </c>
      <c r="I4" s="17"/>
      <c r="K4" s="7" t="s">
        <v>41</v>
      </c>
      <c r="L4" s="78">
        <v>0</v>
      </c>
      <c r="N4" s="7" t="s">
        <v>41</v>
      </c>
      <c r="O4" s="78">
        <v>0</v>
      </c>
    </row>
    <row r="5" spans="1:15" s="1" customFormat="1" ht="15" customHeight="1" thickBot="1" x14ac:dyDescent="0.35">
      <c r="A5" s="19"/>
      <c r="B5" s="20" t="s">
        <v>40</v>
      </c>
      <c r="C5" s="172"/>
      <c r="D5" s="173">
        <f>L3</f>
        <v>0</v>
      </c>
      <c r="E5" s="19"/>
      <c r="F5" s="20" t="s">
        <v>40</v>
      </c>
      <c r="G5" s="172"/>
      <c r="H5" s="173">
        <f>O3</f>
        <v>0</v>
      </c>
      <c r="I5" s="185">
        <f>D5-H5</f>
        <v>0</v>
      </c>
      <c r="K5" s="16"/>
      <c r="L5" s="21"/>
      <c r="N5" s="16"/>
      <c r="O5" s="21"/>
    </row>
    <row r="6" spans="1:15" s="1" customFormat="1" ht="15" customHeight="1" thickBot="1" x14ac:dyDescent="0.35">
      <c r="A6" s="19" t="s">
        <v>13</v>
      </c>
      <c r="B6" s="20" t="s">
        <v>42</v>
      </c>
      <c r="C6" s="174">
        <f>L7</f>
        <v>0</v>
      </c>
      <c r="D6" s="175">
        <f>ROUND(D5*C6/100,2)</f>
        <v>0</v>
      </c>
      <c r="E6" s="19" t="s">
        <v>13</v>
      </c>
      <c r="F6" s="20" t="s">
        <v>42</v>
      </c>
      <c r="G6" s="174">
        <f>O7</f>
        <v>0</v>
      </c>
      <c r="H6" s="175">
        <f>ROUND(H5*G6/100,2)</f>
        <v>0</v>
      </c>
      <c r="I6" s="185">
        <f t="shared" ref="I6:I16" si="0">D6-H6</f>
        <v>0</v>
      </c>
      <c r="K6" s="22" t="s">
        <v>43</v>
      </c>
      <c r="L6" s="23" t="s">
        <v>4</v>
      </c>
      <c r="N6" s="22" t="s">
        <v>43</v>
      </c>
      <c r="O6" s="23" t="s">
        <v>4</v>
      </c>
    </row>
    <row r="7" spans="1:15" s="1" customFormat="1" ht="15" customHeight="1" thickBot="1" x14ac:dyDescent="0.35">
      <c r="A7" s="13" t="s">
        <v>9</v>
      </c>
      <c r="B7" s="14" t="s">
        <v>44</v>
      </c>
      <c r="C7" s="176"/>
      <c r="D7" s="177">
        <f>D5+D6</f>
        <v>0</v>
      </c>
      <c r="E7" s="13" t="s">
        <v>9</v>
      </c>
      <c r="F7" s="14" t="s">
        <v>44</v>
      </c>
      <c r="G7" s="176"/>
      <c r="H7" s="177">
        <f>H5+H6</f>
        <v>0</v>
      </c>
      <c r="I7" s="186">
        <f t="shared" si="0"/>
        <v>0</v>
      </c>
      <c r="K7" s="16" t="s">
        <v>42</v>
      </c>
      <c r="L7" s="79">
        <v>0</v>
      </c>
      <c r="N7" s="16" t="s">
        <v>42</v>
      </c>
      <c r="O7" s="79">
        <v>0</v>
      </c>
    </row>
    <row r="8" spans="1:15" s="1" customFormat="1" ht="15" customHeight="1" thickBot="1" x14ac:dyDescent="0.35">
      <c r="A8" s="19"/>
      <c r="B8" s="20" t="s">
        <v>41</v>
      </c>
      <c r="C8" s="178"/>
      <c r="D8" s="173">
        <f>L4</f>
        <v>0</v>
      </c>
      <c r="E8" s="19"/>
      <c r="F8" s="20" t="s">
        <v>41</v>
      </c>
      <c r="G8" s="178"/>
      <c r="H8" s="173">
        <f>O4</f>
        <v>0</v>
      </c>
      <c r="I8" s="185">
        <f t="shared" si="0"/>
        <v>0</v>
      </c>
      <c r="K8" s="7" t="s">
        <v>45</v>
      </c>
      <c r="L8" s="67">
        <v>0</v>
      </c>
      <c r="N8" s="7" t="s">
        <v>45</v>
      </c>
      <c r="O8" s="67">
        <v>0</v>
      </c>
    </row>
    <row r="9" spans="1:15" s="1" customFormat="1" ht="15" customHeight="1" thickBot="1" x14ac:dyDescent="0.35">
      <c r="A9" s="19" t="s">
        <v>13</v>
      </c>
      <c r="B9" s="20" t="s">
        <v>45</v>
      </c>
      <c r="C9" s="174">
        <f>L8</f>
        <v>0</v>
      </c>
      <c r="D9" s="175">
        <f>ROUND(D8*C9/100,2)</f>
        <v>0</v>
      </c>
      <c r="E9" s="19" t="s">
        <v>13</v>
      </c>
      <c r="F9" s="20" t="s">
        <v>45</v>
      </c>
      <c r="G9" s="174">
        <f>O8</f>
        <v>0</v>
      </c>
      <c r="H9" s="175">
        <f>ROUND(H8*G9/100,2)</f>
        <v>0</v>
      </c>
      <c r="I9" s="185">
        <f t="shared" si="0"/>
        <v>0</v>
      </c>
      <c r="K9" s="1" t="s">
        <v>65</v>
      </c>
      <c r="L9" s="79">
        <v>0</v>
      </c>
      <c r="N9" s="1" t="s">
        <v>65</v>
      </c>
      <c r="O9" s="79">
        <v>0</v>
      </c>
    </row>
    <row r="10" spans="1:15" s="1" customFormat="1" ht="15" customHeight="1" x14ac:dyDescent="0.3">
      <c r="A10" s="13" t="s">
        <v>9</v>
      </c>
      <c r="B10" s="14" t="s">
        <v>47</v>
      </c>
      <c r="C10" s="179"/>
      <c r="D10" s="180">
        <f>SUM(D8:D9)</f>
        <v>0</v>
      </c>
      <c r="E10" s="13" t="s">
        <v>9</v>
      </c>
      <c r="F10" s="14" t="s">
        <v>47</v>
      </c>
      <c r="G10" s="179"/>
      <c r="H10" s="180">
        <f>SUM(H8:H9)</f>
        <v>0</v>
      </c>
      <c r="I10" s="186">
        <f t="shared" si="0"/>
        <v>0</v>
      </c>
      <c r="K10" s="7" t="s">
        <v>46</v>
      </c>
      <c r="L10" s="67">
        <v>0</v>
      </c>
      <c r="N10" s="7" t="s">
        <v>46</v>
      </c>
      <c r="O10" s="67">
        <v>0</v>
      </c>
    </row>
    <row r="11" spans="1:15" s="1" customFormat="1" ht="15" customHeight="1" x14ac:dyDescent="0.3">
      <c r="A11" s="19" t="s">
        <v>13</v>
      </c>
      <c r="B11" s="1" t="s">
        <v>65</v>
      </c>
      <c r="C11" s="48"/>
      <c r="D11" s="184">
        <f>L9</f>
        <v>0</v>
      </c>
      <c r="E11" s="19" t="s">
        <v>13</v>
      </c>
      <c r="F11" s="1" t="s">
        <v>65</v>
      </c>
      <c r="G11" s="48"/>
      <c r="H11" s="184">
        <f>O9</f>
        <v>0</v>
      </c>
      <c r="I11" s="187">
        <f t="shared" si="0"/>
        <v>0</v>
      </c>
      <c r="K11" s="1" t="s">
        <v>48</v>
      </c>
      <c r="L11" s="79">
        <v>0</v>
      </c>
      <c r="N11" s="1" t="s">
        <v>48</v>
      </c>
      <c r="O11" s="79">
        <v>0</v>
      </c>
    </row>
    <row r="12" spans="1:15" s="1" customFormat="1" ht="15" customHeight="1" thickBot="1" x14ac:dyDescent="0.35">
      <c r="A12" s="13" t="s">
        <v>9</v>
      </c>
      <c r="B12" s="14" t="s">
        <v>49</v>
      </c>
      <c r="C12" s="179"/>
      <c r="D12" s="180">
        <f>D7+D10+D11</f>
        <v>0</v>
      </c>
      <c r="E12" s="13" t="s">
        <v>9</v>
      </c>
      <c r="F12" s="14" t="s">
        <v>49</v>
      </c>
      <c r="G12" s="179"/>
      <c r="H12" s="180">
        <f>H7+H10+H11</f>
        <v>0</v>
      </c>
      <c r="I12" s="186">
        <f t="shared" si="0"/>
        <v>0</v>
      </c>
      <c r="K12" s="7" t="s">
        <v>66</v>
      </c>
      <c r="L12" s="67">
        <v>0</v>
      </c>
      <c r="N12" s="7" t="s">
        <v>66</v>
      </c>
      <c r="O12" s="67">
        <v>0</v>
      </c>
    </row>
    <row r="13" spans="1:15" s="1" customFormat="1" ht="15" customHeight="1" thickBot="1" x14ac:dyDescent="0.35">
      <c r="A13" s="19" t="s">
        <v>13</v>
      </c>
      <c r="B13" s="20" t="s">
        <v>46</v>
      </c>
      <c r="C13" s="174">
        <f>L10</f>
        <v>0</v>
      </c>
      <c r="D13" s="181">
        <f>ROUND(D12*C13/100,2)</f>
        <v>0</v>
      </c>
      <c r="E13" s="19" t="s">
        <v>13</v>
      </c>
      <c r="F13" s="20" t="s">
        <v>46</v>
      </c>
      <c r="G13" s="174">
        <f>O10</f>
        <v>0</v>
      </c>
      <c r="H13" s="181">
        <f>ROUND(H12*G13/100,2)</f>
        <v>0</v>
      </c>
      <c r="I13" s="185">
        <f t="shared" si="0"/>
        <v>0</v>
      </c>
      <c r="K13"/>
      <c r="L13"/>
      <c r="M13"/>
      <c r="N13"/>
      <c r="O13"/>
    </row>
    <row r="14" spans="1:15" s="1" customFormat="1" ht="15" customHeight="1" thickBot="1" x14ac:dyDescent="0.35">
      <c r="A14" s="19" t="s">
        <v>13</v>
      </c>
      <c r="B14" s="20" t="s">
        <v>48</v>
      </c>
      <c r="C14" s="174">
        <f>L11</f>
        <v>0</v>
      </c>
      <c r="D14" s="181">
        <f>ROUND(D12*C14/100,2)</f>
        <v>0</v>
      </c>
      <c r="E14" s="19" t="s">
        <v>13</v>
      </c>
      <c r="F14" s="20" t="s">
        <v>48</v>
      </c>
      <c r="G14" s="174">
        <f>O11</f>
        <v>0</v>
      </c>
      <c r="H14" s="181">
        <f>ROUND(H12*G14/100,2)</f>
        <v>0</v>
      </c>
      <c r="I14" s="185">
        <f t="shared" si="0"/>
        <v>0</v>
      </c>
      <c r="K14"/>
      <c r="L14"/>
      <c r="M14"/>
      <c r="N14"/>
      <c r="O14"/>
    </row>
    <row r="15" spans="1:15" s="1" customFormat="1" ht="15" customHeight="1" x14ac:dyDescent="0.3">
      <c r="A15" s="19" t="s">
        <v>13</v>
      </c>
      <c r="B15" s="1" t="s">
        <v>66</v>
      </c>
      <c r="C15" s="48"/>
      <c r="D15" s="184">
        <f>L12</f>
        <v>0</v>
      </c>
      <c r="E15" s="19" t="s">
        <v>13</v>
      </c>
      <c r="F15" s="1" t="s">
        <v>66</v>
      </c>
      <c r="G15" s="48"/>
      <c r="H15" s="184">
        <f>O12</f>
        <v>0</v>
      </c>
      <c r="I15" s="187">
        <f t="shared" si="0"/>
        <v>0</v>
      </c>
      <c r="K15"/>
      <c r="L15"/>
      <c r="M15"/>
      <c r="N15"/>
      <c r="O15"/>
    </row>
    <row r="16" spans="1:15" s="1" customFormat="1" ht="15" customHeight="1" x14ac:dyDescent="0.35">
      <c r="A16" s="13" t="s">
        <v>9</v>
      </c>
      <c r="B16" s="14" t="s">
        <v>19</v>
      </c>
      <c r="C16" s="179"/>
      <c r="D16" s="180">
        <f>D12+D13+D14+D15</f>
        <v>0</v>
      </c>
      <c r="E16" s="13" t="s">
        <v>9</v>
      </c>
      <c r="F16" s="14" t="s">
        <v>19</v>
      </c>
      <c r="G16" s="179"/>
      <c r="H16" s="180">
        <f>H12+H13+H14+H15</f>
        <v>0</v>
      </c>
      <c r="I16" s="186">
        <f t="shared" si="0"/>
        <v>0</v>
      </c>
      <c r="K16"/>
      <c r="L16"/>
      <c r="M16" s="112" t="s">
        <v>76</v>
      </c>
      <c r="N16"/>
      <c r="O16"/>
    </row>
  </sheetData>
  <sheetProtection algorithmName="SHA-512" hashValue="plUV+OzRUxQu6nhS5A2fc/5I7BVijfw5AIYNpzU8N/6tFdOyq5RxxoXcBF5LY0R31/V53+BBXkIaWIXhpIeMOg==" saltValue="EtIdrhQbjhHTYjh3lnObRw==" spinCount="100000" sheet="1" objects="1" scenarios="1"/>
  <protectedRanges>
    <protectedRange sqref="L3:L4 L7:L12 O7:O12 O3:O4" name="Bereich1"/>
    <protectedRange sqref="M16" name="Bereich2"/>
  </protectedRanges>
  <mergeCells count="4">
    <mergeCell ref="A1:D1"/>
    <mergeCell ref="A2:D2"/>
    <mergeCell ref="E1:H1"/>
    <mergeCell ref="E2:H2"/>
  </mergeCells>
  <hyperlinks>
    <hyperlink ref="M16" location="Inhalt!A1" display="Inhalt" xr:uid="{00000000-0004-0000-0600-000000000000}"/>
  </hyperlinks>
  <pageMargins left="0.7" right="0.7" top="0.78740157499999996" bottom="0.78740157499999996" header="0.3" footer="0.3"/>
  <pageSetup paperSize="9" scale="35" orientation="portrait" horizont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1"/>
  <dimension ref="A1:O25"/>
  <sheetViews>
    <sheetView showGridLines="0" workbookViewId="0">
      <selection activeCell="H12" sqref="H12"/>
    </sheetView>
  </sheetViews>
  <sheetFormatPr baseColWidth="10" defaultColWidth="11.44140625" defaultRowHeight="14.4" x14ac:dyDescent="0.3"/>
  <cols>
    <col min="1" max="1" width="2.44140625" style="1" customWidth="1"/>
    <col min="2" max="2" width="18.6640625" style="1" bestFit="1" customWidth="1"/>
    <col min="3" max="8" width="13" style="1" customWidth="1"/>
    <col min="9" max="10" width="11.44140625" style="1"/>
    <col min="11" max="12" width="31.88671875" style="1" customWidth="1"/>
    <col min="13" max="16384" width="11.44140625" style="1"/>
  </cols>
  <sheetData>
    <row r="1" spans="1:15" ht="16.2" x14ac:dyDescent="0.35">
      <c r="A1" s="314" t="s">
        <v>51</v>
      </c>
      <c r="B1" s="314"/>
      <c r="C1" s="314"/>
      <c r="D1" s="314"/>
      <c r="E1" s="314"/>
      <c r="F1" s="314"/>
      <c r="G1" s="314"/>
      <c r="H1" s="314"/>
      <c r="K1" s="111" t="s">
        <v>52</v>
      </c>
      <c r="L1" s="6"/>
      <c r="O1" s="112" t="s">
        <v>76</v>
      </c>
    </row>
    <row r="2" spans="1:15" x14ac:dyDescent="0.3">
      <c r="K2" s="7" t="s">
        <v>53</v>
      </c>
      <c r="L2" s="7" t="s">
        <v>54</v>
      </c>
    </row>
    <row r="3" spans="1:15" x14ac:dyDescent="0.3">
      <c r="A3" s="49"/>
      <c r="B3" s="50"/>
      <c r="C3" s="324" t="str">
        <f>L2</f>
        <v>A</v>
      </c>
      <c r="D3" s="325"/>
      <c r="E3" s="324" t="str">
        <f>L11</f>
        <v>B</v>
      </c>
      <c r="F3" s="325"/>
      <c r="G3" s="324" t="str">
        <f>L20</f>
        <v>C</v>
      </c>
      <c r="H3" s="325"/>
      <c r="K3" s="1" t="s">
        <v>3</v>
      </c>
      <c r="L3" s="8"/>
    </row>
    <row r="4" spans="1:15" ht="15" thickBot="1" x14ac:dyDescent="0.35">
      <c r="A4" s="51"/>
      <c r="B4" s="52"/>
      <c r="C4" s="54" t="s">
        <v>4</v>
      </c>
      <c r="D4" s="92" t="s">
        <v>2</v>
      </c>
      <c r="E4" s="54" t="s">
        <v>4</v>
      </c>
      <c r="F4" s="92" t="s">
        <v>2</v>
      </c>
      <c r="G4" s="54" t="s">
        <v>4</v>
      </c>
      <c r="H4" s="92" t="s">
        <v>2</v>
      </c>
      <c r="K4" s="7" t="s">
        <v>8</v>
      </c>
      <c r="L4" s="24"/>
    </row>
    <row r="5" spans="1:15" ht="15" thickBot="1" x14ac:dyDescent="0.35">
      <c r="B5" s="48" t="s">
        <v>3</v>
      </c>
      <c r="C5" s="55"/>
      <c r="D5" s="98">
        <f>L3</f>
        <v>0</v>
      </c>
      <c r="E5" s="90"/>
      <c r="F5" s="98">
        <f>L12</f>
        <v>0</v>
      </c>
      <c r="G5" s="90"/>
      <c r="H5" s="98">
        <f>L21</f>
        <v>0</v>
      </c>
      <c r="K5" s="1" t="s">
        <v>11</v>
      </c>
      <c r="L5" s="25"/>
    </row>
    <row r="6" spans="1:15" ht="15" thickBot="1" x14ac:dyDescent="0.35">
      <c r="A6" s="41" t="s">
        <v>7</v>
      </c>
      <c r="B6" s="53" t="s">
        <v>8</v>
      </c>
      <c r="C6" s="99">
        <f>L4*100</f>
        <v>0</v>
      </c>
      <c r="D6" s="94">
        <f>ROUND(D5*C6/100,2)</f>
        <v>0</v>
      </c>
      <c r="E6" s="99">
        <f>L13*100</f>
        <v>0</v>
      </c>
      <c r="F6" s="94">
        <f>ROUND(F5*E6/100,2)</f>
        <v>0</v>
      </c>
      <c r="G6" s="99">
        <f>L22*100</f>
        <v>0</v>
      </c>
      <c r="H6" s="95">
        <f>ROUND(H5*G6/100,2)</f>
        <v>0</v>
      </c>
      <c r="K6" s="7" t="s">
        <v>6</v>
      </c>
      <c r="L6" s="10"/>
    </row>
    <row r="7" spans="1:15" ht="15" thickBot="1" x14ac:dyDescent="0.35">
      <c r="A7" s="46" t="s">
        <v>9</v>
      </c>
      <c r="B7" s="58" t="s">
        <v>10</v>
      </c>
      <c r="C7" s="59"/>
      <c r="D7" s="60">
        <f>D5-D6</f>
        <v>0</v>
      </c>
      <c r="E7" s="59"/>
      <c r="F7" s="60">
        <f>F5-F6</f>
        <v>0</v>
      </c>
      <c r="G7" s="59"/>
      <c r="H7" s="60">
        <f>H5-H6</f>
        <v>0</v>
      </c>
      <c r="K7" s="16" t="s">
        <v>23</v>
      </c>
      <c r="L7" s="65"/>
    </row>
    <row r="8" spans="1:15" ht="15" thickBot="1" x14ac:dyDescent="0.35">
      <c r="A8" s="41" t="s">
        <v>7</v>
      </c>
      <c r="B8" s="53" t="s">
        <v>11</v>
      </c>
      <c r="C8" s="99">
        <f>L5*100</f>
        <v>0</v>
      </c>
      <c r="D8" s="89">
        <f>ROUND(D7*C8/100,2)</f>
        <v>0</v>
      </c>
      <c r="E8" s="99">
        <f>L14*100</f>
        <v>0</v>
      </c>
      <c r="F8" s="89">
        <f>ROUND(F7*E8/100,2)</f>
        <v>0</v>
      </c>
      <c r="G8" s="99">
        <f>L23*100</f>
        <v>0</v>
      </c>
      <c r="H8" s="57">
        <f>ROUND(H7*G8/100,2)</f>
        <v>0</v>
      </c>
      <c r="K8"/>
      <c r="L8"/>
    </row>
    <row r="9" spans="1:15" ht="15" thickBot="1" x14ac:dyDescent="0.35">
      <c r="A9" s="46" t="s">
        <v>9</v>
      </c>
      <c r="B9" s="58" t="s">
        <v>12</v>
      </c>
      <c r="C9" s="59"/>
      <c r="D9" s="60">
        <f>D7-D8</f>
        <v>0</v>
      </c>
      <c r="E9" s="59"/>
      <c r="F9" s="60">
        <f>F7-F8</f>
        <v>0</v>
      </c>
      <c r="G9" s="59"/>
      <c r="H9" s="60">
        <f>H7-H8</f>
        <v>0</v>
      </c>
      <c r="K9"/>
      <c r="L9"/>
    </row>
    <row r="10" spans="1:15" ht="15" thickBot="1" x14ac:dyDescent="0.35">
      <c r="A10" s="41" t="s">
        <v>13</v>
      </c>
      <c r="B10" s="53" t="s">
        <v>14</v>
      </c>
      <c r="C10" s="56"/>
      <c r="D10" s="100">
        <f>L6</f>
        <v>0</v>
      </c>
      <c r="E10" s="91"/>
      <c r="F10" s="100">
        <f>L15</f>
        <v>0</v>
      </c>
      <c r="G10" s="91"/>
      <c r="H10" s="100">
        <f>L24</f>
        <v>0</v>
      </c>
      <c r="K10" s="111" t="s">
        <v>55</v>
      </c>
      <c r="L10" s="6"/>
    </row>
    <row r="11" spans="1:15" ht="15" thickBot="1" x14ac:dyDescent="0.35">
      <c r="A11" s="61" t="s">
        <v>9</v>
      </c>
      <c r="B11" s="62" t="s">
        <v>56</v>
      </c>
      <c r="C11" s="93"/>
      <c r="D11" s="97">
        <f>D9+D10</f>
        <v>0</v>
      </c>
      <c r="E11" s="93"/>
      <c r="F11" s="97">
        <f>F9+F10</f>
        <v>0</v>
      </c>
      <c r="G11" s="93"/>
      <c r="H11" s="97">
        <f>H9+H10</f>
        <v>0</v>
      </c>
      <c r="K11" s="7" t="s">
        <v>57</v>
      </c>
      <c r="L11" s="7" t="s">
        <v>58</v>
      </c>
    </row>
    <row r="12" spans="1:15" ht="15" thickBot="1" x14ac:dyDescent="0.35">
      <c r="A12" s="29" t="s">
        <v>13</v>
      </c>
      <c r="B12" s="1" t="s">
        <v>23</v>
      </c>
      <c r="C12" s="215">
        <f>L7*100</f>
        <v>0</v>
      </c>
      <c r="D12" s="216">
        <f>ROUND(D11*C12/100,2)</f>
        <v>0</v>
      </c>
      <c r="E12" s="215">
        <f>L16*100</f>
        <v>0</v>
      </c>
      <c r="F12" s="216">
        <f>ROUND(F11*E12/100,2)</f>
        <v>0</v>
      </c>
      <c r="G12" s="215">
        <f>L25*100</f>
        <v>0</v>
      </c>
      <c r="H12" s="217">
        <f>ROUND(H11*G12/100,2)</f>
        <v>0</v>
      </c>
      <c r="K12" s="1" t="s">
        <v>3</v>
      </c>
      <c r="L12" s="8"/>
    </row>
    <row r="13" spans="1:15" x14ac:dyDescent="0.3">
      <c r="A13" s="47" t="s">
        <v>9</v>
      </c>
      <c r="B13" s="63" t="s">
        <v>59</v>
      </c>
      <c r="C13" s="96"/>
      <c r="D13" s="64">
        <f>D11+D12</f>
        <v>0</v>
      </c>
      <c r="E13" s="96"/>
      <c r="F13" s="64">
        <f>F11+F12</f>
        <v>0</v>
      </c>
      <c r="G13" s="96"/>
      <c r="H13" s="64">
        <f>H11+H12</f>
        <v>0</v>
      </c>
      <c r="K13" s="7" t="s">
        <v>8</v>
      </c>
      <c r="L13" s="24"/>
    </row>
    <row r="14" spans="1:15" x14ac:dyDescent="0.3">
      <c r="K14" s="1" t="s">
        <v>11</v>
      </c>
      <c r="L14" s="25"/>
    </row>
    <row r="15" spans="1:15" x14ac:dyDescent="0.3">
      <c r="A15" s="330" t="s">
        <v>60</v>
      </c>
      <c r="B15" s="331"/>
      <c r="C15" s="73"/>
      <c r="D15" s="328">
        <f>MIN(D13,F13,H13)</f>
        <v>0</v>
      </c>
      <c r="E15" s="328"/>
      <c r="F15" s="328"/>
      <c r="G15" s="328"/>
      <c r="H15" s="329"/>
      <c r="K15" s="7" t="s">
        <v>6</v>
      </c>
      <c r="L15" s="10"/>
    </row>
    <row r="16" spans="1:15" x14ac:dyDescent="0.3">
      <c r="A16" s="332" t="s">
        <v>61</v>
      </c>
      <c r="B16" s="333"/>
      <c r="C16" s="74"/>
      <c r="D16" s="326" t="str">
        <f>IF(D15=0,"",IF(D13=MIN(D13,F13,H13),C$3,IF(F13=MIN(D13,F13,H13),E$3,G$3)))</f>
        <v/>
      </c>
      <c r="E16" s="326"/>
      <c r="F16" s="326"/>
      <c r="G16" s="326"/>
      <c r="H16" s="327"/>
      <c r="K16" s="16" t="s">
        <v>23</v>
      </c>
      <c r="L16" s="65"/>
    </row>
    <row r="19" spans="11:12" x14ac:dyDescent="0.3">
      <c r="K19" s="111" t="s">
        <v>62</v>
      </c>
      <c r="L19" s="6"/>
    </row>
    <row r="20" spans="11:12" x14ac:dyDescent="0.3">
      <c r="K20" s="7" t="s">
        <v>63</v>
      </c>
      <c r="L20" s="7" t="s">
        <v>64</v>
      </c>
    </row>
    <row r="21" spans="11:12" x14ac:dyDescent="0.3">
      <c r="K21" s="1" t="s">
        <v>3</v>
      </c>
      <c r="L21" s="8"/>
    </row>
    <row r="22" spans="11:12" x14ac:dyDescent="0.3">
      <c r="K22" s="7" t="s">
        <v>8</v>
      </c>
      <c r="L22" s="24"/>
    </row>
    <row r="23" spans="11:12" x14ac:dyDescent="0.3">
      <c r="K23" s="1" t="s">
        <v>11</v>
      </c>
      <c r="L23" s="25"/>
    </row>
    <row r="24" spans="11:12" x14ac:dyDescent="0.3">
      <c r="K24" s="7" t="s">
        <v>6</v>
      </c>
      <c r="L24" s="10"/>
    </row>
    <row r="25" spans="11:12" x14ac:dyDescent="0.3">
      <c r="K25" s="16" t="s">
        <v>23</v>
      </c>
      <c r="L25" s="65"/>
    </row>
  </sheetData>
  <sheetProtection algorithmName="SHA-512" hashValue="tqWeGnmhkcu4fHVA5f18ucMkpTrJvwEOpcESUNg7c7i4pwZyTe2IbvvUsRvetlVy6TPtiFY7JGx8dFRRxD3KjQ==" saltValue="2Ugov+OJz+8hFJMahKII+g==" spinCount="100000" sheet="1" objects="1" scenarios="1"/>
  <protectedRanges>
    <protectedRange sqref="L3 L4 L5 L6 L7 L12 L13 L14 L15 L16 L21 L22 L23 L24 L25" name="Bereich1"/>
    <protectedRange sqref="O1" name="Bereich2"/>
  </protectedRanges>
  <mergeCells count="8">
    <mergeCell ref="A1:H1"/>
    <mergeCell ref="C3:D3"/>
    <mergeCell ref="E3:F3"/>
    <mergeCell ref="G3:H3"/>
    <mergeCell ref="D16:H16"/>
    <mergeCell ref="D15:H15"/>
    <mergeCell ref="A15:B15"/>
    <mergeCell ref="A16:B16"/>
  </mergeCells>
  <hyperlinks>
    <hyperlink ref="O1" location="Inhalt!A1" display="Inhalt" xr:uid="{00000000-0004-0000-0700-000000000000}"/>
  </hyperlinks>
  <pageMargins left="0.7" right="0.7" top="0.78740157499999996" bottom="0.78740157499999996"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2"/>
  <dimension ref="B1:M48"/>
  <sheetViews>
    <sheetView showGridLines="0" workbookViewId="0">
      <selection activeCell="H11" sqref="H11"/>
    </sheetView>
  </sheetViews>
  <sheetFormatPr baseColWidth="10" defaultColWidth="11.44140625" defaultRowHeight="14.4" x14ac:dyDescent="0.3"/>
  <cols>
    <col min="1" max="1" width="2.6640625" style="113" customWidth="1"/>
    <col min="2" max="3" width="22.44140625" style="113" customWidth="1"/>
    <col min="4" max="4" width="22.44140625" style="113" bestFit="1" customWidth="1"/>
    <col min="5" max="6" width="22.44140625" style="113" customWidth="1"/>
    <col min="7" max="7" width="3" style="113" customWidth="1"/>
    <col min="8" max="8" width="22.44140625" style="113" customWidth="1"/>
    <col min="9" max="9" width="16.6640625" style="113" bestFit="1" customWidth="1"/>
    <col min="10" max="10" width="13" style="113" bestFit="1" customWidth="1"/>
    <col min="11" max="11" width="12.6640625" style="113" bestFit="1" customWidth="1"/>
    <col min="12" max="16384" width="11.44140625" style="113"/>
  </cols>
  <sheetData>
    <row r="1" spans="2:13" ht="33" customHeight="1" thickBot="1" x14ac:dyDescent="0.35">
      <c r="B1" s="337" t="s">
        <v>77</v>
      </c>
      <c r="C1" s="338"/>
      <c r="D1" s="338"/>
      <c r="E1" s="338"/>
      <c r="F1" s="339"/>
      <c r="G1" s="114"/>
      <c r="H1" s="114"/>
      <c r="M1" s="136" t="s">
        <v>76</v>
      </c>
    </row>
    <row r="2" spans="2:13" x14ac:dyDescent="0.3">
      <c r="B2" s="340" t="s">
        <v>78</v>
      </c>
      <c r="C2" s="115" t="s">
        <v>79</v>
      </c>
      <c r="D2" s="116" t="s">
        <v>80</v>
      </c>
      <c r="E2" s="116" t="s">
        <v>81</v>
      </c>
      <c r="F2" s="117" t="s">
        <v>82</v>
      </c>
    </row>
    <row r="3" spans="2:13" x14ac:dyDescent="0.3">
      <c r="B3" s="341"/>
      <c r="C3" s="129" t="s">
        <v>83</v>
      </c>
      <c r="D3" s="128"/>
      <c r="E3" s="128"/>
      <c r="F3" s="231">
        <v>400000</v>
      </c>
    </row>
    <row r="4" spans="2:13" x14ac:dyDescent="0.3">
      <c r="B4" s="341"/>
      <c r="C4" s="130" t="s">
        <v>84</v>
      </c>
      <c r="D4" s="131">
        <v>1000</v>
      </c>
      <c r="E4" s="123">
        <v>13</v>
      </c>
      <c r="F4" s="232">
        <f>D4*E4</f>
        <v>13000</v>
      </c>
    </row>
    <row r="5" spans="2:13" x14ac:dyDescent="0.3">
      <c r="B5" s="341"/>
      <c r="C5" s="132" t="s">
        <v>97</v>
      </c>
      <c r="D5" s="135">
        <v>0.5</v>
      </c>
      <c r="E5" s="124"/>
      <c r="F5" s="233">
        <f>F4*D5</f>
        <v>6500</v>
      </c>
    </row>
    <row r="6" spans="2:13" x14ac:dyDescent="0.3">
      <c r="B6" s="341"/>
      <c r="C6" s="133" t="s">
        <v>85</v>
      </c>
      <c r="D6" s="127">
        <v>500</v>
      </c>
      <c r="E6" s="125">
        <v>12</v>
      </c>
      <c r="F6" s="234">
        <f>D6*E6</f>
        <v>6000</v>
      </c>
    </row>
    <row r="7" spans="2:13" x14ac:dyDescent="0.3">
      <c r="B7" s="341"/>
      <c r="C7" s="119" t="s">
        <v>86</v>
      </c>
      <c r="D7" s="118"/>
      <c r="E7" s="118"/>
      <c r="F7" s="235">
        <f>SUM(F4:F6)</f>
        <v>25500</v>
      </c>
    </row>
    <row r="8" spans="2:13" x14ac:dyDescent="0.3">
      <c r="B8" s="341"/>
      <c r="C8" s="118"/>
      <c r="D8" s="118"/>
      <c r="E8" s="118"/>
      <c r="F8" s="236"/>
    </row>
    <row r="9" spans="2:13" x14ac:dyDescent="0.3">
      <c r="B9" s="341"/>
      <c r="C9" s="125" t="s">
        <v>87</v>
      </c>
      <c r="D9" s="126">
        <v>0.02</v>
      </c>
      <c r="E9" s="125"/>
      <c r="F9" s="237">
        <f>F3*D9</f>
        <v>8000</v>
      </c>
    </row>
    <row r="10" spans="2:13" ht="15" thickBot="1" x14ac:dyDescent="0.35">
      <c r="B10" s="342"/>
      <c r="C10" s="120" t="s">
        <v>87</v>
      </c>
      <c r="D10" s="120"/>
      <c r="E10" s="120"/>
      <c r="F10" s="238">
        <f>SUM(F7:F9)</f>
        <v>33500</v>
      </c>
    </row>
    <row r="11" spans="2:13" ht="15" thickBot="1" x14ac:dyDescent="0.35">
      <c r="F11" s="218"/>
    </row>
    <row r="12" spans="2:13" x14ac:dyDescent="0.3">
      <c r="B12" s="340" t="s">
        <v>88</v>
      </c>
      <c r="C12" s="121" t="s">
        <v>79</v>
      </c>
      <c r="D12" s="122" t="s">
        <v>80</v>
      </c>
      <c r="E12" s="122"/>
      <c r="F12" s="239" t="s">
        <v>82</v>
      </c>
    </row>
    <row r="13" spans="2:13" x14ac:dyDescent="0.3">
      <c r="B13" s="341"/>
      <c r="C13" s="129" t="s">
        <v>87</v>
      </c>
      <c r="D13" s="134">
        <v>0.09</v>
      </c>
      <c r="E13" s="128"/>
      <c r="F13" s="240">
        <f>F3*D13</f>
        <v>36000</v>
      </c>
    </row>
    <row r="14" spans="2:13" ht="15" thickBot="1" x14ac:dyDescent="0.35">
      <c r="B14" s="342"/>
      <c r="C14" s="120" t="s">
        <v>87</v>
      </c>
      <c r="D14" s="120"/>
      <c r="E14" s="120"/>
      <c r="F14" s="238">
        <f>F13</f>
        <v>36000</v>
      </c>
    </row>
    <row r="15" spans="2:13" ht="15" thickBot="1" x14ac:dyDescent="0.35"/>
    <row r="16" spans="2:13" x14ac:dyDescent="0.3">
      <c r="B16" s="343" t="s">
        <v>83</v>
      </c>
      <c r="C16" s="345" t="s">
        <v>89</v>
      </c>
      <c r="D16" s="347" t="s">
        <v>90</v>
      </c>
      <c r="E16" s="349" t="s">
        <v>91</v>
      </c>
      <c r="F16" s="350"/>
      <c r="G16" s="218"/>
      <c r="H16" s="334" t="s">
        <v>92</v>
      </c>
      <c r="I16" s="219" t="s">
        <v>93</v>
      </c>
      <c r="J16" s="219"/>
      <c r="K16" s="219"/>
      <c r="L16" s="220"/>
    </row>
    <row r="17" spans="2:12" ht="15" thickBot="1" x14ac:dyDescent="0.35">
      <c r="B17" s="344"/>
      <c r="C17" s="346"/>
      <c r="D17" s="348"/>
      <c r="E17" s="346"/>
      <c r="F17" s="351"/>
      <c r="G17" s="218"/>
      <c r="H17" s="335"/>
      <c r="I17" s="221" t="s">
        <v>94</v>
      </c>
      <c r="J17" s="221"/>
      <c r="K17" s="221"/>
      <c r="L17" s="222"/>
    </row>
    <row r="18" spans="2:12" x14ac:dyDescent="0.3">
      <c r="B18" s="223">
        <v>0</v>
      </c>
      <c r="C18" s="223">
        <f>F7</f>
        <v>25500</v>
      </c>
      <c r="D18" s="224">
        <v>0</v>
      </c>
      <c r="E18" s="223">
        <f>C18/(D13-D9)</f>
        <v>364285.71428571432</v>
      </c>
      <c r="F18" s="225">
        <f>E18*D23/B23</f>
        <v>32785.71428571429</v>
      </c>
      <c r="G18" s="218"/>
      <c r="H18" s="335"/>
      <c r="I18" s="221" t="s">
        <v>95</v>
      </c>
      <c r="J18" s="221"/>
      <c r="K18" s="221"/>
      <c r="L18" s="222"/>
    </row>
    <row r="19" spans="2:12" ht="15" thickBot="1" x14ac:dyDescent="0.35">
      <c r="B19" s="223">
        <v>100000</v>
      </c>
      <c r="C19" s="223">
        <f>$C$18+(B19*$D$9)</f>
        <v>27500</v>
      </c>
      <c r="D19" s="224">
        <f>B19*D13</f>
        <v>9000</v>
      </c>
      <c r="E19" s="223">
        <f>E18</f>
        <v>364285.71428571432</v>
      </c>
      <c r="F19" s="225">
        <v>0</v>
      </c>
      <c r="G19" s="218"/>
      <c r="H19" s="336"/>
      <c r="I19" s="226" t="s">
        <v>96</v>
      </c>
      <c r="J19" s="226"/>
      <c r="K19" s="226"/>
      <c r="L19" s="227"/>
    </row>
    <row r="20" spans="2:12" x14ac:dyDescent="0.3">
      <c r="B20" s="223">
        <v>200000</v>
      </c>
      <c r="C20" s="223">
        <f>$C$18+(B20*$D$9)</f>
        <v>29500</v>
      </c>
      <c r="D20" s="224">
        <f>B20*$D$13</f>
        <v>18000</v>
      </c>
      <c r="E20" s="223">
        <f>F18</f>
        <v>32785.71428571429</v>
      </c>
      <c r="F20" s="225">
        <f>E19</f>
        <v>364285.71428571432</v>
      </c>
      <c r="G20" s="218"/>
      <c r="H20" s="218"/>
      <c r="I20" s="218"/>
      <c r="J20" s="218"/>
      <c r="K20" s="218"/>
      <c r="L20" s="218"/>
    </row>
    <row r="21" spans="2:12" x14ac:dyDescent="0.3">
      <c r="B21" s="223">
        <v>300000</v>
      </c>
      <c r="C21" s="223">
        <f>$C$18+(B21*$D$9)</f>
        <v>31500</v>
      </c>
      <c r="D21" s="224">
        <f>B21*$D$13</f>
        <v>27000</v>
      </c>
      <c r="E21" s="223"/>
      <c r="F21" s="225"/>
      <c r="G21" s="218"/>
      <c r="H21" s="218"/>
      <c r="I21" s="218"/>
      <c r="J21" s="218"/>
      <c r="K21" s="218"/>
      <c r="L21" s="218"/>
    </row>
    <row r="22" spans="2:12" x14ac:dyDescent="0.3">
      <c r="B22" s="223">
        <v>400000</v>
      </c>
      <c r="C22" s="223">
        <f>$C$18+(B22*$D$9)</f>
        <v>33500</v>
      </c>
      <c r="D22" s="224">
        <f>B22*$D$13</f>
        <v>36000</v>
      </c>
      <c r="E22" s="223"/>
      <c r="F22" s="225"/>
      <c r="G22" s="218"/>
      <c r="H22" s="218"/>
      <c r="I22" s="218"/>
      <c r="J22" s="218"/>
      <c r="K22" s="218"/>
      <c r="L22" s="218"/>
    </row>
    <row r="23" spans="2:12" ht="15" thickBot="1" x14ac:dyDescent="0.35">
      <c r="B23" s="228">
        <v>500000</v>
      </c>
      <c r="C23" s="228">
        <f>$C$18+(B23*$D$9)</f>
        <v>35500</v>
      </c>
      <c r="D23" s="229">
        <f>B23*$D$13</f>
        <v>45000</v>
      </c>
      <c r="E23" s="228"/>
      <c r="F23" s="230"/>
      <c r="G23" s="218"/>
      <c r="H23" s="218"/>
      <c r="I23" s="218"/>
      <c r="J23" s="218"/>
      <c r="K23" s="218"/>
      <c r="L23" s="218"/>
    </row>
    <row r="24" spans="2:12" x14ac:dyDescent="0.3">
      <c r="B24" s="218"/>
      <c r="C24" s="218"/>
      <c r="D24" s="218"/>
      <c r="E24" s="218"/>
      <c r="F24" s="218"/>
      <c r="G24" s="218"/>
      <c r="H24" s="218"/>
      <c r="I24" s="218"/>
      <c r="J24" s="218"/>
      <c r="K24" s="218"/>
      <c r="L24" s="218"/>
    </row>
    <row r="25" spans="2:12" x14ac:dyDescent="0.3">
      <c r="B25" s="218"/>
      <c r="C25" s="218"/>
      <c r="D25" s="218"/>
      <c r="E25" s="218"/>
      <c r="F25" s="218"/>
      <c r="G25" s="218"/>
      <c r="H25" s="218"/>
      <c r="I25" s="218"/>
      <c r="J25" s="218"/>
      <c r="K25" s="218"/>
      <c r="L25" s="218"/>
    </row>
    <row r="26" spans="2:12" x14ac:dyDescent="0.3">
      <c r="B26" s="218"/>
      <c r="C26" s="218"/>
      <c r="D26" s="218"/>
      <c r="E26" s="218"/>
      <c r="F26" s="218"/>
      <c r="G26" s="218"/>
      <c r="H26" s="218"/>
      <c r="I26" s="218"/>
      <c r="J26" s="218"/>
      <c r="K26" s="218"/>
      <c r="L26" s="218"/>
    </row>
    <row r="27" spans="2:12" x14ac:dyDescent="0.3">
      <c r="B27" s="218"/>
      <c r="C27" s="218"/>
      <c r="D27" s="218"/>
      <c r="E27" s="218"/>
      <c r="F27" s="218"/>
      <c r="G27" s="218"/>
      <c r="H27" s="218"/>
      <c r="I27" s="218"/>
      <c r="J27" s="218"/>
      <c r="K27" s="218"/>
      <c r="L27" s="218"/>
    </row>
    <row r="28" spans="2:12" x14ac:dyDescent="0.3">
      <c r="B28" s="218"/>
      <c r="C28" s="218"/>
      <c r="D28" s="218"/>
      <c r="E28" s="218"/>
      <c r="F28" s="218"/>
      <c r="G28" s="218"/>
      <c r="H28" s="218"/>
      <c r="I28" s="218"/>
      <c r="J28" s="218"/>
      <c r="K28" s="218"/>
      <c r="L28" s="218"/>
    </row>
    <row r="29" spans="2:12" x14ac:dyDescent="0.3">
      <c r="B29" s="218"/>
      <c r="C29" s="218"/>
      <c r="D29" s="218"/>
      <c r="E29" s="218"/>
      <c r="F29" s="218"/>
      <c r="G29" s="218"/>
      <c r="H29" s="218"/>
      <c r="I29" s="218"/>
      <c r="J29" s="218"/>
      <c r="K29" s="218"/>
      <c r="L29" s="218"/>
    </row>
    <row r="30" spans="2:12" x14ac:dyDescent="0.3">
      <c r="B30" s="218"/>
      <c r="C30" s="218"/>
      <c r="D30" s="218"/>
      <c r="E30" s="218"/>
      <c r="F30" s="218"/>
      <c r="G30" s="218"/>
      <c r="H30" s="218"/>
      <c r="I30" s="218"/>
      <c r="J30" s="218"/>
      <c r="K30" s="218"/>
      <c r="L30" s="218"/>
    </row>
    <row r="31" spans="2:12" x14ac:dyDescent="0.3">
      <c r="B31" s="218"/>
      <c r="C31" s="218"/>
      <c r="D31" s="218"/>
      <c r="E31" s="218"/>
      <c r="F31" s="218"/>
      <c r="G31" s="218"/>
      <c r="H31" s="218"/>
      <c r="I31" s="218"/>
      <c r="J31" s="218"/>
      <c r="K31" s="218"/>
      <c r="L31" s="218"/>
    </row>
    <row r="32" spans="2:12" x14ac:dyDescent="0.3">
      <c r="B32" s="218"/>
      <c r="C32" s="218"/>
      <c r="D32" s="218"/>
      <c r="E32" s="218"/>
      <c r="F32" s="218"/>
      <c r="G32" s="218"/>
      <c r="H32" s="218"/>
      <c r="I32" s="218"/>
      <c r="J32" s="218"/>
      <c r="K32" s="218"/>
      <c r="L32" s="218"/>
    </row>
    <row r="33" spans="2:12" x14ac:dyDescent="0.3">
      <c r="B33" s="218"/>
      <c r="C33" s="218"/>
      <c r="D33" s="218"/>
      <c r="E33" s="218"/>
      <c r="F33" s="218"/>
      <c r="G33" s="218"/>
      <c r="H33" s="218"/>
      <c r="I33" s="218"/>
      <c r="J33" s="218"/>
      <c r="K33" s="218"/>
      <c r="L33" s="218"/>
    </row>
    <row r="34" spans="2:12" x14ac:dyDescent="0.3">
      <c r="B34" s="218"/>
      <c r="C34" s="218"/>
      <c r="D34" s="218"/>
      <c r="E34" s="218"/>
      <c r="F34" s="218"/>
      <c r="G34" s="218"/>
      <c r="H34" s="218"/>
      <c r="I34" s="218"/>
      <c r="J34" s="218"/>
      <c r="K34" s="218"/>
      <c r="L34" s="218"/>
    </row>
    <row r="35" spans="2:12" x14ac:dyDescent="0.3">
      <c r="B35" s="218"/>
      <c r="C35" s="218"/>
      <c r="D35" s="218"/>
      <c r="E35" s="218"/>
      <c r="F35" s="218"/>
      <c r="G35" s="218"/>
      <c r="H35" s="218"/>
      <c r="I35" s="218"/>
      <c r="J35" s="218"/>
      <c r="K35" s="218"/>
      <c r="L35" s="218"/>
    </row>
    <row r="36" spans="2:12" x14ac:dyDescent="0.3">
      <c r="B36" s="218"/>
      <c r="C36" s="218"/>
      <c r="D36" s="218"/>
      <c r="E36" s="218"/>
      <c r="F36" s="218"/>
      <c r="G36" s="218"/>
      <c r="H36" s="218"/>
      <c r="I36" s="218"/>
      <c r="J36" s="218"/>
      <c r="K36" s="218"/>
      <c r="L36" s="218"/>
    </row>
    <row r="37" spans="2:12" x14ac:dyDescent="0.3">
      <c r="B37" s="218"/>
      <c r="C37" s="218"/>
      <c r="D37" s="218"/>
      <c r="E37" s="218"/>
      <c r="F37" s="218"/>
      <c r="G37" s="218"/>
      <c r="H37" s="218"/>
      <c r="I37" s="218"/>
      <c r="J37" s="218"/>
      <c r="K37" s="218"/>
      <c r="L37" s="218"/>
    </row>
    <row r="38" spans="2:12" x14ac:dyDescent="0.3">
      <c r="B38" s="218"/>
      <c r="C38" s="218"/>
      <c r="D38" s="218"/>
      <c r="E38" s="218"/>
      <c r="F38" s="218"/>
      <c r="G38" s="218"/>
      <c r="H38" s="218"/>
      <c r="I38" s="218"/>
      <c r="J38" s="218"/>
      <c r="K38" s="218"/>
      <c r="L38" s="218"/>
    </row>
    <row r="39" spans="2:12" x14ac:dyDescent="0.3">
      <c r="B39" s="218"/>
      <c r="C39" s="218"/>
      <c r="D39" s="218"/>
      <c r="E39" s="218"/>
      <c r="F39" s="218"/>
      <c r="G39" s="218"/>
      <c r="H39" s="218"/>
      <c r="I39" s="218"/>
      <c r="J39" s="218"/>
      <c r="K39" s="218"/>
      <c r="L39" s="218"/>
    </row>
    <row r="40" spans="2:12" x14ac:dyDescent="0.3">
      <c r="B40" s="218"/>
      <c r="C40" s="218"/>
      <c r="D40" s="218"/>
      <c r="E40" s="218"/>
      <c r="F40" s="218"/>
      <c r="G40" s="218"/>
      <c r="H40" s="218"/>
      <c r="I40" s="218"/>
      <c r="J40" s="218"/>
      <c r="K40" s="218"/>
      <c r="L40" s="218"/>
    </row>
    <row r="41" spans="2:12" x14ac:dyDescent="0.3">
      <c r="B41" s="218"/>
      <c r="C41" s="218"/>
      <c r="D41" s="218"/>
      <c r="E41" s="218"/>
      <c r="F41" s="218"/>
      <c r="G41" s="218"/>
      <c r="H41" s="218"/>
      <c r="I41" s="218"/>
      <c r="J41" s="218"/>
      <c r="K41" s="218"/>
      <c r="L41" s="218"/>
    </row>
    <row r="42" spans="2:12" x14ac:dyDescent="0.3">
      <c r="B42" s="218"/>
      <c r="C42" s="218"/>
      <c r="D42" s="218"/>
      <c r="E42" s="218"/>
      <c r="F42" s="218"/>
      <c r="G42" s="218"/>
      <c r="H42" s="218"/>
      <c r="I42" s="218"/>
      <c r="J42" s="218"/>
      <c r="K42" s="218"/>
      <c r="L42" s="218"/>
    </row>
    <row r="43" spans="2:12" x14ac:dyDescent="0.3">
      <c r="B43" s="218"/>
      <c r="C43" s="218"/>
      <c r="D43" s="218"/>
      <c r="E43" s="218"/>
      <c r="F43" s="218"/>
      <c r="G43" s="218"/>
      <c r="H43" s="218"/>
      <c r="I43" s="218"/>
      <c r="J43" s="218"/>
      <c r="K43" s="218"/>
      <c r="L43" s="218"/>
    </row>
    <row r="44" spans="2:12" x14ac:dyDescent="0.3">
      <c r="B44" s="218"/>
      <c r="C44" s="218"/>
      <c r="D44" s="218"/>
      <c r="E44" s="218"/>
      <c r="F44" s="218"/>
      <c r="G44" s="218"/>
      <c r="H44" s="218"/>
      <c r="I44" s="218"/>
      <c r="J44" s="218"/>
      <c r="K44" s="218"/>
      <c r="L44" s="218"/>
    </row>
    <row r="45" spans="2:12" x14ac:dyDescent="0.3">
      <c r="B45" s="218"/>
      <c r="C45" s="218"/>
      <c r="D45" s="218"/>
      <c r="E45" s="218"/>
      <c r="F45" s="218"/>
      <c r="G45" s="218"/>
      <c r="H45" s="218"/>
      <c r="I45" s="218"/>
      <c r="J45" s="218"/>
      <c r="K45" s="218"/>
      <c r="L45" s="218"/>
    </row>
    <row r="46" spans="2:12" x14ac:dyDescent="0.3">
      <c r="B46" s="218"/>
      <c r="C46" s="218"/>
      <c r="D46" s="218"/>
      <c r="E46" s="218"/>
      <c r="F46" s="218"/>
      <c r="G46" s="218"/>
      <c r="H46" s="218"/>
      <c r="I46" s="218"/>
      <c r="J46" s="218"/>
      <c r="K46" s="218"/>
      <c r="L46" s="218"/>
    </row>
    <row r="47" spans="2:12" x14ac:dyDescent="0.3">
      <c r="B47" s="218"/>
      <c r="C47" s="218"/>
      <c r="D47" s="218"/>
      <c r="E47" s="218"/>
      <c r="F47" s="218"/>
      <c r="G47" s="218"/>
      <c r="H47" s="218"/>
      <c r="I47" s="218"/>
      <c r="J47" s="218"/>
      <c r="K47" s="218"/>
      <c r="L47" s="218"/>
    </row>
    <row r="48" spans="2:12" x14ac:dyDescent="0.3">
      <c r="B48" s="218"/>
      <c r="C48" s="218"/>
      <c r="D48" s="218"/>
      <c r="E48" s="218"/>
      <c r="F48" s="218"/>
      <c r="G48" s="218"/>
      <c r="H48" s="218"/>
      <c r="I48" s="218"/>
      <c r="J48" s="218"/>
      <c r="K48" s="218"/>
      <c r="L48" s="218"/>
    </row>
  </sheetData>
  <sheetProtection algorithmName="SHA-512" hashValue="3GWmuzRkxe4zIhhFuN8qgd3a4a62P8snrXLHGN+FZl9bT1bWhSp7qdm7NRm8iSjZs/AdZevSFkLnBAPzJpJ69g==" saltValue="gQikExRdO20l+LOXZw2Xng==" spinCount="100000" sheet="1" objects="1" scenarios="1"/>
  <protectedRanges>
    <protectedRange sqref="E4 D4:D5 D6:E6 D9 D13 F3" name="Bereich1" securityDescriptor="O:WDG:WDD:(A;;CC;;;WD)"/>
  </protectedRanges>
  <mergeCells count="8">
    <mergeCell ref="H16:H19"/>
    <mergeCell ref="B1:F1"/>
    <mergeCell ref="B2:B10"/>
    <mergeCell ref="B12:B14"/>
    <mergeCell ref="B16:B17"/>
    <mergeCell ref="C16:C17"/>
    <mergeCell ref="D16:D17"/>
    <mergeCell ref="E16:F17"/>
  </mergeCells>
  <hyperlinks>
    <hyperlink ref="M1" location="Inhalt!A1" display="Inhalt" xr:uid="{00000000-0004-0000-0800-000000000000}"/>
  </hyperlinks>
  <pageMargins left="0.7" right="0.7" top="0.78740157499999996" bottom="0.78740157499999996"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Handels-, Vorwärtskalkulation</vt:lpstr>
      <vt:lpstr>Handels-, Rückwärtskalkulation</vt:lpstr>
      <vt:lpstr>Handels-, Differenzkalkulation</vt:lpstr>
      <vt:lpstr>Handelskalkulation im Vergleich</vt:lpstr>
      <vt:lpstr>Inhaltsverzeichnis</vt:lpstr>
      <vt:lpstr>Arbeitsauftrag 4 Kirsche</vt:lpstr>
      <vt:lpstr>Arbeitsauftrag 4 Eiche</vt:lpstr>
      <vt:lpstr>Arbeitsauftrag 4 Buche</vt:lpstr>
      <vt:lpstr>Vert. Aufgabe 1</vt:lpstr>
      <vt:lpstr>Vor- und Nachkalkulation</vt:lpstr>
      <vt:lpstr>Angebotsvergleich</vt:lpstr>
      <vt:lpstr>Kritischer Umsatz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Gorontzy, Thomas</dc:creator>
  <cp:keywords/>
  <dc:description/>
  <cp:lastModifiedBy>Gorontzy, Thomas</cp:lastModifiedBy>
  <cp:revision/>
  <dcterms:created xsi:type="dcterms:W3CDTF">2015-11-19T18:24:07Z</dcterms:created>
  <dcterms:modified xsi:type="dcterms:W3CDTF">2025-08-12T07:06:19Z</dcterms:modified>
  <cp:category/>
  <cp:contentStatus/>
</cp:coreProperties>
</file>